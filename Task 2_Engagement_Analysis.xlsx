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vishn\Desktop\Spotify-Excel\"/>
    </mc:Choice>
  </mc:AlternateContent>
  <xr:revisionPtr revIDLastSave="0" documentId="13_ncr:1_{0AEAAAFD-7375-4D73-984C-CF01B3B81048}" xr6:coauthVersionLast="47" xr6:coauthVersionMax="47" xr10:uidLastSave="{00000000-0000-0000-0000-000000000000}"/>
  <bookViews>
    <workbookView xWindow="-108" yWindow="-108" windowWidth="23256" windowHeight="12456" xr2:uid="{E21E7EA7-367C-4B0E-A8FA-4443DFFB2DD3}"/>
  </bookViews>
  <sheets>
    <sheet name="Task 2" sheetId="2" r:id="rId1"/>
    <sheet name="Posts " sheetId="3" r:id="rId2"/>
    <sheet name="Posts(2.3.2)" sheetId="4" r:id="rId3"/>
  </sheets>
  <definedNames>
    <definedName name="ExternalData_1" localSheetId="2" hidden="1">'Posts(2.3.2)'!$A$1:$M$484</definedName>
    <definedName name="ExternalData_2" localSheetId="1" hidden="1">'Posts '!$A$1:$M$301</definedName>
  </definedNames>
  <calcPr calcId="191029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01" i="3" l="1"/>
  <c r="N300" i="3"/>
  <c r="N299" i="3"/>
  <c r="N298" i="3"/>
  <c r="N297" i="3"/>
  <c r="N296" i="3"/>
  <c r="N295" i="3"/>
  <c r="N294" i="3"/>
  <c r="N293" i="3"/>
  <c r="N292" i="3"/>
  <c r="N291" i="3"/>
  <c r="N290" i="3"/>
  <c r="N289" i="3"/>
  <c r="N288" i="3"/>
  <c r="N287" i="3"/>
  <c r="N286" i="3"/>
  <c r="N285" i="3"/>
  <c r="N284" i="3"/>
  <c r="N283" i="3"/>
  <c r="N282" i="3"/>
  <c r="N281" i="3"/>
  <c r="N280" i="3"/>
  <c r="N279" i="3"/>
  <c r="N278" i="3"/>
  <c r="N277" i="3"/>
  <c r="N276" i="3"/>
  <c r="N275" i="3"/>
  <c r="N274" i="3"/>
  <c r="N273" i="3"/>
  <c r="N272" i="3"/>
  <c r="N271" i="3"/>
  <c r="N270" i="3"/>
  <c r="N269" i="3"/>
  <c r="N268" i="3"/>
  <c r="N267" i="3"/>
  <c r="N266" i="3"/>
  <c r="N265" i="3"/>
  <c r="N264" i="3"/>
  <c r="N263" i="3"/>
  <c r="N262" i="3"/>
  <c r="N261" i="3"/>
  <c r="N260" i="3"/>
  <c r="N259" i="3"/>
  <c r="N258" i="3"/>
  <c r="N257" i="3"/>
  <c r="N256" i="3"/>
  <c r="N255" i="3"/>
  <c r="N254" i="3"/>
  <c r="N253" i="3"/>
  <c r="N252" i="3"/>
  <c r="N251" i="3"/>
  <c r="N250" i="3"/>
  <c r="N249" i="3"/>
  <c r="N248" i="3"/>
  <c r="N247" i="3"/>
  <c r="N246" i="3"/>
  <c r="N245" i="3"/>
  <c r="N244" i="3"/>
  <c r="N243" i="3"/>
  <c r="N242" i="3"/>
  <c r="N241" i="3"/>
  <c r="N240" i="3"/>
  <c r="N239" i="3"/>
  <c r="N238" i="3"/>
  <c r="N237" i="3"/>
  <c r="N236" i="3"/>
  <c r="N235" i="3"/>
  <c r="N234" i="3"/>
  <c r="N233" i="3"/>
  <c r="N232" i="3"/>
  <c r="N231" i="3"/>
  <c r="N230" i="3"/>
  <c r="N229" i="3"/>
  <c r="N228" i="3"/>
  <c r="N227" i="3"/>
  <c r="N226" i="3"/>
  <c r="N225" i="3"/>
  <c r="N224" i="3"/>
  <c r="N223" i="3"/>
  <c r="N222" i="3"/>
  <c r="N221" i="3"/>
  <c r="N220" i="3"/>
  <c r="N219" i="3"/>
  <c r="N218" i="3"/>
  <c r="N217" i="3"/>
  <c r="N216" i="3"/>
  <c r="N215" i="3"/>
  <c r="N214" i="3"/>
  <c r="N213" i="3"/>
  <c r="N212" i="3"/>
  <c r="N211" i="3"/>
  <c r="N210" i="3"/>
  <c r="N209" i="3"/>
  <c r="N208" i="3"/>
  <c r="N207" i="3"/>
  <c r="N206" i="3"/>
  <c r="N205" i="3"/>
  <c r="N204" i="3"/>
  <c r="N203" i="3"/>
  <c r="N202" i="3"/>
  <c r="N201" i="3"/>
  <c r="N200" i="3"/>
  <c r="N199" i="3"/>
  <c r="N198" i="3"/>
  <c r="N197" i="3"/>
  <c r="N196" i="3"/>
  <c r="N195" i="3"/>
  <c r="N194" i="3"/>
  <c r="N193" i="3"/>
  <c r="N192" i="3"/>
  <c r="N191" i="3"/>
  <c r="N190" i="3"/>
  <c r="N189" i="3"/>
  <c r="N188" i="3"/>
  <c r="N187" i="3"/>
  <c r="N186" i="3"/>
  <c r="N185" i="3"/>
  <c r="N184" i="3"/>
  <c r="N183" i="3"/>
  <c r="N182" i="3"/>
  <c r="N181" i="3"/>
  <c r="N180" i="3"/>
  <c r="N179" i="3"/>
  <c r="N178" i="3"/>
  <c r="N177" i="3"/>
  <c r="N176" i="3"/>
  <c r="N175" i="3"/>
  <c r="N174" i="3"/>
  <c r="N173" i="3"/>
  <c r="N172" i="3"/>
  <c r="N171" i="3"/>
  <c r="N170" i="3"/>
  <c r="N169" i="3"/>
  <c r="N168" i="3"/>
  <c r="N167" i="3"/>
  <c r="N166" i="3"/>
  <c r="N165" i="3"/>
  <c r="N164" i="3"/>
  <c r="N163" i="3"/>
  <c r="N162" i="3"/>
  <c r="N161" i="3"/>
  <c r="N160" i="3"/>
  <c r="N159" i="3"/>
  <c r="N158" i="3"/>
  <c r="N157" i="3"/>
  <c r="N156" i="3"/>
  <c r="N155" i="3"/>
  <c r="N154" i="3"/>
  <c r="N153" i="3"/>
  <c r="N152" i="3"/>
  <c r="N151" i="3"/>
  <c r="N150" i="3"/>
  <c r="N149" i="3"/>
  <c r="N148" i="3"/>
  <c r="N147" i="3"/>
  <c r="N146" i="3"/>
  <c r="N145" i="3"/>
  <c r="N144" i="3"/>
  <c r="N143" i="3"/>
  <c r="N142" i="3"/>
  <c r="N141" i="3"/>
  <c r="N140" i="3"/>
  <c r="N139" i="3"/>
  <c r="N138" i="3"/>
  <c r="N137" i="3"/>
  <c r="N136" i="3"/>
  <c r="N135" i="3"/>
  <c r="N134" i="3"/>
  <c r="N133" i="3"/>
  <c r="N132" i="3"/>
  <c r="N131" i="3"/>
  <c r="N130" i="3"/>
  <c r="N129" i="3"/>
  <c r="N128" i="3"/>
  <c r="N127" i="3"/>
  <c r="N126" i="3"/>
  <c r="N125" i="3"/>
  <c r="N124" i="3"/>
  <c r="N123" i="3"/>
  <c r="N122" i="3"/>
  <c r="N121" i="3"/>
  <c r="N120" i="3"/>
  <c r="N119" i="3"/>
  <c r="N118" i="3"/>
  <c r="N117" i="3"/>
  <c r="N116" i="3"/>
  <c r="N115" i="3"/>
  <c r="N114" i="3"/>
  <c r="N113" i="3"/>
  <c r="N112" i="3"/>
  <c r="N111" i="3"/>
  <c r="N110" i="3"/>
  <c r="N109" i="3"/>
  <c r="N108" i="3"/>
  <c r="N107" i="3"/>
  <c r="N106" i="3"/>
  <c r="N105" i="3"/>
  <c r="N104" i="3"/>
  <c r="N103" i="3"/>
  <c r="N102" i="3"/>
  <c r="N101" i="3"/>
  <c r="N100" i="3"/>
  <c r="N99" i="3"/>
  <c r="N98" i="3"/>
  <c r="N97" i="3"/>
  <c r="N96" i="3"/>
  <c r="N95" i="3"/>
  <c r="N94" i="3"/>
  <c r="N93" i="3"/>
  <c r="N92" i="3"/>
  <c r="N91" i="3"/>
  <c r="N90" i="3"/>
  <c r="N89" i="3"/>
  <c r="N88" i="3"/>
  <c r="N87" i="3"/>
  <c r="N86" i="3"/>
  <c r="N85" i="3"/>
  <c r="N84" i="3"/>
  <c r="N83" i="3"/>
  <c r="N82" i="3"/>
  <c r="N81" i="3"/>
  <c r="N80" i="3"/>
  <c r="N79" i="3"/>
  <c r="N78" i="3"/>
  <c r="N77" i="3"/>
  <c r="N76" i="3"/>
  <c r="N75" i="3"/>
  <c r="N74" i="3"/>
  <c r="N73" i="3"/>
  <c r="N72" i="3"/>
  <c r="N71" i="3"/>
  <c r="N70" i="3"/>
  <c r="N69" i="3"/>
  <c r="N68" i="3"/>
  <c r="N67" i="3"/>
  <c r="N66" i="3"/>
  <c r="N65" i="3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3" i="3"/>
  <c r="N2" i="3"/>
  <c r="C23" i="2"/>
  <c r="C22" i="2"/>
  <c r="C21" i="2"/>
  <c r="C20" i="2"/>
  <c r="C1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AC6AC2-6455-444D-A383-1D4BF9244D38}" keepAlive="1" name="Query - Posts" description="Connection to the 'Posts' query in the workbook." type="5" refreshedVersion="8" background="1" saveData="1">
    <dbPr connection="Provider=Microsoft.Mashup.OleDb.1;Data Source=$Workbook$;Location=Posts;Extended Properties=&quot;&quot;" command="SELECT * FROM [Posts]"/>
  </connection>
  <connection id="2" xr16:uid="{E6ADA5A6-6518-41AF-A70A-F458C7C025EB}" keepAlive="1" name="Query - Posts (2)" description="Connection to the 'Posts (2)' query in the workbook." type="5" refreshedVersion="8" background="1" saveData="1">
    <dbPr connection="Provider=Microsoft.Mashup.OleDb.1;Data Source=$Workbook$;Location=&quot;Posts (2)&quot;;Extended Properties=&quot;&quot;" command="SELECT * FROM [Posts (2)]"/>
  </connection>
</connections>
</file>

<file path=xl/sharedStrings.xml><?xml version="1.0" encoding="utf-8"?>
<sst xmlns="http://schemas.openxmlformats.org/spreadsheetml/2006/main" count="4789" uniqueCount="359">
  <si>
    <t>2.1) Engagement Rate per platform</t>
  </si>
  <si>
    <t>2.2) Top 10 posts by engagement rates</t>
  </si>
  <si>
    <t>Platform</t>
  </si>
  <si>
    <t xml:space="preserve"> Engagement Rate</t>
  </si>
  <si>
    <t>Post ID</t>
  </si>
  <si>
    <t>Post Text</t>
  </si>
  <si>
    <t>Engagement Rates</t>
  </si>
  <si>
    <t>Twitter</t>
  </si>
  <si>
    <t>SP007</t>
  </si>
  <si>
    <t>Get into the groove with our new drop!</t>
  </si>
  <si>
    <t>Instagram</t>
  </si>
  <si>
    <t>SP106</t>
  </si>
  <si>
    <t>New music just dropped. Hit play!</t>
  </si>
  <si>
    <t>YouTube</t>
  </si>
  <si>
    <t>SP186</t>
  </si>
  <si>
    <t>Explore the latest podcasts now.</t>
  </si>
  <si>
    <t>SP279</t>
  </si>
  <si>
    <t>2.3.2) Average Clicks per post by Hashtag</t>
  </si>
  <si>
    <t>SP050</t>
  </si>
  <si>
    <t>Discover fresh beats on Spotify!</t>
  </si>
  <si>
    <t>Hashtags</t>
  </si>
  <si>
    <t>Average of Clicks</t>
  </si>
  <si>
    <t>SP022</t>
  </si>
  <si>
    <t>What's your vibe today? #SpotifyHits</t>
  </si>
  <si>
    <t>#SpotifyWrapped</t>
  </si>
  <si>
    <t>SP157</t>
  </si>
  <si>
    <t>From pop to podcasts, it's all here.</t>
  </si>
  <si>
    <t>#DiscoverWeekly</t>
  </si>
  <si>
    <t>SP248</t>
  </si>
  <si>
    <t>Wrapped is here! Relive your top tracks 🎧</t>
  </si>
  <si>
    <t>#SoundtrackOfLife</t>
  </si>
  <si>
    <t>SP136</t>
  </si>
  <si>
    <t>Top trending tracks updated daily!</t>
  </si>
  <si>
    <t>#NowPlaying</t>
  </si>
  <si>
    <t>SP068</t>
  </si>
  <si>
    <t>Music that moves you-only on Spotify.</t>
  </si>
  <si>
    <t>#MusicForEveryone</t>
  </si>
  <si>
    <t>2.4) Highlighted Top performing Hashtags using ranking</t>
  </si>
  <si>
    <t>2.3.1) Total Likes, Shares, Comments by Content Type and Platform</t>
  </si>
  <si>
    <t>Rank</t>
  </si>
  <si>
    <t>Content Type</t>
  </si>
  <si>
    <t>Total Likes</t>
  </si>
  <si>
    <t>Total Shares</t>
  </si>
  <si>
    <t>Total Comments</t>
  </si>
  <si>
    <t>Story</t>
  </si>
  <si>
    <t>Text</t>
  </si>
  <si>
    <t>Reel</t>
  </si>
  <si>
    <t>Grand Total</t>
  </si>
  <si>
    <t>Date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</si>
  <si>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</si>
  <si>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</si>
  <si>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</si>
  <si>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</si>
  <si>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</si>
  <si>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</si>
  <si>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</si>
  <si>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</si>
  <si>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Engagement Rate</t>
  </si>
  <si>
    <t>SP001</t>
  </si>
  <si>
    <t>#SoundtrackOfLife,#NowPlaying</t>
  </si>
  <si>
    <t>ChillVibes</t>
  </si>
  <si>
    <t>SP002</t>
  </si>
  <si>
    <t>IndieWave</t>
  </si>
  <si>
    <t>SP003</t>
  </si>
  <si>
    <t>#MusicForEveryone,#NowPlaying</t>
  </si>
  <si>
    <t>SP004</t>
  </si>
  <si>
    <t>SP005</t>
  </si>
  <si>
    <t>#DiscoverWeekly,#SpotifyWrapped</t>
  </si>
  <si>
    <t>SP006</t>
  </si>
  <si>
    <t>SP008</t>
  </si>
  <si>
    <t>#DiscoverWeekly,#MusicForEveryone</t>
  </si>
  <si>
    <t>SP009</t>
  </si>
  <si>
    <t>SP010</t>
  </si>
  <si>
    <t>SP011</t>
  </si>
  <si>
    <t>SP012</t>
  </si>
  <si>
    <t>SP013</t>
  </si>
  <si>
    <t>SP014</t>
  </si>
  <si>
    <t>SP015</t>
  </si>
  <si>
    <t>Your weekend playlist is waiting.</t>
  </si>
  <si>
    <t>SP016</t>
  </si>
  <si>
    <t>SP017</t>
  </si>
  <si>
    <t>SP018</t>
  </si>
  <si>
    <t>Wrapped2024</t>
  </si>
  <si>
    <t>SP019</t>
  </si>
  <si>
    <t>#DiscoverWeekly,#SoundtrackOfLife</t>
  </si>
  <si>
    <t>SummerBeats</t>
  </si>
  <si>
    <t>SP020</t>
  </si>
  <si>
    <t>SP021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</si>
  <si>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</si>
  <si>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</si>
  <si>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</si>
  <si>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</si>
  <si>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</si>
  <si>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</si>
  <si>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</si>
  <si>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</si>
  <si>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</si>
  <si>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</si>
  <si>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</si>
  <si>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</si>
  <si>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</si>
  <si>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</si>
  <si>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</si>
  <si>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</si>
  <si>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</si>
  <si>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</si>
  <si>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</si>
  <si>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</si>
  <si>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</si>
  <si>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</si>
  <si>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</si>
  <si>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</si>
  <si>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</si>
  <si>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</si>
  <si>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</si>
  <si>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</si>
  <si>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</si>
  <si>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</si>
  <si>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</si>
  <si>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</si>
  <si>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</si>
  <si>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</si>
  <si>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</si>
  <si>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</si>
  <si>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</si>
  <si>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</si>
  <si>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</si>
  <si>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</si>
  <si>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</si>
  <si>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</si>
  <si>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</si>
  <si>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</si>
  <si>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</si>
  <si>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</si>
  <si>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</si>
  <si>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</si>
  <si>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</si>
  <si>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</si>
  <si>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</si>
  <si>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</si>
  <si>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</si>
  <si>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</si>
  <si>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</si>
  <si>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</si>
  <si>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</si>
  <si>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</si>
  <si>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</si>
  <si>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</si>
  <si>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</si>
  <si>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</si>
  <si>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</si>
  <si>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</si>
  <si>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</si>
  <si>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</si>
  <si>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</si>
  <si>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</si>
  <si>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</si>
  <si>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</si>
  <si>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</si>
  <si>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</si>
  <si>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</si>
  <si>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</si>
  <si>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</si>
  <si>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</si>
  <si>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</si>
  <si>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</si>
  <si>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</si>
  <si>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</si>
  <si>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</si>
  <si>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</si>
  <si>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</si>
  <si>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</si>
  <si>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</si>
  <si>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</si>
  <si>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</si>
  <si>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</si>
  <si>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</si>
  <si>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</si>
  <si>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</si>
  <si>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</si>
  <si>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</si>
  <si>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</si>
  <si>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</si>
  <si>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</si>
  <si>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</si>
  <si>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</si>
  <si>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</si>
  <si>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</si>
  <si>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</si>
  <si>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</si>
  <si>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</si>
  <si>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</si>
  <si>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</si>
  <si>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</si>
  <si>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</si>
  <si>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</si>
  <si>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</si>
  <si>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</si>
  <si>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</si>
  <si>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</si>
  <si>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</si>
  <si>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</si>
  <si>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</si>
  <si>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</si>
  <si>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</si>
  <si>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</si>
  <si>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</si>
  <si>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</si>
  <si>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</si>
  <si>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</si>
  <si>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</si>
  <si>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</si>
  <si>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</si>
  <si>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</si>
  <si>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</si>
  <si>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</si>
  <si>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</si>
  <si>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</si>
  <si>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</si>
  <si>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</si>
  <si>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</si>
  <si>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</si>
  <si>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</si>
  <si>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</si>
  <si>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</si>
  <si>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</si>
  <si>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</si>
  <si>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</si>
  <si>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</si>
  <si>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</si>
  <si>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</si>
  <si>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</si>
  <si>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</si>
  <si>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</si>
  <si>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</si>
  <si>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</si>
  <si>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</si>
  <si>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</si>
  <si>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</si>
  <si>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</si>
  <si>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</si>
  <si>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</si>
  <si>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</si>
  <si>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</si>
  <si>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</si>
  <si>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</si>
  <si>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</si>
  <si>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</si>
  <si>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</si>
  <si>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</si>
  <si>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</si>
  <si>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</si>
  <si>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</si>
  <si>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</si>
  <si>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</si>
  <si>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</si>
  <si>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</si>
  <si>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</si>
  <si>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</si>
  <si>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</si>
  <si>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</si>
  <si>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</si>
  <si>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</si>
  <si>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</si>
  <si>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</si>
  <si>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</si>
  <si>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</si>
  <si>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</si>
  <si>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</si>
  <si>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</si>
  <si>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</si>
  <si>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</si>
  <si>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</si>
  <si>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</si>
  <si>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</si>
  <si>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</si>
  <si>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</si>
  <si>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</si>
  <si>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</si>
  <si>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</si>
  <si>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</si>
  <si>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</si>
  <si>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</si>
  <si>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</si>
  <si>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</si>
  <si>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</si>
  <si>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</si>
  <si>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</si>
  <si>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</si>
  <si>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</si>
  <si>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</si>
  <si>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</si>
  <si>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</si>
  <si>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</si>
  <si>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</si>
  <si>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</si>
  <si>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</si>
  <si>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</si>
  <si>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</si>
  <si>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</si>
  <si>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</si>
  <si>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</si>
  <si>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</si>
  <si>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</si>
  <si>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</si>
  <si>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</si>
  <si>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</si>
  <si>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</si>
  <si>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</si>
  <si>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</si>
  <si>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</si>
  <si>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</si>
  <si>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</si>
  <si>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</si>
  <si>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</si>
  <si>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</si>
  <si>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</si>
  <si>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</si>
  <si>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</si>
  <si>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</si>
  <si>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</si>
  <si>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</si>
  <si>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</si>
  <si>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</si>
  <si>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</si>
  <si>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</si>
  <si>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</si>
  <si>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</si>
  <si>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</si>
  <si>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</si>
  <si>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</si>
  <si>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</si>
  <si>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</si>
  <si>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</si>
  <si>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</si>
  <si>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</si>
  <si>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</si>
  <si>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</si>
  <si>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</si>
  <si>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</si>
  <si>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</si>
  <si>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</si>
  <si>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</si>
  <si>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</si>
  <si>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</si>
  <si>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</si>
  <si>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</si>
  <si>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</si>
  <si>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</si>
  <si>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</si>
  <si>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</si>
  <si>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</si>
  <si>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</si>
  <si>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</si>
  <si>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</si>
  <si>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</si>
  <si>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</si>
  <si>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</si>
  <si>
    <t>TASK 2: ENGAGEMENT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</si>
</sst>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sz val="11"/>
      <color rgb="FF403151"/>
      <name val="Calibri"/>
      <family val="2"/>
      <scheme val="minor"/>
    </font>
    <font>
      <sz val="11"/>
      <color rgb="FF403151"/>
      <name val="Calibri"/>
      <family val="2"/>
      <scheme val="minor"/>
    </font>
    <font>
      <b/>
      <sz val="18"/>
      <color theme="1"/>
      <name val="Lucida Handwriting"/>
      <family val="4"/>
    </font>
    <font>
      <sz val="11"/>
      <color rgb="FF002060"/>
      <name val="Calibri"/>
      <family val="2"/>
      <scheme val="minor"/>
    </font>
    <font>
      <sz val="11"/>
      <color theme="3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D4B5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F7DBDA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/>
    <xf numFmtId="10" fontId="0" fillId="0" borderId="1" xfId="0" applyNumberFormat="1" applyBorder="1" applyAlignment="1">
      <alignment horizontal="right"/>
    </xf>
    <xf numFmtId="10" fontId="0" fillId="0" borderId="1" xfId="0" applyNumberFormat="1" applyBorder="1"/>
    <xf numFmtId="2" fontId="0" fillId="0" borderId="1" xfId="0" applyNumberFormat="1" applyBorder="1"/>
    <xf numFmtId="10" fontId="0" fillId="0" borderId="0" xfId="0" applyNumberFormat="1"/>
    <xf numFmtId="0" fontId="3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right"/>
    </xf>
    <xf numFmtId="0" fontId="1" fillId="0" borderId="1" xfId="0" applyFont="1" applyBorder="1"/>
    <xf numFmtId="14" fontId="0" fillId="0" borderId="0" xfId="0" applyNumberFormat="1"/>
    <xf numFmtId="0" fontId="0" fillId="4" borderId="0" xfId="0" applyFill="1"/>
    <xf numFmtId="0" fontId="0" fillId="5" borderId="0" xfId="0" applyFill="1"/>
    <xf numFmtId="14" fontId="0" fillId="5" borderId="0" xfId="0" applyNumberFormat="1" applyFill="1"/>
    <xf numFmtId="0" fontId="4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6" fillId="6" borderId="0" xfId="0" applyFont="1" applyFill="1" applyAlignment="1">
      <alignment horizontal="center"/>
    </xf>
    <xf numFmtId="0" fontId="7" fillId="0" borderId="0" xfId="0" applyFont="1"/>
    <xf numFmtId="0" fontId="8" fillId="0" borderId="0" xfId="0" applyFont="1"/>
    <xf numFmtId="0" fontId="0" fillId="0" borderId="0" xfId="0" applyFont="1"/>
  </cellXfs>
  <cellStyles count="1">
    <cellStyle name="Normal" xfId="0" builtinId="0"/>
  </cellStyles>
  <dxfs count="59">
    <dxf>
      <font>
        <color rgb="FF9C5700"/>
      </font>
      <fill>
        <patternFill>
          <bgColor rgb="FFFFEB9C"/>
        </patternFill>
      </fill>
    </dxf>
    <dxf>
      <fill>
        <patternFill>
          <bgColor theme="9" tint="0.5999633777886288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C0504D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/>
    </dxf>
    <dxf>
      <alignment horizontal="center"/>
    </dxf>
    <dxf>
      <alignment horizontal="left"/>
    </dxf>
    <dxf>
      <alignment horizontal="lef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403151"/>
      <color rgb="FF4B5320"/>
      <color rgb="FFFFD4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vishn/Desktop/Excel%20Project%20INS/Spotify%20(20th)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vishn/Desktop/Excel%20Project%20INS/Spotify%20(20th)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shnupriya S" refreshedDate="46073.681052430555" createdVersion="8" refreshedVersion="8" minRefreshableVersion="3" recordCount="300" xr:uid="{CB3536F4-D443-4990-89C8-CADC5BE05B5F}">
  <cacheSource type="worksheet">
    <worksheetSource name="Posts__2" r:id="rId2"/>
  </cacheSource>
  <cacheFields count="14">
    <cacheField name="Post ID" numFmtId="0">
      <sharedItems count="300">
        <s v="SP001"/>
        <s v="SP002"/>
        <s v="SP003"/>
        <s v="SP004"/>
        <s v="SP005"/>
        <s v="SP006"/>
        <s v="SP007"/>
        <s v="SP008"/>
        <s v="SP009"/>
        <s v="SP010"/>
        <s v="SP011"/>
        <s v="SP012"/>
        <s v="SP013"/>
        <s v="SP014"/>
        <s v="SP015"/>
        <s v="SP016"/>
        <s v="SP017"/>
        <s v="SP018"/>
        <s v="SP019"/>
        <s v="SP020"/>
        <s v="SP021"/>
        <s v="SP022"/>
        <s v="SP023"/>
        <s v="SP024"/>
        <s v="SP025"/>
        <s v="SP026"/>
        <s v="SP027"/>
        <s v="SP028"/>
        <s v="SP029"/>
        <s v="SP030"/>
        <s v="SP031"/>
        <s v="SP032"/>
        <s v="SP033"/>
        <s v="SP034"/>
        <s v="SP035"/>
        <s v="SP036"/>
        <s v="SP037"/>
        <s v="SP038"/>
        <s v="SP039"/>
        <s v="SP040"/>
        <s v="SP041"/>
        <s v="SP042"/>
        <s v="SP043"/>
        <s v="SP044"/>
        <s v="SP045"/>
        <s v="SP046"/>
        <s v="SP047"/>
        <s v="SP048"/>
        <s v="SP049"/>
        <s v="SP050"/>
        <s v="SP051"/>
        <s v="SP052"/>
        <s v="SP053"/>
        <s v="SP054"/>
        <s v="SP055"/>
        <s v="SP056"/>
        <s v="SP057"/>
        <s v="SP058"/>
        <s v="SP059"/>
        <s v="SP060"/>
        <s v="SP061"/>
        <s v="SP062"/>
        <s v="SP063"/>
        <s v="SP064"/>
        <s v="SP065"/>
        <s v="SP066"/>
        <s v="SP067"/>
        <s v="SP068"/>
        <s v="SP069"/>
        <s v="SP070"/>
        <s v="SP071"/>
        <s v="SP072"/>
        <s v="SP073"/>
        <s v="SP074"/>
        <s v="SP075"/>
        <s v="SP076"/>
        <s v="SP077"/>
        <s v="SP078"/>
        <s v="SP079"/>
        <s v="SP080"/>
        <s v="SP081"/>
        <s v="SP082"/>
        <s v="SP083"/>
        <s v="SP084"/>
        <s v="SP085"/>
        <s v="SP086"/>
        <s v="SP087"/>
        <s v="SP088"/>
        <s v="SP089"/>
        <s v="SP090"/>
        <s v="SP091"/>
        <s v="SP092"/>
        <s v="SP093"/>
        <s v="SP094"/>
        <s v="SP095"/>
        <s v="SP096"/>
        <s v="SP097"/>
        <s v="SP098"/>
        <s v="SP099"/>
        <s v="SP100"/>
        <s v="SP101"/>
        <s v="SP102"/>
        <s v="SP103"/>
        <s v="SP104"/>
        <s v="SP105"/>
        <s v="SP106"/>
        <s v="SP107"/>
        <s v="SP108"/>
        <s v="SP109"/>
        <s v="SP110"/>
        <s v="SP111"/>
        <s v="SP112"/>
        <s v="SP113"/>
        <s v="SP114"/>
        <s v="SP115"/>
        <s v="SP116"/>
        <s v="SP117"/>
        <s v="SP118"/>
        <s v="SP119"/>
        <s v="SP120"/>
        <s v="SP121"/>
        <s v="SP122"/>
        <s v="SP123"/>
        <s v="SP124"/>
        <s v="SP125"/>
        <s v="SP126"/>
        <s v="SP127"/>
        <s v="SP128"/>
        <s v="SP129"/>
        <s v="SP130"/>
        <s v="SP131"/>
        <s v="SP132"/>
        <s v="SP133"/>
        <s v="SP134"/>
        <s v="SP135"/>
        <s v="SP136"/>
        <s v="SP137"/>
        <s v="SP138"/>
        <s v="SP139"/>
        <s v="SP140"/>
        <s v="SP141"/>
        <s v="SP142"/>
        <s v="SP143"/>
        <s v="SP144"/>
        <s v="SP145"/>
        <s v="SP146"/>
        <s v="SP147"/>
        <s v="SP148"/>
        <s v="SP149"/>
        <s v="SP150"/>
        <s v="SP151"/>
        <s v="SP152"/>
        <s v="SP153"/>
        <s v="SP154"/>
        <s v="SP155"/>
        <s v="SP156"/>
        <s v="SP157"/>
        <s v="SP158"/>
        <s v="SP159"/>
        <s v="SP160"/>
        <s v="SP161"/>
        <s v="SP162"/>
        <s v="SP163"/>
        <s v="SP164"/>
        <s v="SP165"/>
        <s v="SP166"/>
        <s v="SP167"/>
        <s v="SP168"/>
        <s v="SP169"/>
        <s v="SP170"/>
        <s v="SP171"/>
        <s v="SP172"/>
        <s v="SP173"/>
        <s v="SP174"/>
        <s v="SP175"/>
        <s v="SP176"/>
        <s v="SP177"/>
        <s v="SP178"/>
        <s v="SP179"/>
        <s v="SP180"/>
        <s v="SP181"/>
        <s v="SP182"/>
        <s v="SP183"/>
        <s v="SP184"/>
        <s v="SP185"/>
        <s v="SP186"/>
        <s v="SP187"/>
        <s v="SP188"/>
        <s v="SP189"/>
        <s v="SP190"/>
        <s v="SP191"/>
        <s v="SP192"/>
        <s v="SP193"/>
        <s v="SP194"/>
        <s v="SP195"/>
        <s v="SP196"/>
        <s v="SP197"/>
        <s v="SP198"/>
        <s v="SP199"/>
        <s v="SP200"/>
        <s v="SP201"/>
        <s v="SP202"/>
        <s v="SP203"/>
        <s v="SP204"/>
        <s v="SP205"/>
        <s v="SP206"/>
        <s v="SP207"/>
        <s v="SP208"/>
        <s v="SP209"/>
        <s v="SP210"/>
        <s v="SP211"/>
        <s v="SP212"/>
        <s v="SP213"/>
        <s v="SP214"/>
        <s v="SP215"/>
        <s v="SP216"/>
        <s v="SP217"/>
        <s v="SP218"/>
        <s v="SP219"/>
        <s v="SP220"/>
        <s v="SP221"/>
        <s v="SP222"/>
        <s v="SP223"/>
        <s v="SP224"/>
        <s v="SP225"/>
        <s v="SP226"/>
        <s v="SP227"/>
        <s v="SP228"/>
        <s v="SP229"/>
        <s v="SP230"/>
        <s v="SP231"/>
        <s v="SP232"/>
        <s v="SP233"/>
        <s v="SP234"/>
        <s v="SP235"/>
        <s v="SP236"/>
        <s v="SP237"/>
        <s v="SP238"/>
        <s v="SP239"/>
        <s v="SP240"/>
        <s v="SP241"/>
        <s v="SP242"/>
        <s v="SP243"/>
        <s v="SP244"/>
        <s v="SP245"/>
        <s v="SP246"/>
        <s v="SP247"/>
        <s v="SP248"/>
        <s v="SP249"/>
        <s v="SP250"/>
        <s v="SP251"/>
        <s v="SP252"/>
        <s v="SP253"/>
        <s v="SP254"/>
        <s v="SP255"/>
        <s v="SP256"/>
        <s v="SP257"/>
        <s v="SP258"/>
        <s v="SP259"/>
        <s v="SP260"/>
        <s v="SP261"/>
        <s v="SP262"/>
        <s v="SP263"/>
        <s v="SP264"/>
        <s v="SP265"/>
        <s v="SP266"/>
        <s v="SP267"/>
        <s v="SP268"/>
        <s v="SP269"/>
        <s v="SP270"/>
        <s v="SP271"/>
        <s v="SP272"/>
        <s v="SP273"/>
        <s v="SP274"/>
        <s v="SP275"/>
        <s v="SP276"/>
        <s v="SP277"/>
        <s v="SP278"/>
        <s v="SP279"/>
        <s v="SP280"/>
        <s v="SP281"/>
        <s v="SP282"/>
        <s v="SP283"/>
        <s v="SP284"/>
        <s v="SP285"/>
        <s v="SP286"/>
        <s v="SP287"/>
        <s v="SP288"/>
        <s v="SP289"/>
        <s v="SP290"/>
        <s v="SP291"/>
        <s v="SP292"/>
        <s v="SP293"/>
        <s v="SP294"/>
        <s v="SP295"/>
        <s v="SP296"/>
        <s v="SP297"/>
        <s v="SP298"/>
        <s v="SP299"/>
        <s v="SP300"/>
      </sharedItems>
    </cacheField>
    <cacheField name="Platform" numFmtId="0">
      <sharedItems count="3">
        <s v="Instagram"/>
        <s v="Twitter"/>
        <s v="YouTube"/>
      </sharedItems>
    </cacheField>
    <cacheField name="Date" numFmtId="14">
      <sharedItems containsSemiMixedTypes="0" containsNonDate="0" containsDate="1" containsString="0" minDate="2024-01-01T00:00:00" maxDate="2025-07-02T00:00:00"/>
    </cacheField>
    <cacheField name="Content Type" numFmtId="0">
      <sharedItems count="3">
        <s v="Text"/>
        <s v="Story"/>
        <s v="Reel"/>
      </sharedItems>
    </cacheField>
    <cacheField name="Post Text" numFmtId="0">
      <sharedItems count="10">
        <s v="Discover fresh beats on Spotify!"/>
        <s v="Explore the latest podcasts now."/>
        <s v="New music just dropped. Hit play!"/>
        <s v="Wrapped is here! Relive your top tracks 🎧"/>
        <s v="Music that moves you-only on Spotify."/>
        <s v="What's your vibe today? #SpotifyHits"/>
        <s v="Get into the groove with our new drop!"/>
        <s v="Top trending tracks updated daily!"/>
        <s v="From pop to podcasts, it's all here."/>
        <s v="Your weekend playlist is waiting."/>
      </sharedItems>
    </cacheField>
    <cacheField name="Likes" numFmtId="0">
      <sharedItems containsSemiMixedTypes="0" containsString="0" containsNumber="1" containsInteger="1" minValue="1010" maxValue="4995" count="290">
        <n v="2414"/>
        <n v="1934"/>
        <n v="3092"/>
        <n v="3173"/>
        <n v="2748"/>
        <n v="3882"/>
        <n v="4674"/>
        <n v="1428"/>
        <n v="4432"/>
        <n v="2357"/>
        <n v="1971"/>
        <n v="1485"/>
        <n v="3956"/>
        <n v="2460"/>
        <n v="3476"/>
        <n v="4049"/>
        <n v="1514"/>
        <n v="4281"/>
        <n v="1751"/>
        <n v="3753"/>
        <n v="1678"/>
        <n v="4896"/>
        <n v="2786"/>
        <n v="2607"/>
        <n v="4013"/>
        <n v="2707"/>
        <n v="2824"/>
        <n v="3558"/>
        <n v="3418"/>
        <n v="2411"/>
        <n v="4036"/>
        <n v="2776"/>
        <n v="4929"/>
        <n v="1015"/>
        <n v="3316"/>
        <n v="2274"/>
        <n v="4095"/>
        <n v="1230"/>
        <n v="1341"/>
        <n v="3615"/>
        <n v="4001"/>
        <n v="3451"/>
        <n v="4891"/>
        <n v="1452"/>
        <n v="3806"/>
        <n v="2923"/>
        <n v="3361"/>
        <n v="3074"/>
        <n v="4276"/>
        <n v="4401"/>
        <n v="4161"/>
        <n v="2613"/>
        <n v="2842"/>
        <n v="4851"/>
        <n v="1828"/>
        <n v="2422"/>
        <n v="2683"/>
        <n v="3135"/>
        <n v="1105"/>
        <n v="3437"/>
        <n v="1959"/>
        <n v="1035"/>
        <n v="4478"/>
        <n v="1488"/>
        <n v="4836"/>
        <n v="4563"/>
        <n v="3276"/>
        <n v="1316"/>
        <n v="4811"/>
        <n v="4218"/>
        <n v="1360"/>
        <n v="1085"/>
        <n v="1763"/>
        <n v="1554"/>
        <n v="2464"/>
        <n v="2418"/>
        <n v="2494"/>
        <n v="4781"/>
        <n v="2284"/>
        <n v="4234"/>
        <n v="2102"/>
        <n v="4845"/>
        <n v="4247"/>
        <n v="2965"/>
        <n v="1371"/>
        <n v="4796"/>
        <n v="2601"/>
        <n v="3336"/>
        <n v="1165"/>
        <n v="1948"/>
        <n v="1100"/>
        <n v="4628"/>
        <n v="2319"/>
        <n v="2895"/>
        <n v="3878"/>
        <n v="4969"/>
        <n v="1984"/>
        <n v="3004"/>
        <n v="3169"/>
        <n v="3036"/>
        <n v="1830"/>
        <n v="2587"/>
        <n v="2878"/>
        <n v="4619"/>
        <n v="4090"/>
        <n v="4581"/>
        <n v="3253"/>
        <n v="4955"/>
        <n v="1333"/>
        <n v="1616"/>
        <n v="1803"/>
        <n v="4177"/>
        <n v="1311"/>
        <n v="1516"/>
        <n v="2023"/>
        <n v="2134"/>
        <n v="2266"/>
        <n v="3916"/>
        <n v="1022"/>
        <n v="2911"/>
        <n v="3277"/>
        <n v="2956"/>
        <n v="3208"/>
        <n v="1456"/>
        <n v="1902"/>
        <n v="3219"/>
        <n v="1261"/>
        <n v="1564"/>
        <n v="4006"/>
        <n v="1976"/>
        <n v="1583"/>
        <n v="2870"/>
        <n v="3728"/>
        <n v="4965"/>
        <n v="1131"/>
        <n v="2754"/>
        <n v="1856"/>
        <n v="3543"/>
        <n v="4283"/>
        <n v="2329"/>
        <n v="4287"/>
        <n v="2633"/>
        <n v="2383"/>
        <n v="4752"/>
        <n v="3890"/>
        <n v="2311"/>
        <n v="2962"/>
        <n v="3118"/>
        <n v="3805"/>
        <n v="2525"/>
        <n v="3563"/>
        <n v="1437"/>
        <n v="4425"/>
        <n v="4609"/>
        <n v="1558"/>
        <n v="1889"/>
        <n v="3086"/>
        <n v="3414"/>
        <n v="1342"/>
        <n v="4383"/>
        <n v="4294"/>
        <n v="2762"/>
        <n v="3782"/>
        <n v="4318"/>
        <n v="2335"/>
        <n v="4023"/>
        <n v="3948"/>
        <n v="4598"/>
        <n v="2665"/>
        <n v="3469"/>
        <n v="4823"/>
        <n v="3812"/>
        <n v="2387"/>
        <n v="3929"/>
        <n v="2191"/>
        <n v="3204"/>
        <n v="2408"/>
        <n v="2733"/>
        <n v="4618"/>
        <n v="4210"/>
        <n v="3987"/>
        <n v="4957"/>
        <n v="2605"/>
        <n v="4221"/>
        <n v="4422"/>
        <n v="1211"/>
        <n v="2784"/>
        <n v="3634"/>
        <n v="1771"/>
        <n v="1424"/>
        <n v="1079"/>
        <n v="2033"/>
        <n v="1839"/>
        <n v="2340"/>
        <n v="2080"/>
        <n v="4214"/>
        <n v="3792"/>
        <n v="3989"/>
        <n v="2857"/>
        <n v="1403"/>
        <n v="3071"/>
        <n v="1010"/>
        <n v="1295"/>
        <n v="1433"/>
        <n v="4902"/>
        <n v="2659"/>
        <n v="2599"/>
        <n v="1765"/>
        <n v="2169"/>
        <n v="4303"/>
        <n v="1519"/>
        <n v="2569"/>
        <n v="2778"/>
        <n v="3611"/>
        <n v="1224"/>
        <n v="4673"/>
        <n v="1432"/>
        <n v="2174"/>
        <n v="4308"/>
        <n v="1060"/>
        <n v="4653"/>
        <n v="1701"/>
        <n v="1673"/>
        <n v="4310"/>
        <n v="2752"/>
        <n v="3818"/>
        <n v="2101"/>
        <n v="2519"/>
        <n v="4502"/>
        <n v="2478"/>
        <n v="4984"/>
        <n v="4774"/>
        <n v="2145"/>
        <n v="4315"/>
        <n v="2267"/>
        <n v="4375"/>
        <n v="3817"/>
        <n v="2981"/>
        <n v="3300"/>
        <n v="4722"/>
        <n v="3529"/>
        <n v="4782"/>
        <n v="1848"/>
        <n v="4676"/>
        <n v="1994"/>
        <n v="4995"/>
        <n v="2291"/>
        <n v="2304"/>
        <n v="3413"/>
        <n v="1453"/>
        <n v="1651"/>
        <n v="3341"/>
        <n v="2972"/>
        <n v="4963"/>
        <n v="2399"/>
        <n v="2162"/>
        <n v="4341"/>
        <n v="2448"/>
        <n v="2471"/>
        <n v="2692"/>
        <n v="4621"/>
        <n v="1409"/>
        <n v="3029"/>
        <n v="2229"/>
        <n v="2691"/>
        <n v="2110"/>
        <n v="2177"/>
        <n v="1205"/>
        <n v="3194"/>
        <n v="3507"/>
        <n v="4471"/>
        <n v="4931"/>
        <n v="2604"/>
        <n v="4197"/>
        <n v="1914"/>
        <n v="1334"/>
        <n v="3359"/>
        <n v="2172"/>
        <n v="4877"/>
        <n v="4918"/>
        <n v="2088"/>
        <n v="3061"/>
        <n v="1265"/>
        <n v="1436"/>
        <n v="2244"/>
        <n v="3393"/>
        <n v="2901"/>
        <n v="2275"/>
        <n v="2227"/>
        <n v="1883"/>
      </sharedItems>
    </cacheField>
    <cacheField name="Shares" numFmtId="0">
      <sharedItems containsSemiMixedTypes="0" containsString="0" containsNumber="1" containsInteger="1" minValue="100" maxValue="499"/>
    </cacheField>
    <cacheField name="Comments" numFmtId="0">
      <sharedItems containsSemiMixedTypes="0" containsString="0" containsNumber="1" containsInteger="1" minValue="51" maxValue="400"/>
    </cacheField>
    <cacheField name="Impressions" numFmtId="0">
      <sharedItems containsSemiMixedTypes="0" containsString="0" containsNumber="1" containsInteger="1" minValue="20368" maxValue="59888" count="300">
        <n v="21181"/>
        <n v="29129"/>
        <n v="47533"/>
        <n v="29604"/>
        <n v="24401"/>
        <n v="58748"/>
        <n v="20756"/>
        <n v="21148"/>
        <n v="59016"/>
        <n v="21566"/>
        <n v="31316"/>
        <n v="38419"/>
        <n v="58162"/>
        <n v="36702"/>
        <n v="37492"/>
        <n v="48182"/>
        <n v="41364"/>
        <n v="32278"/>
        <n v="31826"/>
        <n v="29138"/>
        <n v="55668"/>
        <n v="28621"/>
        <n v="42000"/>
        <n v="28712"/>
        <n v="54605"/>
        <n v="55302"/>
        <n v="31004"/>
        <n v="49612"/>
        <n v="57431"/>
        <n v="26665"/>
        <n v="56284"/>
        <n v="43365"/>
        <n v="32181"/>
        <n v="38127"/>
        <n v="40095"/>
        <n v="43066"/>
        <n v="45300"/>
        <n v="44629"/>
        <n v="51386"/>
        <n v="27492"/>
        <n v="41265"/>
        <n v="44853"/>
        <n v="48746"/>
        <n v="51556"/>
        <n v="36148"/>
        <n v="23993"/>
        <n v="39838"/>
        <n v="24104"/>
        <n v="43443"/>
        <n v="24890"/>
        <n v="45884"/>
        <n v="21645"/>
        <n v="57660"/>
        <n v="58075"/>
        <n v="52115"/>
        <n v="23428"/>
        <n v="31233"/>
        <n v="39192"/>
        <n v="53581"/>
        <n v="45503"/>
        <n v="44558"/>
        <n v="54036"/>
        <n v="37302"/>
        <n v="51035"/>
        <n v="53805"/>
        <n v="58792"/>
        <n v="30619"/>
        <n v="20580"/>
        <n v="44692"/>
        <n v="51964"/>
        <n v="28914"/>
        <n v="20368"/>
        <n v="36528"/>
        <n v="53342"/>
        <n v="41947"/>
        <n v="38665"/>
        <n v="30589"/>
        <n v="22580"/>
        <n v="35535"/>
        <n v="37400"/>
        <n v="56623"/>
        <n v="43650"/>
        <n v="34578"/>
        <n v="29785"/>
        <n v="57685"/>
        <n v="36140"/>
        <n v="53435"/>
        <n v="30752"/>
        <n v="32368"/>
        <n v="22117"/>
        <n v="20659"/>
        <n v="30321"/>
        <n v="25641"/>
        <n v="36686"/>
        <n v="21202"/>
        <n v="24223"/>
        <n v="41763"/>
        <n v="59552"/>
        <n v="40681"/>
        <n v="36090"/>
        <n v="45012"/>
        <n v="23776"/>
        <n v="31870"/>
        <n v="36266"/>
        <n v="52090"/>
        <n v="21334"/>
        <n v="52853"/>
        <n v="41991"/>
        <n v="35221"/>
        <n v="25397"/>
        <n v="33644"/>
        <n v="36174"/>
        <n v="54342"/>
        <n v="46176"/>
        <n v="57451"/>
        <n v="37148"/>
        <n v="58981"/>
        <n v="54524"/>
        <n v="44338"/>
        <n v="53759"/>
        <n v="48989"/>
        <n v="51468"/>
        <n v="59083"/>
        <n v="46328"/>
        <n v="33347"/>
        <n v="56072"/>
        <n v="53485"/>
        <n v="24615"/>
        <n v="48879"/>
        <n v="59888"/>
        <n v="42075"/>
        <n v="49964"/>
        <n v="51696"/>
        <n v="30256"/>
        <n v="37621"/>
        <n v="22827"/>
        <n v="32793"/>
        <n v="48437"/>
        <n v="27762"/>
        <n v="29428"/>
        <n v="58007"/>
        <n v="43679"/>
        <n v="53004"/>
        <n v="49577"/>
        <n v="40792"/>
        <n v="40869"/>
        <n v="39187"/>
        <n v="48017"/>
        <n v="56994"/>
        <n v="30349"/>
        <n v="52508"/>
        <n v="37100"/>
        <n v="52395"/>
        <n v="51875"/>
        <n v="41085"/>
        <n v="53048"/>
        <n v="24610"/>
        <n v="33698"/>
        <n v="25405"/>
        <n v="46225"/>
        <n v="22824"/>
        <n v="25386"/>
        <n v="34146"/>
        <n v="51712"/>
        <n v="27355"/>
        <n v="53239"/>
        <n v="29828"/>
        <n v="33757"/>
        <n v="52172"/>
        <n v="32347"/>
        <n v="26114"/>
        <n v="26795"/>
        <n v="43147"/>
        <n v="52952"/>
        <n v="54808"/>
        <n v="46493"/>
        <n v="32470"/>
        <n v="59838"/>
        <n v="39745"/>
        <n v="58329"/>
        <n v="59606"/>
        <n v="47235"/>
        <n v="22020"/>
        <n v="47599"/>
        <n v="37980"/>
        <n v="22571"/>
        <n v="37762"/>
        <n v="45122"/>
        <n v="49199"/>
        <n v="32201"/>
        <n v="45080"/>
        <n v="56165"/>
        <n v="26532"/>
        <n v="58366"/>
        <n v="40256"/>
        <n v="48810"/>
        <n v="59517"/>
        <n v="43786"/>
        <n v="32991"/>
        <n v="56290"/>
        <n v="35459"/>
        <n v="24916"/>
        <n v="30971"/>
        <n v="47293"/>
        <n v="54592"/>
        <n v="57569"/>
        <n v="51519"/>
        <n v="54223"/>
        <n v="44013"/>
        <n v="47229"/>
        <n v="48350"/>
        <n v="54541"/>
        <n v="31674"/>
        <n v="23090"/>
        <n v="37525"/>
        <n v="41313"/>
        <n v="26109"/>
        <n v="39575"/>
        <n v="51611"/>
        <n v="38372"/>
        <n v="26247"/>
        <n v="44768"/>
        <n v="54232"/>
        <n v="45260"/>
        <n v="40634"/>
        <n v="54938"/>
        <n v="36955"/>
        <n v="57194"/>
        <n v="56876"/>
        <n v="47496"/>
        <n v="29847"/>
        <n v="44606"/>
        <n v="39038"/>
        <n v="25127"/>
        <n v="41791"/>
        <n v="36245"/>
        <n v="39198"/>
        <n v="59272"/>
        <n v="32900"/>
        <n v="52346"/>
        <n v="53323"/>
        <n v="35780"/>
        <n v="27904"/>
        <n v="57468"/>
        <n v="46434"/>
        <n v="20677"/>
        <n v="56773"/>
        <n v="27911"/>
        <n v="26570"/>
        <n v="29793"/>
        <n v="57819"/>
        <n v="45917"/>
        <n v="49500"/>
        <n v="34431"/>
        <n v="49319"/>
        <n v="52645"/>
        <n v="44680"/>
        <n v="52980"/>
        <n v="32140"/>
        <n v="43369"/>
        <n v="51740"/>
        <n v="44386"/>
        <n v="51603"/>
        <n v="46719"/>
        <n v="50081"/>
        <n v="25737"/>
        <n v="48254"/>
        <n v="45818"/>
        <n v="56979"/>
        <n v="58923"/>
        <n v="23815"/>
        <n v="56921"/>
        <n v="51133"/>
        <n v="49965"/>
        <n v="58530"/>
        <n v="47276"/>
        <n v="23341"/>
        <n v="56371"/>
        <n v="20410"/>
        <n v="44862"/>
        <n v="56701"/>
        <n v="58468"/>
        <n v="56048"/>
        <n v="27660"/>
        <n v="56910"/>
        <n v="33861"/>
        <n v="30515"/>
        <n v="52673"/>
        <n v="53269"/>
        <n v="23927"/>
        <n v="46544"/>
        <n v="26640"/>
        <n v="41312"/>
        <n v="58488"/>
        <n v="25834"/>
        <n v="30025"/>
        <n v="51777"/>
        <n v="43970"/>
        <n v="51651"/>
        <n v="28759"/>
      </sharedItems>
    </cacheField>
    <cacheField name="Reach" numFmtId="0">
      <sharedItems containsSemiMixedTypes="0" containsString="0" containsNumber="1" containsInteger="1" minValue="18091" maxValue="74761"/>
    </cacheField>
    <cacheField name="Clicks" numFmtId="0">
      <sharedItems containsSemiMixedTypes="0" containsString="0" containsNumber="1" containsInteger="1" minValue="80" maxValue="299" count="165">
        <n v="133"/>
        <n v="273"/>
        <n v="121"/>
        <n v="272"/>
        <n v="200"/>
        <n v="149"/>
        <n v="212"/>
        <n v="120"/>
        <n v="171"/>
        <n v="284"/>
        <n v="88"/>
        <n v="86"/>
        <n v="213"/>
        <n v="264"/>
        <n v="179"/>
        <n v="172"/>
        <n v="83"/>
        <n v="235"/>
        <n v="95"/>
        <n v="90"/>
        <n v="230"/>
        <n v="84"/>
        <n v="103"/>
        <n v="174"/>
        <n v="232"/>
        <n v="147"/>
        <n v="268"/>
        <n v="206"/>
        <n v="202"/>
        <n v="197"/>
        <n v="279"/>
        <n v="138"/>
        <n v="289"/>
        <n v="287"/>
        <n v="265"/>
        <n v="80"/>
        <n v="195"/>
        <n v="125"/>
        <n v="275"/>
        <n v="211"/>
        <n v="154"/>
        <n v="290"/>
        <n v="201"/>
        <n v="92"/>
        <n v="191"/>
        <n v="148"/>
        <n v="215"/>
        <n v="261"/>
        <n v="87"/>
        <n v="239"/>
        <n v="190"/>
        <n v="259"/>
        <n v="291"/>
        <n v="177"/>
        <n v="220"/>
        <n v="116"/>
        <n v="182"/>
        <n v="237"/>
        <n v="205"/>
        <n v="109"/>
        <n v="227"/>
        <n v="267"/>
        <n v="221"/>
        <n v="107"/>
        <n v="135"/>
        <n v="193"/>
        <n v="270"/>
        <n v="101"/>
        <n v="207"/>
        <n v="128"/>
        <n v="157"/>
        <n v="184"/>
        <n v="180"/>
        <n v="122"/>
        <n v="169"/>
        <n v="160"/>
        <n v="298"/>
        <n v="111"/>
        <n v="82"/>
        <n v="98"/>
        <n v="241"/>
        <n v="114"/>
        <n v="258"/>
        <n v="181"/>
        <n v="218"/>
        <n v="282"/>
        <n v="263"/>
        <n v="132"/>
        <n v="91"/>
        <n v="102"/>
        <n v="118"/>
        <n v="164"/>
        <n v="131"/>
        <n v="194"/>
        <n v="170"/>
        <n v="141"/>
        <n v="251"/>
        <n v="245"/>
        <n v="176"/>
        <n v="277"/>
        <n v="236"/>
        <n v="299"/>
        <n v="173"/>
        <n v="113"/>
        <n v="145"/>
        <n v="224"/>
        <n v="139"/>
        <n v="196"/>
        <n v="127"/>
        <n v="199"/>
        <n v="296"/>
        <n v="105"/>
        <n v="208"/>
        <n v="286"/>
        <n v="219"/>
        <n v="158"/>
        <n v="216"/>
        <n v="293"/>
        <n v="100"/>
        <n v="256"/>
        <n v="168"/>
        <n v="288"/>
        <n v="175"/>
        <n v="278"/>
        <n v="269"/>
        <n v="150"/>
        <n v="178"/>
        <n v="161"/>
        <n v="85"/>
        <n v="281"/>
        <n v="112"/>
        <n v="204"/>
        <n v="240"/>
        <n v="222"/>
        <n v="276"/>
        <n v="117"/>
        <n v="155"/>
        <n v="186"/>
        <n v="255"/>
        <n v="271"/>
        <n v="294"/>
        <n v="257"/>
        <n v="246"/>
        <n v="297"/>
        <n v="214"/>
        <n v="104"/>
        <n v="159"/>
        <n v="130"/>
        <n v="163"/>
        <n v="225"/>
        <n v="96"/>
        <n v="262"/>
        <n v="248"/>
        <n v="146"/>
        <n v="185"/>
        <n v="210"/>
        <n v="126"/>
        <n v="234"/>
        <n v="143"/>
        <n v="295"/>
        <n v="228"/>
        <n v="198"/>
        <n v="156"/>
        <n v="106"/>
        <n v="165"/>
      </sharedItems>
    </cacheField>
    <cacheField name="Hashtags Used" numFmtId="0">
      <sharedItems count="8">
        <s v="#SoundtrackOfLife,#NowPlaying"/>
        <s v="#DiscoverWeekly"/>
        <s v="#MusicForEveryone,#NowPlaying"/>
        <s v="#DiscoverWeekly,#SpotifyWrapped"/>
        <s v="#DiscoverWeekly,#MusicForEveryone"/>
        <s v="#NowPlaying"/>
        <s v="#SoundtrackOfLife"/>
        <s v="#DiscoverWeekly,#SoundtrackOfLife"/>
      </sharedItems>
    </cacheField>
    <cacheField name="Campaign_Name" numFmtId="0">
      <sharedItems count="4">
        <s v="ChillVibes"/>
        <s v="IndieWave"/>
        <s v="Wrapped2024"/>
        <s v="SummerBeats"/>
      </sharedItems>
    </cacheField>
    <cacheField name="Engagement Rate" numFmtId="0">
      <sharedItems containsSemiMixedTypes="0" containsString="0" containsNumber="1" minValue="2.50275284149232E-2" maxValue="0.26064752360763155"/>
    </cacheField>
  </cacheFields>
  <extLst>
    <ext xmlns:x14="http://schemas.microsoft.com/office/spreadsheetml/2009/9/main" uri="{725AE2AE-9491-48be-B2B4-4EB974FC3084}">
      <x14:pivotCacheDefinition pivotCacheId="45409083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shnupriya S" refreshedDate="46073.774696412038" createdVersion="8" refreshedVersion="8" minRefreshableVersion="3" recordCount="483" xr:uid="{8A25E735-C75D-4298-B7A2-AC0D0A232C81}">
  <cacheSource type="worksheet">
    <worksheetSource name="Posts" r:id="rId2"/>
  </cacheSource>
  <cacheFields count="13">
    <cacheField name="Post ID" numFmtId="0">
      <sharedItems/>
    </cacheField>
    <cacheField name="Platform" numFmtId="0">
      <sharedItems/>
    </cacheField>
    <cacheField name="Date" numFmtId="14">
      <sharedItems containsSemiMixedTypes="0" containsNonDate="0" containsDate="1" containsString="0" minDate="2024-01-01T00:00:00" maxDate="2025-07-02T00:00:00"/>
    </cacheField>
    <cacheField name="Content Type" numFmtId="0">
      <sharedItems/>
    </cacheField>
    <cacheField name="Post Text" numFmtId="0">
      <sharedItems/>
    </cacheField>
    <cacheField name="Likes" numFmtId="0">
      <sharedItems containsSemiMixedTypes="0" containsString="0" containsNumber="1" containsInteger="1" minValue="1010" maxValue="4995"/>
    </cacheField>
    <cacheField name="Shares" numFmtId="0">
      <sharedItems containsSemiMixedTypes="0" containsString="0" containsNumber="1" containsInteger="1" minValue="100" maxValue="499"/>
    </cacheField>
    <cacheField name="Comments" numFmtId="0">
      <sharedItems containsSemiMixedTypes="0" containsString="0" containsNumber="1" containsInteger="1" minValue="51" maxValue="400"/>
    </cacheField>
    <cacheField name="Impressions" numFmtId="0">
      <sharedItems containsSemiMixedTypes="0" containsString="0" containsNumber="1" containsInteger="1" minValue="20368" maxValue="59888"/>
    </cacheField>
    <cacheField name="Reach" numFmtId="0">
      <sharedItems containsSemiMixedTypes="0" containsString="0" containsNumber="1" containsInteger="1" minValue="18091" maxValue="74761"/>
    </cacheField>
    <cacheField name="Clicks" numFmtId="0">
      <sharedItems containsSemiMixedTypes="0" containsString="0" containsNumber="1" containsInteger="1" minValue="80" maxValue="299"/>
    </cacheField>
    <cacheField name="Hashtags Used" numFmtId="0">
      <sharedItems count="5">
        <s v="#SoundtrackOfLife"/>
        <s v="#NowPlaying"/>
        <s v="#DiscoverWeekly"/>
        <s v="#MusicForEveryone"/>
        <s v="#SpotifyWrapped"/>
      </sharedItems>
    </cacheField>
    <cacheField name="Campaign_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x v="0"/>
    <d v="2025-05-04T00:00:00"/>
    <x v="0"/>
    <x v="0"/>
    <x v="0"/>
    <n v="245"/>
    <n v="137"/>
    <x v="0"/>
    <n v="45292"/>
    <x v="0"/>
    <x v="0"/>
    <x v="0"/>
    <n v="0.13200509890939993"/>
  </r>
  <r>
    <x v="1"/>
    <x v="0"/>
    <d v="2025-02-01T00:00:00"/>
    <x v="0"/>
    <x v="1"/>
    <x v="1"/>
    <n v="210"/>
    <n v="393"/>
    <x v="1"/>
    <n v="73287"/>
    <x v="1"/>
    <x v="1"/>
    <x v="1"/>
    <n v="8.7095334546328396E-2"/>
  </r>
  <r>
    <x v="2"/>
    <x v="1"/>
    <d v="2024-12-03T00:00:00"/>
    <x v="1"/>
    <x v="2"/>
    <x v="2"/>
    <n v="177"/>
    <n v="81"/>
    <x v="2"/>
    <n v="29220"/>
    <x v="2"/>
    <x v="2"/>
    <x v="0"/>
    <n v="7.0477352576105018E-2"/>
  </r>
  <r>
    <x v="3"/>
    <x v="0"/>
    <d v="2024-12-03T00:00:00"/>
    <x v="0"/>
    <x v="3"/>
    <x v="3"/>
    <n v="229"/>
    <n v="197"/>
    <x v="3"/>
    <n v="21809"/>
    <x v="3"/>
    <x v="0"/>
    <x v="0"/>
    <n v="0.1215714092690177"/>
  </r>
  <r>
    <x v="4"/>
    <x v="2"/>
    <d v="2024-04-06T00:00:00"/>
    <x v="0"/>
    <x v="4"/>
    <x v="4"/>
    <n v="145"/>
    <n v="315"/>
    <x v="4"/>
    <n v="61182"/>
    <x v="4"/>
    <x v="3"/>
    <x v="1"/>
    <n v="0.1314700217204213"/>
  </r>
  <r>
    <x v="5"/>
    <x v="2"/>
    <d v="2024-06-13T00:00:00"/>
    <x v="0"/>
    <x v="5"/>
    <x v="5"/>
    <n v="239"/>
    <n v="275"/>
    <x v="5"/>
    <n v="44646"/>
    <x v="5"/>
    <x v="3"/>
    <x v="1"/>
    <n v="7.4828079253761837E-2"/>
  </r>
  <r>
    <x v="6"/>
    <x v="1"/>
    <d v="2024-12-19T00:00:00"/>
    <x v="1"/>
    <x v="6"/>
    <x v="6"/>
    <n v="409"/>
    <n v="327"/>
    <x v="6"/>
    <n v="63599"/>
    <x v="6"/>
    <x v="0"/>
    <x v="0"/>
    <n v="0.26064752360763155"/>
  </r>
  <r>
    <x v="7"/>
    <x v="1"/>
    <d v="2024-05-09T00:00:00"/>
    <x v="1"/>
    <x v="3"/>
    <x v="7"/>
    <n v="347"/>
    <n v="67"/>
    <x v="7"/>
    <n v="19712"/>
    <x v="7"/>
    <x v="4"/>
    <x v="0"/>
    <n v="8.7100435029317191E-2"/>
  </r>
  <r>
    <x v="8"/>
    <x v="1"/>
    <d v="2025-06-15T00:00:00"/>
    <x v="0"/>
    <x v="7"/>
    <x v="8"/>
    <n v="223"/>
    <n v="299"/>
    <x v="8"/>
    <n v="21742"/>
    <x v="8"/>
    <x v="5"/>
    <x v="0"/>
    <n v="8.3943337400027115E-2"/>
  </r>
  <r>
    <x v="9"/>
    <x v="1"/>
    <d v="2024-12-04T00:00:00"/>
    <x v="0"/>
    <x v="3"/>
    <x v="9"/>
    <n v="274"/>
    <n v="172"/>
    <x v="9"/>
    <n v="66829"/>
    <x v="9"/>
    <x v="5"/>
    <x v="0"/>
    <n v="0.12997310581470833"/>
  </r>
  <r>
    <x v="10"/>
    <x v="1"/>
    <d v="2024-03-06T00:00:00"/>
    <x v="0"/>
    <x v="0"/>
    <x v="10"/>
    <n v="370"/>
    <n v="306"/>
    <x v="10"/>
    <n v="27897"/>
    <x v="10"/>
    <x v="6"/>
    <x v="1"/>
    <n v="8.4525482181632389E-2"/>
  </r>
  <r>
    <x v="11"/>
    <x v="0"/>
    <d v="2024-05-14T00:00:00"/>
    <x v="0"/>
    <x v="0"/>
    <x v="11"/>
    <n v="353"/>
    <n v="244"/>
    <x v="11"/>
    <n v="38556"/>
    <x v="11"/>
    <x v="0"/>
    <x v="0"/>
    <n v="5.4191936281527367E-2"/>
  </r>
  <r>
    <x v="12"/>
    <x v="1"/>
    <d v="2025-06-18T00:00:00"/>
    <x v="1"/>
    <x v="0"/>
    <x v="12"/>
    <n v="319"/>
    <n v="61"/>
    <x v="12"/>
    <n v="28720"/>
    <x v="12"/>
    <x v="2"/>
    <x v="0"/>
    <n v="7.4550393727863554E-2"/>
  </r>
  <r>
    <x v="13"/>
    <x v="1"/>
    <d v="2024-10-08T00:00:00"/>
    <x v="0"/>
    <x v="8"/>
    <x v="13"/>
    <n v="409"/>
    <n v="253"/>
    <x v="13"/>
    <n v="46122"/>
    <x v="13"/>
    <x v="5"/>
    <x v="0"/>
    <n v="8.5063484278785892E-2"/>
  </r>
  <r>
    <x v="14"/>
    <x v="1"/>
    <d v="2024-05-06T00:00:00"/>
    <x v="0"/>
    <x v="9"/>
    <x v="14"/>
    <n v="355"/>
    <n v="396"/>
    <x v="14"/>
    <n v="27285"/>
    <x v="14"/>
    <x v="5"/>
    <x v="0"/>
    <n v="0.11274405206444041"/>
  </r>
  <r>
    <x v="15"/>
    <x v="1"/>
    <d v="2024-12-29T00:00:00"/>
    <x v="1"/>
    <x v="2"/>
    <x v="15"/>
    <n v="377"/>
    <n v="94"/>
    <x v="15"/>
    <n v="42875"/>
    <x v="15"/>
    <x v="2"/>
    <x v="0"/>
    <n v="9.3810966751068869E-2"/>
  </r>
  <r>
    <x v="16"/>
    <x v="1"/>
    <d v="2024-06-10T00:00:00"/>
    <x v="0"/>
    <x v="5"/>
    <x v="16"/>
    <n v="164"/>
    <n v="275"/>
    <x v="16"/>
    <n v="44389"/>
    <x v="16"/>
    <x v="5"/>
    <x v="0"/>
    <n v="4.7214969538729328E-2"/>
  </r>
  <r>
    <x v="17"/>
    <x v="0"/>
    <d v="2024-02-03T00:00:00"/>
    <x v="1"/>
    <x v="4"/>
    <x v="17"/>
    <n v="101"/>
    <n v="163"/>
    <x v="17"/>
    <n v="53382"/>
    <x v="17"/>
    <x v="5"/>
    <x v="2"/>
    <n v="0.1408079806679472"/>
  </r>
  <r>
    <x v="18"/>
    <x v="2"/>
    <d v="2024-06-15T00:00:00"/>
    <x v="2"/>
    <x v="6"/>
    <x v="18"/>
    <n v="143"/>
    <n v="151"/>
    <x v="18"/>
    <n v="47729"/>
    <x v="18"/>
    <x v="7"/>
    <x v="3"/>
    <n v="6.4255640042732362E-2"/>
  </r>
  <r>
    <x v="19"/>
    <x v="0"/>
    <d v="2024-07-05T00:00:00"/>
    <x v="0"/>
    <x v="9"/>
    <x v="19"/>
    <n v="411"/>
    <n v="308"/>
    <x v="19"/>
    <n v="27678"/>
    <x v="19"/>
    <x v="1"/>
    <x v="1"/>
    <n v="0.15347655981879332"/>
  </r>
  <r>
    <x v="20"/>
    <x v="0"/>
    <d v="2024-11-07T00:00:00"/>
    <x v="1"/>
    <x v="3"/>
    <x v="20"/>
    <n v="423"/>
    <n v="323"/>
    <x v="20"/>
    <n v="37945"/>
    <x v="20"/>
    <x v="5"/>
    <x v="2"/>
    <n v="4.3543867212761371E-2"/>
  </r>
  <r>
    <x v="21"/>
    <x v="0"/>
    <d v="2025-06-15T00:00:00"/>
    <x v="0"/>
    <x v="5"/>
    <x v="21"/>
    <n v="466"/>
    <n v="233"/>
    <x v="21"/>
    <n v="34270"/>
    <x v="21"/>
    <x v="0"/>
    <x v="0"/>
    <n v="0.19548583208133888"/>
  </r>
  <r>
    <x v="22"/>
    <x v="2"/>
    <d v="2024-06-09T00:00:00"/>
    <x v="2"/>
    <x v="8"/>
    <x v="22"/>
    <n v="368"/>
    <n v="208"/>
    <x v="22"/>
    <n v="39967"/>
    <x v="22"/>
    <x v="7"/>
    <x v="3"/>
    <n v="8.0047619047619048E-2"/>
  </r>
  <r>
    <x v="23"/>
    <x v="1"/>
    <d v="2024-10-18T00:00:00"/>
    <x v="0"/>
    <x v="2"/>
    <x v="23"/>
    <n v="379"/>
    <n v="180"/>
    <x v="23"/>
    <n v="61620"/>
    <x v="23"/>
    <x v="6"/>
    <x v="1"/>
    <n v="0.11026748397882419"/>
  </r>
  <r>
    <x v="24"/>
    <x v="2"/>
    <d v="2024-10-10T00:00:00"/>
    <x v="2"/>
    <x v="8"/>
    <x v="24"/>
    <n v="320"/>
    <n v="92"/>
    <x v="24"/>
    <n v="60169"/>
    <x v="24"/>
    <x v="7"/>
    <x v="3"/>
    <n v="8.1036535115831879E-2"/>
  </r>
  <r>
    <x v="25"/>
    <x v="1"/>
    <d v="2025-05-14T00:00:00"/>
    <x v="1"/>
    <x v="8"/>
    <x v="25"/>
    <n v="103"/>
    <n v="51"/>
    <x v="25"/>
    <n v="18801"/>
    <x v="25"/>
    <x v="4"/>
    <x v="0"/>
    <n v="5.173411449857148E-2"/>
  </r>
  <r>
    <x v="26"/>
    <x v="0"/>
    <d v="2024-11-29T00:00:00"/>
    <x v="0"/>
    <x v="5"/>
    <x v="26"/>
    <n v="425"/>
    <n v="274"/>
    <x v="26"/>
    <n v="53488"/>
    <x v="26"/>
    <x v="0"/>
    <x v="0"/>
    <n v="0.11363049929041415"/>
  </r>
  <r>
    <x v="27"/>
    <x v="2"/>
    <d v="2024-03-05T00:00:00"/>
    <x v="2"/>
    <x v="1"/>
    <x v="27"/>
    <n v="314"/>
    <n v="199"/>
    <x v="27"/>
    <n v="53929"/>
    <x v="27"/>
    <x v="7"/>
    <x v="3"/>
    <n v="8.205676046117874E-2"/>
  </r>
  <r>
    <x v="28"/>
    <x v="1"/>
    <d v="2025-03-18T00:00:00"/>
    <x v="1"/>
    <x v="1"/>
    <x v="28"/>
    <n v="188"/>
    <n v="387"/>
    <x v="28"/>
    <n v="36933"/>
    <x v="28"/>
    <x v="2"/>
    <x v="0"/>
    <n v="6.9526910553533799E-2"/>
  </r>
  <r>
    <x v="29"/>
    <x v="1"/>
    <d v="2025-04-26T00:00:00"/>
    <x v="0"/>
    <x v="0"/>
    <x v="29"/>
    <n v="194"/>
    <n v="168"/>
    <x v="29"/>
    <n v="71699"/>
    <x v="29"/>
    <x v="5"/>
    <x v="0"/>
    <n v="0.10399399962497656"/>
  </r>
  <r>
    <x v="30"/>
    <x v="0"/>
    <d v="2025-01-01T00:00:00"/>
    <x v="0"/>
    <x v="2"/>
    <x v="30"/>
    <n v="112"/>
    <n v="382"/>
    <x v="30"/>
    <n v="29440"/>
    <x v="30"/>
    <x v="0"/>
    <x v="0"/>
    <n v="8.0484684812735408E-2"/>
  </r>
  <r>
    <x v="31"/>
    <x v="1"/>
    <d v="2024-05-07T00:00:00"/>
    <x v="1"/>
    <x v="1"/>
    <x v="31"/>
    <n v="307"/>
    <n v="178"/>
    <x v="31"/>
    <n v="48408"/>
    <x v="31"/>
    <x v="0"/>
    <x v="0"/>
    <n v="7.519889311656866E-2"/>
  </r>
  <r>
    <x v="32"/>
    <x v="1"/>
    <d v="2024-10-09T00:00:00"/>
    <x v="1"/>
    <x v="0"/>
    <x v="32"/>
    <n v="182"/>
    <n v="95"/>
    <x v="32"/>
    <n v="31084"/>
    <x v="32"/>
    <x v="4"/>
    <x v="0"/>
    <n v="0.16177247444144061"/>
  </r>
  <r>
    <x v="33"/>
    <x v="0"/>
    <d v="2025-01-09T00:00:00"/>
    <x v="0"/>
    <x v="2"/>
    <x v="33"/>
    <n v="366"/>
    <n v="308"/>
    <x v="33"/>
    <n v="63790"/>
    <x v="33"/>
    <x v="0"/>
    <x v="0"/>
    <n v="4.4299315445747112E-2"/>
  </r>
  <r>
    <x v="34"/>
    <x v="1"/>
    <d v="2025-05-08T00:00:00"/>
    <x v="1"/>
    <x v="9"/>
    <x v="34"/>
    <n v="332"/>
    <n v="268"/>
    <x v="34"/>
    <n v="36913"/>
    <x v="34"/>
    <x v="2"/>
    <x v="0"/>
    <n v="9.7668038408779148E-2"/>
  </r>
  <r>
    <x v="35"/>
    <x v="0"/>
    <d v="2024-05-04T00:00:00"/>
    <x v="0"/>
    <x v="3"/>
    <x v="35"/>
    <n v="243"/>
    <n v="222"/>
    <x v="35"/>
    <n v="59174"/>
    <x v="35"/>
    <x v="1"/>
    <x v="1"/>
    <n v="6.3600055728416843E-2"/>
  </r>
  <r>
    <x v="36"/>
    <x v="1"/>
    <d v="2025-05-27T00:00:00"/>
    <x v="1"/>
    <x v="1"/>
    <x v="36"/>
    <n v="385"/>
    <n v="400"/>
    <x v="36"/>
    <n v="31795"/>
    <x v="35"/>
    <x v="2"/>
    <x v="0"/>
    <n v="0.10772626931567329"/>
  </r>
  <r>
    <x v="37"/>
    <x v="0"/>
    <d v="2024-09-10T00:00:00"/>
    <x v="1"/>
    <x v="2"/>
    <x v="37"/>
    <n v="309"/>
    <n v="207"/>
    <x v="37"/>
    <n v="40699"/>
    <x v="36"/>
    <x v="5"/>
    <x v="2"/>
    <n v="3.9122543637545096E-2"/>
  </r>
  <r>
    <x v="38"/>
    <x v="0"/>
    <d v="2024-11-25T00:00:00"/>
    <x v="0"/>
    <x v="8"/>
    <x v="38"/>
    <n v="472"/>
    <n v="238"/>
    <x v="38"/>
    <n v="51706"/>
    <x v="0"/>
    <x v="1"/>
    <x v="1"/>
    <n v="3.9913595142645857E-2"/>
  </r>
  <r>
    <x v="39"/>
    <x v="1"/>
    <d v="2025-06-10T00:00:00"/>
    <x v="0"/>
    <x v="1"/>
    <x v="39"/>
    <n v="192"/>
    <n v="162"/>
    <x v="39"/>
    <n v="35341"/>
    <x v="37"/>
    <x v="5"/>
    <x v="0"/>
    <n v="0.14436927106067218"/>
  </r>
  <r>
    <x v="40"/>
    <x v="0"/>
    <d v="2024-04-19T00:00:00"/>
    <x v="0"/>
    <x v="2"/>
    <x v="40"/>
    <n v="353"/>
    <n v="129"/>
    <x v="40"/>
    <n v="37279"/>
    <x v="38"/>
    <x v="0"/>
    <x v="0"/>
    <n v="0.10863928268508422"/>
  </r>
  <r>
    <x v="41"/>
    <x v="0"/>
    <d v="2025-01-26T00:00:00"/>
    <x v="1"/>
    <x v="5"/>
    <x v="41"/>
    <n v="363"/>
    <n v="393"/>
    <x v="41"/>
    <n v="69032"/>
    <x v="39"/>
    <x v="5"/>
    <x v="2"/>
    <n v="9.379528682585335E-2"/>
  </r>
  <r>
    <x v="42"/>
    <x v="0"/>
    <d v="2025-02-14T00:00:00"/>
    <x v="0"/>
    <x v="7"/>
    <x v="42"/>
    <n v="450"/>
    <n v="387"/>
    <x v="42"/>
    <n v="37312"/>
    <x v="40"/>
    <x v="0"/>
    <x v="0"/>
    <n v="0.11750707750379519"/>
  </r>
  <r>
    <x v="43"/>
    <x v="0"/>
    <d v="2024-09-06T00:00:00"/>
    <x v="0"/>
    <x v="2"/>
    <x v="43"/>
    <n v="281"/>
    <n v="326"/>
    <x v="43"/>
    <n v="62599"/>
    <x v="41"/>
    <x v="1"/>
    <x v="1"/>
    <n v="3.9937155714174881E-2"/>
  </r>
  <r>
    <x v="44"/>
    <x v="2"/>
    <d v="2024-07-14T00:00:00"/>
    <x v="0"/>
    <x v="9"/>
    <x v="44"/>
    <n v="114"/>
    <n v="278"/>
    <x v="44"/>
    <n v="24209"/>
    <x v="42"/>
    <x v="3"/>
    <x v="1"/>
    <n v="0.11613367267898639"/>
  </r>
  <r>
    <x v="45"/>
    <x v="0"/>
    <d v="2024-02-12T00:00:00"/>
    <x v="0"/>
    <x v="1"/>
    <x v="45"/>
    <n v="330"/>
    <n v="250"/>
    <x v="45"/>
    <n v="74590"/>
    <x v="43"/>
    <x v="1"/>
    <x v="1"/>
    <n v="0.14600091693410577"/>
  </r>
  <r>
    <x v="46"/>
    <x v="2"/>
    <d v="2024-03-14T00:00:00"/>
    <x v="2"/>
    <x v="8"/>
    <x v="46"/>
    <n v="188"/>
    <n v="358"/>
    <x v="46"/>
    <n v="24536"/>
    <x v="7"/>
    <x v="7"/>
    <x v="3"/>
    <n v="9.8072192379135503E-2"/>
  </r>
  <r>
    <x v="47"/>
    <x v="0"/>
    <d v="2025-02-05T00:00:00"/>
    <x v="1"/>
    <x v="4"/>
    <x v="47"/>
    <n v="371"/>
    <n v="348"/>
    <x v="47"/>
    <n v="57803"/>
    <x v="12"/>
    <x v="5"/>
    <x v="2"/>
    <n v="0.15735977431131762"/>
  </r>
  <r>
    <x v="48"/>
    <x v="1"/>
    <d v="2024-08-29T00:00:00"/>
    <x v="1"/>
    <x v="6"/>
    <x v="48"/>
    <n v="227"/>
    <n v="223"/>
    <x v="48"/>
    <n v="41005"/>
    <x v="44"/>
    <x v="4"/>
    <x v="0"/>
    <n v="0.1087862256289851"/>
  </r>
  <r>
    <x v="49"/>
    <x v="1"/>
    <d v="2025-04-22T00:00:00"/>
    <x v="0"/>
    <x v="0"/>
    <x v="49"/>
    <n v="421"/>
    <n v="216"/>
    <x v="49"/>
    <n v="54361"/>
    <x v="45"/>
    <x v="5"/>
    <x v="0"/>
    <n v="0.20241060666934513"/>
  </r>
  <r>
    <x v="50"/>
    <x v="2"/>
    <d v="2024-05-13T00:00:00"/>
    <x v="2"/>
    <x v="1"/>
    <x v="50"/>
    <n v="481"/>
    <n v="61"/>
    <x v="50"/>
    <n v="48955"/>
    <x v="46"/>
    <x v="7"/>
    <x v="3"/>
    <n v="0.10249760265016128"/>
  </r>
  <r>
    <x v="51"/>
    <x v="1"/>
    <d v="2024-09-04T00:00:00"/>
    <x v="1"/>
    <x v="2"/>
    <x v="51"/>
    <n v="455"/>
    <n v="228"/>
    <x v="51"/>
    <n v="61334"/>
    <x v="47"/>
    <x v="4"/>
    <x v="0"/>
    <n v="0.15227535227535227"/>
  </r>
  <r>
    <x v="52"/>
    <x v="1"/>
    <d v="2024-08-12T00:00:00"/>
    <x v="1"/>
    <x v="5"/>
    <x v="52"/>
    <n v="213"/>
    <n v="331"/>
    <x v="52"/>
    <n v="68606"/>
    <x v="48"/>
    <x v="2"/>
    <x v="0"/>
    <n v="5.8723551855705859E-2"/>
  </r>
  <r>
    <x v="53"/>
    <x v="0"/>
    <d v="2025-03-06T00:00:00"/>
    <x v="0"/>
    <x v="6"/>
    <x v="53"/>
    <n v="460"/>
    <n v="212"/>
    <x v="53"/>
    <n v="59574"/>
    <x v="49"/>
    <x v="1"/>
    <x v="1"/>
    <n v="9.5101162290142052E-2"/>
  </r>
  <r>
    <x v="54"/>
    <x v="1"/>
    <d v="2024-05-08T00:00:00"/>
    <x v="0"/>
    <x v="1"/>
    <x v="54"/>
    <n v="450"/>
    <n v="214"/>
    <x v="54"/>
    <n v="19166"/>
    <x v="50"/>
    <x v="5"/>
    <x v="0"/>
    <n v="4.781732706514439E-2"/>
  </r>
  <r>
    <x v="55"/>
    <x v="0"/>
    <d v="2025-02-19T00:00:00"/>
    <x v="1"/>
    <x v="8"/>
    <x v="55"/>
    <n v="455"/>
    <n v="376"/>
    <x v="55"/>
    <n v="46775"/>
    <x v="51"/>
    <x v="5"/>
    <x v="2"/>
    <n v="0.13885094758408742"/>
  </r>
  <r>
    <x v="56"/>
    <x v="0"/>
    <d v="2024-01-08T00:00:00"/>
    <x v="0"/>
    <x v="7"/>
    <x v="56"/>
    <n v="405"/>
    <n v="223"/>
    <x v="56"/>
    <n v="58106"/>
    <x v="52"/>
    <x v="1"/>
    <x v="1"/>
    <n v="0.10600966926007749"/>
  </r>
  <r>
    <x v="57"/>
    <x v="2"/>
    <d v="2024-07-17T00:00:00"/>
    <x v="0"/>
    <x v="7"/>
    <x v="57"/>
    <n v="110"/>
    <n v="215"/>
    <x v="57"/>
    <n v="24744"/>
    <x v="53"/>
    <x v="3"/>
    <x v="1"/>
    <n v="8.8283323127168814E-2"/>
  </r>
  <r>
    <x v="58"/>
    <x v="2"/>
    <d v="2024-08-10T00:00:00"/>
    <x v="0"/>
    <x v="8"/>
    <x v="58"/>
    <n v="181"/>
    <n v="55"/>
    <x v="58"/>
    <n v="74048"/>
    <x v="54"/>
    <x v="3"/>
    <x v="1"/>
    <n v="2.50275284149232E-2"/>
  </r>
  <r>
    <x v="59"/>
    <x v="2"/>
    <d v="2024-04-16T00:00:00"/>
    <x v="0"/>
    <x v="0"/>
    <x v="6"/>
    <n v="326"/>
    <n v="62"/>
    <x v="59"/>
    <n v="46814"/>
    <x v="55"/>
    <x v="3"/>
    <x v="1"/>
    <n v="0.11124541239039185"/>
  </r>
  <r>
    <x v="60"/>
    <x v="2"/>
    <d v="2024-01-01T00:00:00"/>
    <x v="2"/>
    <x v="1"/>
    <x v="59"/>
    <n v="129"/>
    <n v="359"/>
    <x v="60"/>
    <n v="30854"/>
    <x v="8"/>
    <x v="7"/>
    <x v="3"/>
    <n v="8.8087436599488311E-2"/>
  </r>
  <r>
    <x v="61"/>
    <x v="1"/>
    <d v="2024-11-03T00:00:00"/>
    <x v="1"/>
    <x v="3"/>
    <x v="60"/>
    <n v="316"/>
    <n v="82"/>
    <x v="61"/>
    <n v="69015"/>
    <x v="56"/>
    <x v="2"/>
    <x v="0"/>
    <n v="4.3619068768968837E-2"/>
  </r>
  <r>
    <x v="62"/>
    <x v="1"/>
    <d v="2024-07-07T00:00:00"/>
    <x v="0"/>
    <x v="2"/>
    <x v="61"/>
    <n v="137"/>
    <n v="184"/>
    <x v="62"/>
    <n v="68953"/>
    <x v="57"/>
    <x v="6"/>
    <x v="1"/>
    <n v="3.6351938233874857E-2"/>
  </r>
  <r>
    <x v="63"/>
    <x v="1"/>
    <d v="2025-01-22T00:00:00"/>
    <x v="1"/>
    <x v="2"/>
    <x v="62"/>
    <n v="101"/>
    <n v="121"/>
    <x v="63"/>
    <n v="58207"/>
    <x v="58"/>
    <x v="2"/>
    <x v="0"/>
    <n v="9.2093661212893113E-2"/>
  </r>
  <r>
    <x v="64"/>
    <x v="2"/>
    <d v="2024-05-26T00:00:00"/>
    <x v="0"/>
    <x v="8"/>
    <x v="63"/>
    <n v="327"/>
    <n v="110"/>
    <x v="64"/>
    <n v="30239"/>
    <x v="59"/>
    <x v="3"/>
    <x v="1"/>
    <n v="3.5777344113000653E-2"/>
  </r>
  <r>
    <x v="65"/>
    <x v="0"/>
    <d v="2025-04-16T00:00:00"/>
    <x v="0"/>
    <x v="3"/>
    <x v="64"/>
    <n v="331"/>
    <n v="140"/>
    <x v="65"/>
    <n v="47711"/>
    <x v="60"/>
    <x v="0"/>
    <x v="0"/>
    <n v="9.0267383317458164E-2"/>
  </r>
  <r>
    <x v="66"/>
    <x v="2"/>
    <d v="2024-04-02T00:00:00"/>
    <x v="2"/>
    <x v="9"/>
    <x v="65"/>
    <n v="488"/>
    <n v="356"/>
    <x v="66"/>
    <n v="23328"/>
    <x v="61"/>
    <x v="7"/>
    <x v="3"/>
    <n v="0.17658969920637513"/>
  </r>
  <r>
    <x v="67"/>
    <x v="1"/>
    <d v="2024-03-28T00:00:00"/>
    <x v="0"/>
    <x v="4"/>
    <x v="66"/>
    <n v="421"/>
    <n v="114"/>
    <x v="67"/>
    <n v="30324"/>
    <x v="62"/>
    <x v="6"/>
    <x v="1"/>
    <n v="0.18517978620019437"/>
  </r>
  <r>
    <x v="68"/>
    <x v="1"/>
    <d v="2024-12-17T00:00:00"/>
    <x v="1"/>
    <x v="4"/>
    <x v="67"/>
    <n v="472"/>
    <n v="286"/>
    <x v="68"/>
    <n v="53343"/>
    <x v="60"/>
    <x v="4"/>
    <x v="0"/>
    <n v="4.6406515707509172E-2"/>
  </r>
  <r>
    <x v="69"/>
    <x v="1"/>
    <d v="2025-01-05T00:00:00"/>
    <x v="0"/>
    <x v="3"/>
    <x v="68"/>
    <n v="473"/>
    <n v="254"/>
    <x v="69"/>
    <n v="68795"/>
    <x v="63"/>
    <x v="5"/>
    <x v="0"/>
    <n v="0.10657378184897237"/>
  </r>
  <r>
    <x v="70"/>
    <x v="1"/>
    <d v="2024-01-11T00:00:00"/>
    <x v="0"/>
    <x v="5"/>
    <x v="69"/>
    <n v="247"/>
    <n v="183"/>
    <x v="70"/>
    <n v="18310"/>
    <x v="64"/>
    <x v="6"/>
    <x v="1"/>
    <n v="0.1607525766064882"/>
  </r>
  <r>
    <x v="71"/>
    <x v="0"/>
    <d v="2024-10-11T00:00:00"/>
    <x v="0"/>
    <x v="8"/>
    <x v="70"/>
    <n v="249"/>
    <n v="52"/>
    <x v="71"/>
    <n v="42152"/>
    <x v="65"/>
    <x v="1"/>
    <x v="1"/>
    <n v="8.1549489395129612E-2"/>
  </r>
  <r>
    <x v="72"/>
    <x v="2"/>
    <d v="2025-05-06T00:00:00"/>
    <x v="2"/>
    <x v="0"/>
    <x v="71"/>
    <n v="496"/>
    <n v="320"/>
    <x v="72"/>
    <n v="38599"/>
    <x v="66"/>
    <x v="7"/>
    <x v="3"/>
    <n v="5.2042268944371438E-2"/>
  </r>
  <r>
    <x v="73"/>
    <x v="1"/>
    <d v="2024-05-19T00:00:00"/>
    <x v="1"/>
    <x v="6"/>
    <x v="72"/>
    <n v="206"/>
    <n v="187"/>
    <x v="73"/>
    <n v="25095"/>
    <x v="10"/>
    <x v="4"/>
    <x v="0"/>
    <n v="4.0418432004799221E-2"/>
  </r>
  <r>
    <x v="74"/>
    <x v="1"/>
    <d v="2024-01-22T00:00:00"/>
    <x v="1"/>
    <x v="8"/>
    <x v="73"/>
    <n v="455"/>
    <n v="158"/>
    <x v="74"/>
    <n v="48578"/>
    <x v="67"/>
    <x v="0"/>
    <x v="0"/>
    <n v="5.1660428636136076E-2"/>
  </r>
  <r>
    <x v="75"/>
    <x v="0"/>
    <d v="2024-07-14T00:00:00"/>
    <x v="0"/>
    <x v="3"/>
    <x v="74"/>
    <n v="401"/>
    <n v="78"/>
    <x v="75"/>
    <n v="73593"/>
    <x v="68"/>
    <x v="1"/>
    <x v="1"/>
    <n v="7.611534979956032E-2"/>
  </r>
  <r>
    <x v="76"/>
    <x v="1"/>
    <d v="2025-05-28T00:00:00"/>
    <x v="0"/>
    <x v="8"/>
    <x v="75"/>
    <n v="161"/>
    <n v="360"/>
    <x v="76"/>
    <n v="41383"/>
    <x v="10"/>
    <x v="5"/>
    <x v="0"/>
    <n v="9.6080290300434801E-2"/>
  </r>
  <r>
    <x v="77"/>
    <x v="1"/>
    <d v="2025-01-21T00:00:00"/>
    <x v="1"/>
    <x v="0"/>
    <x v="76"/>
    <n v="494"/>
    <n v="55"/>
    <x v="77"/>
    <n v="22214"/>
    <x v="59"/>
    <x v="2"/>
    <x v="0"/>
    <n v="0.13476527900797167"/>
  </r>
  <r>
    <x v="78"/>
    <x v="2"/>
    <d v="2024-01-13T00:00:00"/>
    <x v="2"/>
    <x v="2"/>
    <x v="77"/>
    <n v="191"/>
    <n v="122"/>
    <x v="78"/>
    <n v="50777"/>
    <x v="69"/>
    <x v="7"/>
    <x v="3"/>
    <n v="0.14335162515829464"/>
  </r>
  <r>
    <x v="79"/>
    <x v="0"/>
    <d v="2025-06-17T00:00:00"/>
    <x v="0"/>
    <x v="4"/>
    <x v="78"/>
    <n v="187"/>
    <n v="260"/>
    <x v="79"/>
    <n v="65014"/>
    <x v="70"/>
    <x v="0"/>
    <x v="0"/>
    <n v="7.3021390374331557E-2"/>
  </r>
  <r>
    <x v="80"/>
    <x v="1"/>
    <d v="2025-03-07T00:00:00"/>
    <x v="0"/>
    <x v="6"/>
    <x v="79"/>
    <n v="486"/>
    <n v="276"/>
    <x v="80"/>
    <n v="41343"/>
    <x v="71"/>
    <x v="6"/>
    <x v="1"/>
    <n v="8.8232696960599044E-2"/>
  </r>
  <r>
    <x v="81"/>
    <x v="0"/>
    <d v="2024-08-26T00:00:00"/>
    <x v="0"/>
    <x v="9"/>
    <x v="80"/>
    <n v="181"/>
    <n v="306"/>
    <x v="81"/>
    <n v="50079"/>
    <x v="56"/>
    <x v="1"/>
    <x v="1"/>
    <n v="5.9312714776632303E-2"/>
  </r>
  <r>
    <x v="82"/>
    <x v="1"/>
    <d v="2025-01-03T00:00:00"/>
    <x v="1"/>
    <x v="6"/>
    <x v="81"/>
    <n v="158"/>
    <n v="84"/>
    <x v="82"/>
    <n v="51480"/>
    <x v="72"/>
    <x v="0"/>
    <x v="0"/>
    <n v="0.1471166637746544"/>
  </r>
  <r>
    <x v="83"/>
    <x v="1"/>
    <d v="2024-08-03T00:00:00"/>
    <x v="0"/>
    <x v="9"/>
    <x v="82"/>
    <n v="390"/>
    <n v="213"/>
    <x v="83"/>
    <n v="57768"/>
    <x v="73"/>
    <x v="5"/>
    <x v="0"/>
    <n v="0.16283364109451065"/>
  </r>
  <r>
    <x v="84"/>
    <x v="0"/>
    <d v="2024-08-18T00:00:00"/>
    <x v="0"/>
    <x v="1"/>
    <x v="83"/>
    <n v="328"/>
    <n v="171"/>
    <x v="84"/>
    <n v="67536"/>
    <x v="13"/>
    <x v="0"/>
    <x v="0"/>
    <n v="6.0050273034584378E-2"/>
  </r>
  <r>
    <x v="85"/>
    <x v="1"/>
    <d v="2025-05-14T00:00:00"/>
    <x v="1"/>
    <x v="3"/>
    <x v="84"/>
    <n v="139"/>
    <n v="96"/>
    <x v="85"/>
    <n v="39395"/>
    <x v="74"/>
    <x v="0"/>
    <x v="0"/>
    <n v="4.4438295517432211E-2"/>
  </r>
  <r>
    <x v="86"/>
    <x v="1"/>
    <d v="2024-04-23T00:00:00"/>
    <x v="1"/>
    <x v="0"/>
    <x v="56"/>
    <n v="496"/>
    <n v="89"/>
    <x v="86"/>
    <n v="30334"/>
    <x v="75"/>
    <x v="0"/>
    <x v="0"/>
    <n v="6.1158416768035934E-2"/>
  </r>
  <r>
    <x v="87"/>
    <x v="1"/>
    <d v="2025-02-17T00:00:00"/>
    <x v="1"/>
    <x v="5"/>
    <x v="85"/>
    <n v="427"/>
    <n v="339"/>
    <x v="87"/>
    <n v="33870"/>
    <x v="76"/>
    <x v="0"/>
    <x v="0"/>
    <n v="0.18086628511966701"/>
  </r>
  <r>
    <x v="88"/>
    <x v="0"/>
    <d v="2024-12-04T00:00:00"/>
    <x v="0"/>
    <x v="3"/>
    <x v="86"/>
    <n v="336"/>
    <n v="260"/>
    <x v="88"/>
    <n v="49028"/>
    <x v="7"/>
    <x v="0"/>
    <x v="0"/>
    <n v="9.8770390509144837E-2"/>
  </r>
  <r>
    <x v="89"/>
    <x v="1"/>
    <d v="2024-07-22T00:00:00"/>
    <x v="1"/>
    <x v="3"/>
    <x v="87"/>
    <n v="229"/>
    <n v="337"/>
    <x v="89"/>
    <n v="26205"/>
    <x v="75"/>
    <x v="2"/>
    <x v="0"/>
    <n v="0.17642537414658407"/>
  </r>
  <r>
    <x v="90"/>
    <x v="1"/>
    <d v="2025-04-27T00:00:00"/>
    <x v="0"/>
    <x v="1"/>
    <x v="88"/>
    <n v="294"/>
    <n v="163"/>
    <x v="90"/>
    <n v="45926"/>
    <x v="77"/>
    <x v="6"/>
    <x v="1"/>
    <n v="7.8512996756861422E-2"/>
  </r>
  <r>
    <x v="91"/>
    <x v="2"/>
    <d v="2024-03-25T00:00:00"/>
    <x v="2"/>
    <x v="1"/>
    <x v="89"/>
    <n v="155"/>
    <n v="315"/>
    <x v="91"/>
    <n v="57121"/>
    <x v="78"/>
    <x v="7"/>
    <x v="3"/>
    <n v="7.974671020085089E-2"/>
  </r>
  <r>
    <x v="92"/>
    <x v="0"/>
    <d v="2024-02-29T00:00:00"/>
    <x v="0"/>
    <x v="8"/>
    <x v="90"/>
    <n v="229"/>
    <n v="312"/>
    <x v="92"/>
    <n v="34601"/>
    <x v="74"/>
    <x v="1"/>
    <x v="1"/>
    <n v="6.3999063999063993E-2"/>
  </r>
  <r>
    <x v="93"/>
    <x v="1"/>
    <d v="2024-11-13T00:00:00"/>
    <x v="1"/>
    <x v="7"/>
    <x v="91"/>
    <n v="257"/>
    <n v="397"/>
    <x v="93"/>
    <n v="54683"/>
    <x v="79"/>
    <x v="0"/>
    <x v="0"/>
    <n v="0.1439786294499264"/>
  </r>
  <r>
    <x v="94"/>
    <x v="0"/>
    <d v="2024-03-22T00:00:00"/>
    <x v="1"/>
    <x v="0"/>
    <x v="92"/>
    <n v="484"/>
    <n v="193"/>
    <x v="94"/>
    <n v="18091"/>
    <x v="80"/>
    <x v="5"/>
    <x v="2"/>
    <n v="0.14130742382794076"/>
  </r>
  <r>
    <x v="95"/>
    <x v="1"/>
    <d v="2024-03-16T00:00:00"/>
    <x v="1"/>
    <x v="3"/>
    <x v="93"/>
    <n v="292"/>
    <n v="90"/>
    <x v="95"/>
    <n v="54626"/>
    <x v="81"/>
    <x v="0"/>
    <x v="0"/>
    <n v="0.13528464682326713"/>
  </r>
  <r>
    <x v="96"/>
    <x v="0"/>
    <d v="2024-01-26T00:00:00"/>
    <x v="0"/>
    <x v="5"/>
    <x v="94"/>
    <n v="431"/>
    <n v="97"/>
    <x v="96"/>
    <n v="29729"/>
    <x v="44"/>
    <x v="1"/>
    <x v="1"/>
    <n v="0.10550008380623997"/>
  </r>
  <r>
    <x v="97"/>
    <x v="1"/>
    <d v="2024-03-15T00:00:00"/>
    <x v="1"/>
    <x v="6"/>
    <x v="95"/>
    <n v="433"/>
    <n v="237"/>
    <x v="97"/>
    <n v="23885"/>
    <x v="70"/>
    <x v="4"/>
    <x v="0"/>
    <n v="9.4690354648038683E-2"/>
  </r>
  <r>
    <x v="98"/>
    <x v="1"/>
    <d v="2024-10-15T00:00:00"/>
    <x v="0"/>
    <x v="3"/>
    <x v="96"/>
    <n v="481"/>
    <n v="356"/>
    <x v="98"/>
    <n v="63111"/>
    <x v="82"/>
    <x v="5"/>
    <x v="0"/>
    <n v="6.934441139598338E-2"/>
  </r>
  <r>
    <x v="99"/>
    <x v="0"/>
    <d v="2024-07-21T00:00:00"/>
    <x v="0"/>
    <x v="0"/>
    <x v="97"/>
    <n v="415"/>
    <n v="218"/>
    <x v="99"/>
    <n v="37073"/>
    <x v="83"/>
    <x v="1"/>
    <x v="1"/>
    <n v="0.10077583818232197"/>
  </r>
  <r>
    <x v="100"/>
    <x v="1"/>
    <d v="2024-10-12T00:00:00"/>
    <x v="0"/>
    <x v="6"/>
    <x v="98"/>
    <n v="386"/>
    <n v="175"/>
    <x v="100"/>
    <n v="38508"/>
    <x v="84"/>
    <x v="5"/>
    <x v="0"/>
    <n v="8.2866791077934779E-2"/>
  </r>
  <r>
    <x v="101"/>
    <x v="1"/>
    <d v="2024-10-26T00:00:00"/>
    <x v="0"/>
    <x v="0"/>
    <x v="99"/>
    <n v="293"/>
    <n v="115"/>
    <x v="101"/>
    <n v="46386"/>
    <x v="85"/>
    <x v="5"/>
    <x v="0"/>
    <n v="0.14485195154777927"/>
  </r>
  <r>
    <x v="102"/>
    <x v="0"/>
    <d v="2024-02-14T00:00:00"/>
    <x v="0"/>
    <x v="4"/>
    <x v="100"/>
    <n v="112"/>
    <n v="181"/>
    <x v="102"/>
    <n v="55742"/>
    <x v="86"/>
    <x v="0"/>
    <x v="0"/>
    <n v="6.6614370881706936E-2"/>
  </r>
  <r>
    <x v="103"/>
    <x v="1"/>
    <d v="2024-05-01T00:00:00"/>
    <x v="1"/>
    <x v="5"/>
    <x v="101"/>
    <n v="447"/>
    <n v="183"/>
    <x v="103"/>
    <n v="32877"/>
    <x v="87"/>
    <x v="4"/>
    <x v="0"/>
    <n v="8.8705674736667947E-2"/>
  </r>
  <r>
    <x v="104"/>
    <x v="1"/>
    <d v="2024-09-18T00:00:00"/>
    <x v="0"/>
    <x v="0"/>
    <x v="102"/>
    <n v="265"/>
    <n v="91"/>
    <x v="104"/>
    <n v="28924"/>
    <x v="0"/>
    <x v="5"/>
    <x v="0"/>
    <n v="6.2084853138798232E-2"/>
  </r>
  <r>
    <x v="105"/>
    <x v="1"/>
    <d v="2025-01-20T00:00:00"/>
    <x v="1"/>
    <x v="2"/>
    <x v="103"/>
    <n v="272"/>
    <n v="57"/>
    <x v="105"/>
    <n v="46292"/>
    <x v="88"/>
    <x v="0"/>
    <x v="0"/>
    <n v="0.23193025217961938"/>
  </r>
  <r>
    <x v="106"/>
    <x v="1"/>
    <d v="2025-01-13T00:00:00"/>
    <x v="0"/>
    <x v="4"/>
    <x v="104"/>
    <n v="209"/>
    <n v="278"/>
    <x v="106"/>
    <n v="57084"/>
    <x v="89"/>
    <x v="6"/>
    <x v="1"/>
    <n v="8.6598679355949518E-2"/>
  </r>
  <r>
    <x v="107"/>
    <x v="2"/>
    <d v="2024-09-07T00:00:00"/>
    <x v="2"/>
    <x v="4"/>
    <x v="5"/>
    <n v="342"/>
    <n v="374"/>
    <x v="107"/>
    <n v="48554"/>
    <x v="90"/>
    <x v="7"/>
    <x v="3"/>
    <n v="0.10949965468790931"/>
  </r>
  <r>
    <x v="108"/>
    <x v="0"/>
    <d v="2024-11-21T00:00:00"/>
    <x v="0"/>
    <x v="4"/>
    <x v="105"/>
    <n v="181"/>
    <n v="112"/>
    <x v="108"/>
    <n v="28797"/>
    <x v="91"/>
    <x v="0"/>
    <x v="0"/>
    <n v="0.13838335084182732"/>
  </r>
  <r>
    <x v="109"/>
    <x v="0"/>
    <d v="2024-06-26T00:00:00"/>
    <x v="0"/>
    <x v="2"/>
    <x v="106"/>
    <n v="483"/>
    <n v="336"/>
    <x v="109"/>
    <n v="51485"/>
    <x v="92"/>
    <x v="1"/>
    <x v="1"/>
    <n v="0.16033389770445328"/>
  </r>
  <r>
    <x v="110"/>
    <x v="2"/>
    <d v="2024-07-20T00:00:00"/>
    <x v="2"/>
    <x v="4"/>
    <x v="107"/>
    <n v="299"/>
    <n v="345"/>
    <x v="110"/>
    <n v="43547"/>
    <x v="93"/>
    <x v="7"/>
    <x v="3"/>
    <n v="0.16641897515158721"/>
  </r>
  <r>
    <x v="111"/>
    <x v="0"/>
    <d v="2025-02-16T00:00:00"/>
    <x v="0"/>
    <x v="9"/>
    <x v="108"/>
    <n v="286"/>
    <n v="298"/>
    <x v="111"/>
    <n v="34517"/>
    <x v="94"/>
    <x v="0"/>
    <x v="0"/>
    <n v="5.2993862995521647E-2"/>
  </r>
  <r>
    <x v="112"/>
    <x v="0"/>
    <d v="2024-09-09T00:00:00"/>
    <x v="0"/>
    <x v="2"/>
    <x v="109"/>
    <n v="360"/>
    <n v="180"/>
    <x v="112"/>
    <n v="18796"/>
    <x v="85"/>
    <x v="0"/>
    <x v="0"/>
    <n v="3.9674653122814763E-2"/>
  </r>
  <r>
    <x v="113"/>
    <x v="1"/>
    <d v="2024-07-16T00:00:00"/>
    <x v="0"/>
    <x v="7"/>
    <x v="110"/>
    <n v="273"/>
    <n v="287"/>
    <x v="113"/>
    <n v="25488"/>
    <x v="95"/>
    <x v="5"/>
    <x v="0"/>
    <n v="5.1173769923769923E-2"/>
  </r>
  <r>
    <x v="114"/>
    <x v="0"/>
    <d v="2025-04-15T00:00:00"/>
    <x v="0"/>
    <x v="1"/>
    <x v="111"/>
    <n v="489"/>
    <n v="331"/>
    <x v="114"/>
    <n v="73793"/>
    <x v="96"/>
    <x v="1"/>
    <x v="1"/>
    <n v="8.6978468608031198E-2"/>
  </r>
  <r>
    <x v="115"/>
    <x v="0"/>
    <d v="2025-05-04T00:00:00"/>
    <x v="1"/>
    <x v="2"/>
    <x v="112"/>
    <n v="181"/>
    <n v="361"/>
    <x v="115"/>
    <n v="44875"/>
    <x v="97"/>
    <x v="5"/>
    <x v="2"/>
    <n v="4.9881554861634543E-2"/>
  </r>
  <r>
    <x v="116"/>
    <x v="0"/>
    <d v="2024-02-18T00:00:00"/>
    <x v="1"/>
    <x v="8"/>
    <x v="113"/>
    <n v="215"/>
    <n v="332"/>
    <x v="116"/>
    <n v="36118"/>
    <x v="39"/>
    <x v="5"/>
    <x v="2"/>
    <n v="3.4977365592309385E-2"/>
  </r>
  <r>
    <x v="117"/>
    <x v="1"/>
    <d v="2024-05-16T00:00:00"/>
    <x v="1"/>
    <x v="4"/>
    <x v="114"/>
    <n v="124"/>
    <n v="99"/>
    <x v="117"/>
    <n v="34790"/>
    <x v="36"/>
    <x v="4"/>
    <x v="0"/>
    <n v="4.1192869195216787E-2"/>
  </r>
  <r>
    <x v="118"/>
    <x v="1"/>
    <d v="2025-05-29T00:00:00"/>
    <x v="1"/>
    <x v="4"/>
    <x v="115"/>
    <n v="322"/>
    <n v="114"/>
    <x v="118"/>
    <n v="52165"/>
    <x v="98"/>
    <x v="2"/>
    <x v="0"/>
    <n v="5.7963823356939871E-2"/>
  </r>
  <r>
    <x v="119"/>
    <x v="0"/>
    <d v="2025-01-17T00:00:00"/>
    <x v="0"/>
    <x v="7"/>
    <x v="116"/>
    <n v="126"/>
    <n v="140"/>
    <x v="119"/>
    <n v="46834"/>
    <x v="99"/>
    <x v="1"/>
    <x v="1"/>
    <n v="4.7099090384865788E-2"/>
  </r>
  <r>
    <x v="120"/>
    <x v="0"/>
    <d v="2025-04-30T00:00:00"/>
    <x v="1"/>
    <x v="2"/>
    <x v="117"/>
    <n v="459"/>
    <n v="229"/>
    <x v="120"/>
    <n v="39768"/>
    <x v="4"/>
    <x v="5"/>
    <x v="2"/>
    <n v="9.3980281287635997E-2"/>
  </r>
  <r>
    <x v="121"/>
    <x v="1"/>
    <d v="2024-02-24T00:00:00"/>
    <x v="1"/>
    <x v="4"/>
    <x v="118"/>
    <n v="463"/>
    <n v="360"/>
    <x v="121"/>
    <n v="24279"/>
    <x v="20"/>
    <x v="4"/>
    <x v="0"/>
    <n v="3.5847516903707161E-2"/>
  </r>
  <r>
    <x v="122"/>
    <x v="2"/>
    <d v="2024-05-12T00:00:00"/>
    <x v="0"/>
    <x v="8"/>
    <x v="119"/>
    <n v="467"/>
    <n v="94"/>
    <x v="122"/>
    <n v="49762"/>
    <x v="100"/>
    <x v="3"/>
    <x v="1"/>
    <n v="5.8764788517847777E-2"/>
  </r>
  <r>
    <x v="123"/>
    <x v="1"/>
    <d v="2024-05-09T00:00:00"/>
    <x v="1"/>
    <x v="2"/>
    <x v="120"/>
    <n v="423"/>
    <n v="259"/>
    <x v="123"/>
    <n v="44293"/>
    <x v="101"/>
    <x v="0"/>
    <x v="0"/>
    <n v="8.5455879813503707E-2"/>
  </r>
  <r>
    <x v="124"/>
    <x v="1"/>
    <d v="2024-11-06T00:00:00"/>
    <x v="0"/>
    <x v="8"/>
    <x v="121"/>
    <n v="381"/>
    <n v="345"/>
    <x v="124"/>
    <n v="22558"/>
    <x v="102"/>
    <x v="5"/>
    <x v="0"/>
    <n v="0.11041472996071611"/>
  </r>
  <r>
    <x v="125"/>
    <x v="1"/>
    <d v="2024-01-04T00:00:00"/>
    <x v="1"/>
    <x v="5"/>
    <x v="122"/>
    <n v="476"/>
    <n v="277"/>
    <x v="125"/>
    <n v="21061"/>
    <x v="103"/>
    <x v="2"/>
    <x v="0"/>
    <n v="7.064131830503638E-2"/>
  </r>
  <r>
    <x v="126"/>
    <x v="1"/>
    <d v="2024-01-28T00:00:00"/>
    <x v="0"/>
    <x v="4"/>
    <x v="123"/>
    <n v="265"/>
    <n v="137"/>
    <x v="126"/>
    <n v="59729"/>
    <x v="104"/>
    <x v="6"/>
    <x v="1"/>
    <n v="3.4738711788351875E-2"/>
  </r>
  <r>
    <x v="127"/>
    <x v="0"/>
    <d v="2024-02-22T00:00:00"/>
    <x v="0"/>
    <x v="2"/>
    <x v="124"/>
    <n v="394"/>
    <n v="279"/>
    <x v="127"/>
    <n v="51330"/>
    <x v="98"/>
    <x v="0"/>
    <x v="0"/>
    <n v="0.10461100954702417"/>
  </r>
  <r>
    <x v="128"/>
    <x v="1"/>
    <d v="2025-07-01T00:00:00"/>
    <x v="1"/>
    <x v="1"/>
    <x v="125"/>
    <n v="424"/>
    <n v="267"/>
    <x v="128"/>
    <n v="37691"/>
    <x v="105"/>
    <x v="4"/>
    <x v="0"/>
    <n v="7.9993453221219743E-2"/>
  </r>
  <r>
    <x v="129"/>
    <x v="2"/>
    <d v="2024-01-10T00:00:00"/>
    <x v="0"/>
    <x v="1"/>
    <x v="126"/>
    <n v="190"/>
    <n v="233"/>
    <x v="129"/>
    <n v="51449"/>
    <x v="58"/>
    <x v="3"/>
    <x v="1"/>
    <n v="2.811915575741384E-2"/>
  </r>
  <r>
    <x v="130"/>
    <x v="1"/>
    <d v="2025-03-20T00:00:00"/>
    <x v="0"/>
    <x v="9"/>
    <x v="127"/>
    <n v="362"/>
    <n v="371"/>
    <x v="130"/>
    <n v="66659"/>
    <x v="58"/>
    <x v="6"/>
    <x v="1"/>
    <n v="5.4592988710635768E-2"/>
  </r>
  <r>
    <x v="131"/>
    <x v="1"/>
    <d v="2024-09-28T00:00:00"/>
    <x v="0"/>
    <x v="5"/>
    <x v="128"/>
    <n v="420"/>
    <n v="194"/>
    <x v="131"/>
    <n v="20685"/>
    <x v="45"/>
    <x v="5"/>
    <x v="0"/>
    <n v="9.2466575934672959E-2"/>
  </r>
  <r>
    <x v="132"/>
    <x v="2"/>
    <d v="2024-01-27T00:00:00"/>
    <x v="0"/>
    <x v="9"/>
    <x v="129"/>
    <n v="262"/>
    <n v="218"/>
    <x v="132"/>
    <n v="44846"/>
    <x v="106"/>
    <x v="3"/>
    <x v="1"/>
    <n v="4.7508511296812134E-2"/>
  </r>
  <r>
    <x v="133"/>
    <x v="1"/>
    <d v="2025-05-15T00:00:00"/>
    <x v="0"/>
    <x v="2"/>
    <x v="130"/>
    <n v="433"/>
    <n v="249"/>
    <x v="133"/>
    <n v="47066"/>
    <x v="107"/>
    <x v="5"/>
    <x v="0"/>
    <n v="7.4861184558434685E-2"/>
  </r>
  <r>
    <x v="134"/>
    <x v="1"/>
    <d v="2024-10-04T00:00:00"/>
    <x v="1"/>
    <x v="1"/>
    <x v="131"/>
    <n v="380"/>
    <n v="393"/>
    <x v="134"/>
    <n v="71794"/>
    <x v="108"/>
    <x v="2"/>
    <x v="0"/>
    <n v="9.6834214933149046E-2"/>
  </r>
  <r>
    <x v="135"/>
    <x v="1"/>
    <d v="2024-11-19T00:00:00"/>
    <x v="0"/>
    <x v="7"/>
    <x v="132"/>
    <n v="271"/>
    <n v="275"/>
    <x v="135"/>
    <n v="37034"/>
    <x v="109"/>
    <x v="5"/>
    <x v="0"/>
    <n v="0.18723441538528934"/>
  </r>
  <r>
    <x v="136"/>
    <x v="1"/>
    <d v="2024-04-05T00:00:00"/>
    <x v="1"/>
    <x v="2"/>
    <x v="133"/>
    <n v="175"/>
    <n v="307"/>
    <x v="136"/>
    <n v="43412"/>
    <x v="110"/>
    <x v="0"/>
    <x v="0"/>
    <n v="0.16610252187966945"/>
  </r>
  <r>
    <x v="137"/>
    <x v="1"/>
    <d v="2024-11-28T00:00:00"/>
    <x v="1"/>
    <x v="2"/>
    <x v="134"/>
    <n v="100"/>
    <n v="116"/>
    <x v="137"/>
    <n v="72704"/>
    <x v="100"/>
    <x v="4"/>
    <x v="0"/>
    <n v="2.7809319322005904E-2"/>
  </r>
  <r>
    <x v="138"/>
    <x v="1"/>
    <d v="2025-03-09T00:00:00"/>
    <x v="0"/>
    <x v="9"/>
    <x v="135"/>
    <n v="215"/>
    <n v="264"/>
    <x v="138"/>
    <n v="70203"/>
    <x v="32"/>
    <x v="5"/>
    <x v="0"/>
    <n v="0.11645414595490239"/>
  </r>
  <r>
    <x v="139"/>
    <x v="1"/>
    <d v="2024-08-27T00:00:00"/>
    <x v="1"/>
    <x v="2"/>
    <x v="136"/>
    <n v="357"/>
    <n v="348"/>
    <x v="139"/>
    <n v="70206"/>
    <x v="100"/>
    <x v="2"/>
    <x v="0"/>
    <n v="8.702596166915863E-2"/>
  </r>
  <r>
    <x v="140"/>
    <x v="2"/>
    <d v="2024-10-01T00:00:00"/>
    <x v="2"/>
    <x v="1"/>
    <x v="137"/>
    <n v="334"/>
    <n v="218"/>
    <x v="140"/>
    <n v="24792"/>
    <x v="1"/>
    <x v="7"/>
    <x v="3"/>
    <n v="7.0594928198320889E-2"/>
  </r>
  <r>
    <x v="141"/>
    <x v="0"/>
    <d v="2024-12-21T00:00:00"/>
    <x v="1"/>
    <x v="2"/>
    <x v="65"/>
    <n v="398"/>
    <n v="163"/>
    <x v="141"/>
    <n v="48760"/>
    <x v="43"/>
    <x v="5"/>
    <x v="2"/>
    <n v="0.11731037798484398"/>
  </r>
  <r>
    <x v="142"/>
    <x v="0"/>
    <d v="2024-06-17T00:00:00"/>
    <x v="0"/>
    <x v="0"/>
    <x v="138"/>
    <n v="471"/>
    <n v="156"/>
    <x v="142"/>
    <n v="25678"/>
    <x v="111"/>
    <x v="1"/>
    <x v="1"/>
    <n v="9.2634518149573616E-2"/>
  </r>
  <r>
    <x v="143"/>
    <x v="0"/>
    <d v="2025-02-14T00:00:00"/>
    <x v="0"/>
    <x v="0"/>
    <x v="139"/>
    <n v="373"/>
    <n v="291"/>
    <x v="143"/>
    <n v="28002"/>
    <x v="78"/>
    <x v="0"/>
    <x v="0"/>
    <n v="6.0370736430199488E-2"/>
  </r>
  <r>
    <x v="144"/>
    <x v="1"/>
    <d v="2025-05-28T00:00:00"/>
    <x v="1"/>
    <x v="7"/>
    <x v="140"/>
    <n v="273"/>
    <n v="122"/>
    <x v="144"/>
    <n v="23878"/>
    <x v="99"/>
    <x v="2"/>
    <x v="0"/>
    <n v="0.11477740733477153"/>
  </r>
  <r>
    <x v="145"/>
    <x v="0"/>
    <d v="2025-05-22T00:00:00"/>
    <x v="0"/>
    <x v="0"/>
    <x v="141"/>
    <n v="318"/>
    <n v="380"/>
    <x v="145"/>
    <n v="64474"/>
    <x v="97"/>
    <x v="1"/>
    <x v="1"/>
    <n v="8.1504318676747664E-2"/>
  </r>
  <r>
    <x v="146"/>
    <x v="1"/>
    <d v="2024-01-21T00:00:00"/>
    <x v="1"/>
    <x v="0"/>
    <x v="142"/>
    <n v="136"/>
    <n v="302"/>
    <x v="146"/>
    <n v="22133"/>
    <x v="112"/>
    <x v="2"/>
    <x v="0"/>
    <n v="7.1988159338556151E-2"/>
  </r>
  <r>
    <x v="147"/>
    <x v="1"/>
    <d v="2025-02-08T00:00:00"/>
    <x v="1"/>
    <x v="9"/>
    <x v="143"/>
    <n v="334"/>
    <n v="56"/>
    <x v="147"/>
    <n v="55534"/>
    <x v="66"/>
    <x v="4"/>
    <x v="0"/>
    <n v="0.10708707332819627"/>
  </r>
  <r>
    <x v="148"/>
    <x v="1"/>
    <d v="2025-04-13T00:00:00"/>
    <x v="0"/>
    <x v="8"/>
    <x v="144"/>
    <n v="408"/>
    <n v="338"/>
    <x v="148"/>
    <n v="32621"/>
    <x v="113"/>
    <x v="6"/>
    <x v="1"/>
    <n v="8.1341895638137346E-2"/>
  </r>
  <r>
    <x v="149"/>
    <x v="1"/>
    <d v="2024-05-30T00:00:00"/>
    <x v="1"/>
    <x v="9"/>
    <x v="145"/>
    <n v="207"/>
    <n v="363"/>
    <x v="149"/>
    <n v="32925"/>
    <x v="10"/>
    <x v="2"/>
    <x v="0"/>
    <n v="9.4928992718046723E-2"/>
  </r>
  <r>
    <x v="150"/>
    <x v="0"/>
    <d v="2024-08-12T00:00:00"/>
    <x v="1"/>
    <x v="0"/>
    <x v="146"/>
    <n v="400"/>
    <n v="280"/>
    <x v="150"/>
    <n v="58329"/>
    <x v="114"/>
    <x v="5"/>
    <x v="2"/>
    <n v="6.9360859297630834E-2"/>
  </r>
  <r>
    <x v="151"/>
    <x v="0"/>
    <d v="2024-09-27T00:00:00"/>
    <x v="0"/>
    <x v="0"/>
    <x v="147"/>
    <n v="116"/>
    <n v="195"/>
    <x v="151"/>
    <n v="62629"/>
    <x v="3"/>
    <x v="1"/>
    <x v="1"/>
    <n v="9.2425876010781671E-2"/>
  </r>
  <r>
    <x v="152"/>
    <x v="1"/>
    <d v="2025-06-11T00:00:00"/>
    <x v="1"/>
    <x v="1"/>
    <x v="148"/>
    <n v="453"/>
    <n v="63"/>
    <x v="152"/>
    <n v="72934"/>
    <x v="48"/>
    <x v="4"/>
    <x v="0"/>
    <n v="8.2469701307376658E-2"/>
  </r>
  <r>
    <x v="153"/>
    <x v="0"/>
    <d v="2024-11-19T00:00:00"/>
    <x v="0"/>
    <x v="5"/>
    <x v="149"/>
    <n v="272"/>
    <n v="294"/>
    <x v="153"/>
    <n v="24732"/>
    <x v="43"/>
    <x v="1"/>
    <x v="1"/>
    <n v="5.9585542168674697E-2"/>
  </r>
  <r>
    <x v="154"/>
    <x v="0"/>
    <d v="2024-04-25T00:00:00"/>
    <x v="0"/>
    <x v="4"/>
    <x v="150"/>
    <n v="483"/>
    <n v="227"/>
    <x v="154"/>
    <n v="26393"/>
    <x v="100"/>
    <x v="0"/>
    <x v="0"/>
    <n v="0.10400389436534015"/>
  </r>
  <r>
    <x v="155"/>
    <x v="2"/>
    <d v="2024-09-03T00:00:00"/>
    <x v="2"/>
    <x v="5"/>
    <x v="151"/>
    <n v="494"/>
    <n v="129"/>
    <x v="155"/>
    <n v="44090"/>
    <x v="20"/>
    <x v="7"/>
    <x v="3"/>
    <n v="3.8832755240536872E-2"/>
  </r>
  <r>
    <x v="156"/>
    <x v="2"/>
    <d v="2025-03-02T00:00:00"/>
    <x v="0"/>
    <x v="8"/>
    <x v="152"/>
    <n v="185"/>
    <n v="162"/>
    <x v="156"/>
    <n v="21342"/>
    <x v="115"/>
    <x v="3"/>
    <x v="1"/>
    <n v="0.19390491670052823"/>
  </r>
  <r>
    <x v="157"/>
    <x v="1"/>
    <d v="2025-03-21T00:00:00"/>
    <x v="1"/>
    <x v="2"/>
    <x v="153"/>
    <n v="427"/>
    <n v="395"/>
    <x v="157"/>
    <n v="29259"/>
    <x v="116"/>
    <x v="4"/>
    <x v="0"/>
    <n v="0.16116683482699271"/>
  </r>
  <r>
    <x v="158"/>
    <x v="0"/>
    <d v="2024-04-12T00:00:00"/>
    <x v="1"/>
    <x v="6"/>
    <x v="154"/>
    <n v="352"/>
    <n v="202"/>
    <x v="158"/>
    <n v="69941"/>
    <x v="114"/>
    <x v="5"/>
    <x v="2"/>
    <n v="8.3133241487896081E-2"/>
  </r>
  <r>
    <x v="159"/>
    <x v="2"/>
    <d v="2024-02-08T00:00:00"/>
    <x v="2"/>
    <x v="7"/>
    <x v="155"/>
    <n v="298"/>
    <n v="122"/>
    <x v="159"/>
    <n v="74305"/>
    <x v="117"/>
    <x v="7"/>
    <x v="3"/>
    <n v="4.9951325040562468E-2"/>
  </r>
  <r>
    <x v="160"/>
    <x v="0"/>
    <d v="2025-05-26T00:00:00"/>
    <x v="0"/>
    <x v="0"/>
    <x v="156"/>
    <n v="148"/>
    <n v="310"/>
    <x v="160"/>
    <n v="58103"/>
    <x v="38"/>
    <x v="1"/>
    <x v="1"/>
    <n v="0.1552751489660007"/>
  </r>
  <r>
    <x v="161"/>
    <x v="0"/>
    <d v="2024-11-14T00:00:00"/>
    <x v="0"/>
    <x v="4"/>
    <x v="55"/>
    <n v="318"/>
    <n v="118"/>
    <x v="161"/>
    <n v="20873"/>
    <x v="118"/>
    <x v="0"/>
    <x v="0"/>
    <n v="0.11258173796580792"/>
  </r>
  <r>
    <x v="162"/>
    <x v="2"/>
    <d v="2024-08-09T00:00:00"/>
    <x v="2"/>
    <x v="8"/>
    <x v="157"/>
    <n v="154"/>
    <n v="204"/>
    <x v="162"/>
    <n v="44633"/>
    <x v="119"/>
    <x v="7"/>
    <x v="3"/>
    <n v="0.11046681895390383"/>
  </r>
  <r>
    <x v="163"/>
    <x v="0"/>
    <d v="2025-06-27T00:00:00"/>
    <x v="1"/>
    <x v="5"/>
    <x v="158"/>
    <n v="332"/>
    <n v="163"/>
    <x v="163"/>
    <n v="57922"/>
    <x v="120"/>
    <x v="5"/>
    <x v="2"/>
    <n v="3.5523669554455448E-2"/>
  </r>
  <r>
    <x v="164"/>
    <x v="0"/>
    <d v="2024-05-08T00:00:00"/>
    <x v="1"/>
    <x v="4"/>
    <x v="0"/>
    <n v="220"/>
    <n v="280"/>
    <x v="164"/>
    <n v="50562"/>
    <x v="82"/>
    <x v="5"/>
    <x v="2"/>
    <n v="0.10652531529884847"/>
  </r>
  <r>
    <x v="165"/>
    <x v="0"/>
    <d v="2024-04-05T00:00:00"/>
    <x v="0"/>
    <x v="2"/>
    <x v="159"/>
    <n v="352"/>
    <n v="176"/>
    <x v="165"/>
    <n v="34168"/>
    <x v="121"/>
    <x v="1"/>
    <x v="1"/>
    <n v="9.2244407295403744E-2"/>
  </r>
  <r>
    <x v="166"/>
    <x v="2"/>
    <d v="2025-01-27T00:00:00"/>
    <x v="0"/>
    <x v="3"/>
    <x v="160"/>
    <n v="423"/>
    <n v="93"/>
    <x v="166"/>
    <n v="73144"/>
    <x v="76"/>
    <x v="3"/>
    <x v="1"/>
    <n v="0.1612578785034196"/>
  </r>
  <r>
    <x v="167"/>
    <x v="0"/>
    <d v="2024-04-03T00:00:00"/>
    <x v="0"/>
    <x v="7"/>
    <x v="161"/>
    <n v="339"/>
    <n v="323"/>
    <x v="167"/>
    <n v="68511"/>
    <x v="2"/>
    <x v="0"/>
    <x v="0"/>
    <n v="0.10143081434961637"/>
  </r>
  <r>
    <x v="168"/>
    <x v="2"/>
    <d v="2025-01-03T00:00:00"/>
    <x v="0"/>
    <x v="2"/>
    <x v="162"/>
    <n v="484"/>
    <n v="144"/>
    <x v="168"/>
    <n v="59386"/>
    <x v="122"/>
    <x v="3"/>
    <x v="1"/>
    <n v="8.4528099363643333E-2"/>
  </r>
  <r>
    <x v="169"/>
    <x v="1"/>
    <d v="2024-11-23T00:00:00"/>
    <x v="0"/>
    <x v="2"/>
    <x v="163"/>
    <n v="371"/>
    <n v="329"/>
    <x v="169"/>
    <n v="68956"/>
    <x v="51"/>
    <x v="6"/>
    <x v="1"/>
    <n v="0.15513030574705536"/>
  </r>
  <r>
    <x v="170"/>
    <x v="0"/>
    <d v="2024-09-01T00:00:00"/>
    <x v="1"/>
    <x v="3"/>
    <x v="164"/>
    <n v="150"/>
    <n v="75"/>
    <x v="170"/>
    <n v="57549"/>
    <x v="64"/>
    <x v="5"/>
    <x v="2"/>
    <n v="9.8031707130274953E-2"/>
  </r>
  <r>
    <x v="171"/>
    <x v="2"/>
    <d v="2024-04-18T00:00:00"/>
    <x v="0"/>
    <x v="1"/>
    <x v="165"/>
    <n v="293"/>
    <n v="91"/>
    <x v="171"/>
    <n v="28924"/>
    <x v="123"/>
    <x v="3"/>
    <x v="1"/>
    <n v="0.16447098339242397"/>
  </r>
  <r>
    <x v="172"/>
    <x v="0"/>
    <d v="2024-06-04T00:00:00"/>
    <x v="0"/>
    <x v="6"/>
    <x v="166"/>
    <n v="151"/>
    <n v="249"/>
    <x v="172"/>
    <n v="63136"/>
    <x v="20"/>
    <x v="1"/>
    <x v="1"/>
    <n v="0.10077178019329269"/>
  </r>
  <r>
    <x v="173"/>
    <x v="2"/>
    <d v="2025-04-02T00:00:00"/>
    <x v="0"/>
    <x v="3"/>
    <x v="167"/>
    <n v="455"/>
    <n v="378"/>
    <x v="173"/>
    <n v="58504"/>
    <x v="124"/>
    <x v="3"/>
    <x v="1"/>
    <n v="0.10256458679558846"/>
  </r>
  <r>
    <x v="174"/>
    <x v="1"/>
    <d v="2025-04-01T00:00:00"/>
    <x v="1"/>
    <x v="4"/>
    <x v="168"/>
    <n v="143"/>
    <n v="315"/>
    <x v="174"/>
    <n v="29818"/>
    <x v="79"/>
    <x v="4"/>
    <x v="0"/>
    <n v="5.6980732739746021E-2"/>
  </r>
  <r>
    <x v="175"/>
    <x v="0"/>
    <d v="2024-07-02T00:00:00"/>
    <x v="0"/>
    <x v="7"/>
    <x v="169"/>
    <n v="371"/>
    <n v="76"/>
    <x v="175"/>
    <n v="26906"/>
    <x v="125"/>
    <x v="0"/>
    <x v="0"/>
    <n v="8.4227733207149463E-2"/>
  </r>
  <r>
    <x v="176"/>
    <x v="1"/>
    <d v="2024-11-10T00:00:00"/>
    <x v="0"/>
    <x v="1"/>
    <x v="170"/>
    <n v="489"/>
    <n v="302"/>
    <x v="176"/>
    <n v="31861"/>
    <x v="126"/>
    <x v="6"/>
    <x v="1"/>
    <n v="0.1728980597474592"/>
  </r>
  <r>
    <x v="177"/>
    <x v="0"/>
    <d v="2024-12-14T00:00:00"/>
    <x v="1"/>
    <x v="8"/>
    <x v="171"/>
    <n v="321"/>
    <n v="289"/>
    <x v="177"/>
    <n v="36337"/>
    <x v="127"/>
    <x v="5"/>
    <x v="2"/>
    <n v="7.3899528727564417E-2"/>
  </r>
  <r>
    <x v="178"/>
    <x v="1"/>
    <d v="2024-11-19T00:00:00"/>
    <x v="0"/>
    <x v="1"/>
    <x v="172"/>
    <n v="353"/>
    <n v="78"/>
    <x v="178"/>
    <n v="69226"/>
    <x v="112"/>
    <x v="6"/>
    <x v="1"/>
    <n v="7.090200025160398E-2"/>
  </r>
  <r>
    <x v="179"/>
    <x v="1"/>
    <d v="2025-04-30T00:00:00"/>
    <x v="1"/>
    <x v="3"/>
    <x v="173"/>
    <n v="275"/>
    <n v="330"/>
    <x v="179"/>
    <n v="33196"/>
    <x v="128"/>
    <x v="2"/>
    <x v="0"/>
    <n v="7.7731488624869283E-2"/>
  </r>
  <r>
    <x v="180"/>
    <x v="1"/>
    <d v="2024-03-19T00:00:00"/>
    <x v="0"/>
    <x v="8"/>
    <x v="174"/>
    <n v="288"/>
    <n v="83"/>
    <x v="180"/>
    <n v="24765"/>
    <x v="129"/>
    <x v="6"/>
    <x v="1"/>
    <n v="4.2982250109049422E-2"/>
  </r>
  <r>
    <x v="181"/>
    <x v="0"/>
    <d v="2024-03-19T00:00:00"/>
    <x v="0"/>
    <x v="8"/>
    <x v="102"/>
    <n v="278"/>
    <n v="255"/>
    <x v="181"/>
    <n v="57922"/>
    <x v="130"/>
    <x v="0"/>
    <x v="0"/>
    <n v="7.2213401079707848E-2"/>
  </r>
  <r>
    <x v="182"/>
    <x v="1"/>
    <d v="2024-07-23T00:00:00"/>
    <x v="0"/>
    <x v="7"/>
    <x v="175"/>
    <n v="398"/>
    <n v="85"/>
    <x v="182"/>
    <n v="58353"/>
    <x v="113"/>
    <x v="6"/>
    <x v="1"/>
    <n v="0.16743869209809265"/>
  </r>
  <r>
    <x v="183"/>
    <x v="1"/>
    <d v="2024-07-13T00:00:00"/>
    <x v="1"/>
    <x v="6"/>
    <x v="176"/>
    <n v="323"/>
    <n v="251"/>
    <x v="183"/>
    <n v="35543"/>
    <x v="33"/>
    <x v="2"/>
    <x v="0"/>
    <n v="6.2648374965860634E-2"/>
  </r>
  <r>
    <x v="184"/>
    <x v="2"/>
    <d v="2025-04-22T00:00:00"/>
    <x v="2"/>
    <x v="2"/>
    <x v="177"/>
    <n v="297"/>
    <n v="235"/>
    <x v="184"/>
    <n v="33058"/>
    <x v="114"/>
    <x v="7"/>
    <x v="3"/>
    <n v="8.5966298051606105E-2"/>
  </r>
  <r>
    <x v="185"/>
    <x v="1"/>
    <d v="2024-06-16T00:00:00"/>
    <x v="1"/>
    <x v="1"/>
    <x v="178"/>
    <n v="312"/>
    <n v="254"/>
    <x v="185"/>
    <n v="29453"/>
    <x v="29"/>
    <x v="2"/>
    <x v="0"/>
    <n v="0.22967524699836073"/>
  </r>
  <r>
    <x v="186"/>
    <x v="2"/>
    <d v="2025-05-18T00:00:00"/>
    <x v="2"/>
    <x v="3"/>
    <x v="179"/>
    <n v="319"/>
    <n v="350"/>
    <x v="186"/>
    <n v="55162"/>
    <x v="131"/>
    <x v="7"/>
    <x v="3"/>
    <n v="0.12920396165457337"/>
  </r>
  <r>
    <x v="187"/>
    <x v="0"/>
    <d v="2025-06-06T00:00:00"/>
    <x v="0"/>
    <x v="3"/>
    <x v="180"/>
    <n v="171"/>
    <n v="274"/>
    <x v="187"/>
    <n v="65431"/>
    <x v="120"/>
    <x v="1"/>
    <x v="1"/>
    <n v="9.8222596516111871E-2"/>
  </r>
  <r>
    <x v="188"/>
    <x v="2"/>
    <d v="2025-02-20T00:00:00"/>
    <x v="2"/>
    <x v="6"/>
    <x v="181"/>
    <n v="262"/>
    <n v="365"/>
    <x v="188"/>
    <n v="40314"/>
    <x v="116"/>
    <x v="7"/>
    <x v="3"/>
    <n v="0.11349824183418362"/>
  </r>
  <r>
    <x v="189"/>
    <x v="0"/>
    <d v="2025-01-16T00:00:00"/>
    <x v="0"/>
    <x v="4"/>
    <x v="182"/>
    <n v="282"/>
    <n v="148"/>
    <x v="189"/>
    <n v="49583"/>
    <x v="80"/>
    <x v="0"/>
    <x v="0"/>
    <n v="9.4251731312692155E-2"/>
  </r>
  <r>
    <x v="190"/>
    <x v="2"/>
    <d v="2024-02-24T00:00:00"/>
    <x v="2"/>
    <x v="0"/>
    <x v="183"/>
    <n v="307"/>
    <n v="58"/>
    <x v="190"/>
    <n v="37214"/>
    <x v="132"/>
    <x v="7"/>
    <x v="3"/>
    <n v="0.10173025732031943"/>
  </r>
  <r>
    <x v="191"/>
    <x v="1"/>
    <d v="2024-09-16T00:00:00"/>
    <x v="1"/>
    <x v="5"/>
    <x v="184"/>
    <n v="434"/>
    <n v="156"/>
    <x v="191"/>
    <n v="52431"/>
    <x v="102"/>
    <x v="4"/>
    <x v="0"/>
    <n v="8.9237069349238848E-2"/>
  </r>
  <r>
    <x v="192"/>
    <x v="2"/>
    <d v="2024-06-04T00:00:00"/>
    <x v="2"/>
    <x v="3"/>
    <x v="185"/>
    <n v="431"/>
    <n v="83"/>
    <x v="192"/>
    <n v="47305"/>
    <x v="24"/>
    <x v="7"/>
    <x v="3"/>
    <n v="6.5015829941203071E-2"/>
  </r>
  <r>
    <x v="193"/>
    <x v="1"/>
    <d v="2024-05-10T00:00:00"/>
    <x v="1"/>
    <x v="1"/>
    <x v="186"/>
    <n v="111"/>
    <n v="399"/>
    <x v="193"/>
    <n v="69512"/>
    <x v="124"/>
    <x v="2"/>
    <x v="0"/>
    <n v="5.6436966727204191E-2"/>
  </r>
  <r>
    <x v="194"/>
    <x v="2"/>
    <d v="2024-01-14T00:00:00"/>
    <x v="0"/>
    <x v="2"/>
    <x v="187"/>
    <n v="280"/>
    <n v="399"/>
    <x v="194"/>
    <n v="52605"/>
    <x v="12"/>
    <x v="3"/>
    <x v="1"/>
    <n v="0.10713930842607314"/>
  </r>
  <r>
    <x v="195"/>
    <x v="0"/>
    <d v="2025-01-12T00:00:00"/>
    <x v="0"/>
    <x v="8"/>
    <x v="188"/>
    <n v="487"/>
    <n v="272"/>
    <x v="195"/>
    <n v="48084"/>
    <x v="3"/>
    <x v="0"/>
    <x v="0"/>
    <n v="5.1833640647408315E-2"/>
  </r>
  <r>
    <x v="196"/>
    <x v="2"/>
    <d v="2024-12-08T00:00:00"/>
    <x v="0"/>
    <x v="7"/>
    <x v="189"/>
    <n v="396"/>
    <n v="312"/>
    <x v="196"/>
    <n v="46102"/>
    <x v="49"/>
    <x v="3"/>
    <x v="1"/>
    <n v="3.5821698002251455E-2"/>
  </r>
  <r>
    <x v="197"/>
    <x v="1"/>
    <d v="2025-02-01T00:00:00"/>
    <x v="1"/>
    <x v="7"/>
    <x v="190"/>
    <n v="265"/>
    <n v="190"/>
    <x v="197"/>
    <n v="72428"/>
    <x v="133"/>
    <x v="0"/>
    <x v="0"/>
    <n v="3.5034029141734799E-2"/>
  </r>
  <r>
    <x v="198"/>
    <x v="1"/>
    <d v="2024-07-11T00:00:00"/>
    <x v="1"/>
    <x v="6"/>
    <x v="82"/>
    <n v="179"/>
    <n v="175"/>
    <x v="198"/>
    <n v="70120"/>
    <x v="134"/>
    <x v="0"/>
    <x v="0"/>
    <n v="0.13946227759085811"/>
  </r>
  <r>
    <x v="199"/>
    <x v="1"/>
    <d v="2024-03-18T00:00:00"/>
    <x v="0"/>
    <x v="2"/>
    <x v="191"/>
    <n v="420"/>
    <n v="94"/>
    <x v="199"/>
    <n v="57391"/>
    <x v="107"/>
    <x v="5"/>
    <x v="0"/>
    <n v="4.5247823769763724E-2"/>
  </r>
  <r>
    <x v="200"/>
    <x v="1"/>
    <d v="2024-09-12T00:00:00"/>
    <x v="1"/>
    <x v="3"/>
    <x v="192"/>
    <n v="223"/>
    <n v="171"/>
    <x v="200"/>
    <n v="69988"/>
    <x v="81"/>
    <x v="2"/>
    <x v="0"/>
    <n v="6.2974139146620034E-2"/>
  </r>
  <r>
    <x v="201"/>
    <x v="1"/>
    <d v="2024-01-11T00:00:00"/>
    <x v="1"/>
    <x v="3"/>
    <x v="193"/>
    <n v="141"/>
    <n v="206"/>
    <x v="201"/>
    <n v="30582"/>
    <x v="70"/>
    <x v="0"/>
    <x v="0"/>
    <n v="0.10784235029699792"/>
  </r>
  <r>
    <x v="202"/>
    <x v="0"/>
    <d v="2024-10-06T00:00:00"/>
    <x v="0"/>
    <x v="7"/>
    <x v="194"/>
    <n v="389"/>
    <n v="92"/>
    <x v="202"/>
    <n v="25347"/>
    <x v="77"/>
    <x v="1"/>
    <x v="1"/>
    <n v="8.2690258629040073E-2"/>
  </r>
  <r>
    <x v="203"/>
    <x v="1"/>
    <d v="2024-12-30T00:00:00"/>
    <x v="0"/>
    <x v="6"/>
    <x v="195"/>
    <n v="286"/>
    <n v="127"/>
    <x v="203"/>
    <n v="27184"/>
    <x v="24"/>
    <x v="5"/>
    <x v="0"/>
    <n v="9.7836889180216949E-2"/>
  </r>
  <r>
    <x v="204"/>
    <x v="1"/>
    <d v="2025-04-16T00:00:00"/>
    <x v="0"/>
    <x v="3"/>
    <x v="196"/>
    <n v="315"/>
    <n v="120"/>
    <x v="204"/>
    <n v="67886"/>
    <x v="135"/>
    <x v="6"/>
    <x v="1"/>
    <n v="7.7428927315357568E-2"/>
  </r>
  <r>
    <x v="205"/>
    <x v="1"/>
    <d v="2024-08-21T00:00:00"/>
    <x v="1"/>
    <x v="1"/>
    <x v="197"/>
    <n v="476"/>
    <n v="128"/>
    <x v="205"/>
    <n v="40193"/>
    <x v="133"/>
    <x v="4"/>
    <x v="0"/>
    <n v="7.9782521843353188E-2"/>
  </r>
  <r>
    <x v="206"/>
    <x v="1"/>
    <d v="2024-04-05T00:00:00"/>
    <x v="1"/>
    <x v="3"/>
    <x v="198"/>
    <n v="443"/>
    <n v="359"/>
    <x v="206"/>
    <n v="28256"/>
    <x v="136"/>
    <x v="0"/>
    <x v="0"/>
    <n v="7.1022341272152026E-2"/>
  </r>
  <r>
    <x v="207"/>
    <x v="1"/>
    <d v="2025-04-07T00:00:00"/>
    <x v="0"/>
    <x v="8"/>
    <x v="199"/>
    <n v="385"/>
    <n v="344"/>
    <x v="207"/>
    <n v="72595"/>
    <x v="49"/>
    <x v="6"/>
    <x v="1"/>
    <n v="3.9319108127547353E-2"/>
  </r>
  <r>
    <x v="208"/>
    <x v="1"/>
    <d v="2024-07-19T00:00:00"/>
    <x v="1"/>
    <x v="5"/>
    <x v="200"/>
    <n v="126"/>
    <n v="200"/>
    <x v="208"/>
    <n v="44679"/>
    <x v="90"/>
    <x v="4"/>
    <x v="0"/>
    <n v="7.7181741758116915E-2"/>
  </r>
  <r>
    <x v="209"/>
    <x v="1"/>
    <d v="2025-05-03T00:00:00"/>
    <x v="1"/>
    <x v="7"/>
    <x v="201"/>
    <n v="361"/>
    <n v="240"/>
    <x v="209"/>
    <n v="72573"/>
    <x v="38"/>
    <x v="0"/>
    <x v="0"/>
    <n v="3.4110398272247981E-2"/>
  </r>
  <r>
    <x v="210"/>
    <x v="1"/>
    <d v="2024-04-14T00:00:00"/>
    <x v="1"/>
    <x v="0"/>
    <x v="202"/>
    <n v="153"/>
    <n v="81"/>
    <x v="210"/>
    <n v="61033"/>
    <x v="24"/>
    <x v="4"/>
    <x v="0"/>
    <n v="3.1623578076525334E-2"/>
  </r>
  <r>
    <x v="211"/>
    <x v="1"/>
    <d v="2025-06-19T00:00:00"/>
    <x v="1"/>
    <x v="5"/>
    <x v="203"/>
    <n v="452"/>
    <n v="305"/>
    <x v="211"/>
    <n v="63700"/>
    <x v="110"/>
    <x v="4"/>
    <x v="0"/>
    <n v="4.0153279184466734E-2"/>
  </r>
  <r>
    <x v="212"/>
    <x v="0"/>
    <d v="2025-06-24T00:00:00"/>
    <x v="1"/>
    <x v="6"/>
    <x v="204"/>
    <n v="422"/>
    <n v="376"/>
    <x v="212"/>
    <n v="53225"/>
    <x v="25"/>
    <x v="5"/>
    <x v="2"/>
    <n v="0.17995832544042431"/>
  </r>
  <r>
    <x v="213"/>
    <x v="1"/>
    <d v="2024-10-09T00:00:00"/>
    <x v="0"/>
    <x v="3"/>
    <x v="205"/>
    <n v="167"/>
    <n v="73"/>
    <x v="213"/>
    <n v="25872"/>
    <x v="117"/>
    <x v="6"/>
    <x v="1"/>
    <n v="0.12555218709398008"/>
  </r>
  <r>
    <x v="214"/>
    <x v="2"/>
    <d v="2025-01-15T00:00:00"/>
    <x v="0"/>
    <x v="9"/>
    <x v="206"/>
    <n v="324"/>
    <n v="182"/>
    <x v="214"/>
    <n v="37216"/>
    <x v="137"/>
    <x v="3"/>
    <x v="1"/>
    <n v="8.2744836775483013E-2"/>
  </r>
  <r>
    <x v="215"/>
    <x v="1"/>
    <d v="2025-01-12T00:00:00"/>
    <x v="0"/>
    <x v="4"/>
    <x v="207"/>
    <n v="285"/>
    <n v="100"/>
    <x v="215"/>
    <n v="56575"/>
    <x v="23"/>
    <x v="6"/>
    <x v="1"/>
    <n v="5.2041730205988429E-2"/>
  </r>
  <r>
    <x v="216"/>
    <x v="0"/>
    <d v="2025-05-31T00:00:00"/>
    <x v="0"/>
    <x v="5"/>
    <x v="208"/>
    <n v="240"/>
    <n v="57"/>
    <x v="216"/>
    <n v="46667"/>
    <x v="0"/>
    <x v="0"/>
    <x v="0"/>
    <n v="9.4450189589796618E-2"/>
  </r>
  <r>
    <x v="217"/>
    <x v="1"/>
    <d v="2024-10-14T00:00:00"/>
    <x v="1"/>
    <x v="1"/>
    <x v="209"/>
    <n v="306"/>
    <n v="302"/>
    <x v="217"/>
    <n v="33762"/>
    <x v="34"/>
    <x v="4"/>
    <x v="0"/>
    <n v="0.12409349336702463"/>
  </r>
  <r>
    <x v="218"/>
    <x v="1"/>
    <d v="2024-02-10T00:00:00"/>
    <x v="0"/>
    <x v="8"/>
    <x v="210"/>
    <n v="456"/>
    <n v="379"/>
    <x v="218"/>
    <n v="45880"/>
    <x v="98"/>
    <x v="6"/>
    <x v="1"/>
    <n v="4.5610431884675749E-2"/>
  </r>
  <r>
    <x v="219"/>
    <x v="2"/>
    <d v="2024-12-10T00:00:00"/>
    <x v="0"/>
    <x v="5"/>
    <x v="211"/>
    <n v="140"/>
    <n v="375"/>
    <x v="219"/>
    <n v="22102"/>
    <x v="138"/>
    <x v="3"/>
    <x v="1"/>
    <n v="8.0371103929948923E-2"/>
  </r>
  <r>
    <x v="220"/>
    <x v="1"/>
    <d v="2025-05-09T00:00:00"/>
    <x v="1"/>
    <x v="4"/>
    <x v="212"/>
    <n v="241"/>
    <n v="317"/>
    <x v="220"/>
    <n v="20677"/>
    <x v="85"/>
    <x v="2"/>
    <x v="0"/>
    <n v="0.1271002400274317"/>
  </r>
  <r>
    <x v="221"/>
    <x v="1"/>
    <d v="2025-06-21T00:00:00"/>
    <x v="0"/>
    <x v="1"/>
    <x v="213"/>
    <n v="127"/>
    <n v="139"/>
    <x v="221"/>
    <n v="29435"/>
    <x v="126"/>
    <x v="5"/>
    <x v="0"/>
    <n v="8.6602037169406718E-2"/>
  </r>
  <r>
    <x v="222"/>
    <x v="1"/>
    <d v="2024-06-19T00:00:00"/>
    <x v="0"/>
    <x v="5"/>
    <x v="214"/>
    <n v="168"/>
    <n v="199"/>
    <x v="222"/>
    <n v="52844"/>
    <x v="139"/>
    <x v="6"/>
    <x v="1"/>
    <n v="2.9336922849977874E-2"/>
  </r>
  <r>
    <x v="223"/>
    <x v="1"/>
    <d v="2024-12-10T00:00:00"/>
    <x v="0"/>
    <x v="8"/>
    <x v="215"/>
    <n v="270"/>
    <n v="93"/>
    <x v="223"/>
    <n v="57513"/>
    <x v="22"/>
    <x v="5"/>
    <x v="0"/>
    <n v="0.11126822801590809"/>
  </r>
  <r>
    <x v="224"/>
    <x v="2"/>
    <d v="2024-02-01T00:00:00"/>
    <x v="0"/>
    <x v="3"/>
    <x v="216"/>
    <n v="437"/>
    <n v="267"/>
    <x v="224"/>
    <n v="54511"/>
    <x v="29"/>
    <x v="3"/>
    <x v="1"/>
    <n v="5.2566815966924252E-2"/>
  </r>
  <r>
    <x v="225"/>
    <x v="1"/>
    <d v="2024-01-17T00:00:00"/>
    <x v="1"/>
    <x v="2"/>
    <x v="217"/>
    <n v="499"/>
    <n v="212"/>
    <x v="225"/>
    <n v="27190"/>
    <x v="34"/>
    <x v="2"/>
    <x v="0"/>
    <n v="5.2513742764570971E-2"/>
  </r>
  <r>
    <x v="226"/>
    <x v="2"/>
    <d v="2025-03-22T00:00:00"/>
    <x v="0"/>
    <x v="4"/>
    <x v="218"/>
    <n v="171"/>
    <n v="106"/>
    <x v="226"/>
    <n v="23949"/>
    <x v="140"/>
    <x v="3"/>
    <x v="1"/>
    <n v="0.12406981463942633"/>
  </r>
  <r>
    <x v="227"/>
    <x v="2"/>
    <d v="2024-05-30T00:00:00"/>
    <x v="2"/>
    <x v="5"/>
    <x v="219"/>
    <n v="442"/>
    <n v="319"/>
    <x v="227"/>
    <n v="24258"/>
    <x v="67"/>
    <x v="7"/>
    <x v="3"/>
    <n v="3.1839004091338254E-2"/>
  </r>
  <r>
    <x v="228"/>
    <x v="2"/>
    <d v="2024-02-24T00:00:00"/>
    <x v="0"/>
    <x v="4"/>
    <x v="220"/>
    <n v="226"/>
    <n v="349"/>
    <x v="228"/>
    <n v="28452"/>
    <x v="141"/>
    <x v="3"/>
    <x v="1"/>
    <n v="9.191926295801392E-2"/>
  </r>
  <r>
    <x v="229"/>
    <x v="2"/>
    <d v="2025-05-14T00:00:00"/>
    <x v="0"/>
    <x v="0"/>
    <x v="221"/>
    <n v="272"/>
    <n v="385"/>
    <x v="229"/>
    <n v="40832"/>
    <x v="142"/>
    <x v="3"/>
    <x v="1"/>
    <n v="4.9646286003031836E-2"/>
  </r>
  <r>
    <x v="230"/>
    <x v="0"/>
    <d v="2024-03-28T00:00:00"/>
    <x v="0"/>
    <x v="5"/>
    <x v="222"/>
    <n v="280"/>
    <n v="67"/>
    <x v="230"/>
    <n v="48016"/>
    <x v="12"/>
    <x v="0"/>
    <x v="0"/>
    <n v="6.76784936509532E-2"/>
  </r>
  <r>
    <x v="231"/>
    <x v="2"/>
    <d v="2025-03-07T00:00:00"/>
    <x v="0"/>
    <x v="7"/>
    <x v="223"/>
    <n v="284"/>
    <n v="306"/>
    <x v="231"/>
    <n v="42604"/>
    <x v="41"/>
    <x v="3"/>
    <x v="1"/>
    <n v="0.10985069273191947"/>
  </r>
  <r>
    <x v="232"/>
    <x v="1"/>
    <d v="2024-10-20T00:00:00"/>
    <x v="0"/>
    <x v="8"/>
    <x v="224"/>
    <n v="309"/>
    <n v="91"/>
    <x v="232"/>
    <n v="28095"/>
    <x v="99"/>
    <x v="5"/>
    <x v="0"/>
    <n v="8.0741841282852611E-2"/>
  </r>
  <r>
    <x v="233"/>
    <x v="1"/>
    <d v="2024-02-02T00:00:00"/>
    <x v="0"/>
    <x v="8"/>
    <x v="225"/>
    <n v="115"/>
    <n v="286"/>
    <x v="233"/>
    <n v="22277"/>
    <x v="86"/>
    <x v="5"/>
    <x v="0"/>
    <n v="0.16790703227603773"/>
  </r>
  <r>
    <x v="234"/>
    <x v="2"/>
    <d v="2024-09-07T00:00:00"/>
    <x v="0"/>
    <x v="9"/>
    <x v="226"/>
    <n v="411"/>
    <n v="190"/>
    <x v="234"/>
    <n v="57090"/>
    <x v="15"/>
    <x v="3"/>
    <x v="1"/>
    <n v="6.4655069273288512E-2"/>
  </r>
  <r>
    <x v="235"/>
    <x v="0"/>
    <d v="2024-12-20T00:00:00"/>
    <x v="0"/>
    <x v="0"/>
    <x v="227"/>
    <n v="202"/>
    <n v="239"/>
    <x v="235"/>
    <n v="48606"/>
    <x v="104"/>
    <x v="1"/>
    <x v="1"/>
    <n v="8.1666436749896543E-2"/>
  </r>
  <r>
    <x v="236"/>
    <x v="2"/>
    <d v="2024-01-14T00:00:00"/>
    <x v="0"/>
    <x v="5"/>
    <x v="228"/>
    <n v="238"/>
    <n v="386"/>
    <x v="236"/>
    <n v="25050"/>
    <x v="143"/>
    <x v="3"/>
    <x v="1"/>
    <n v="0.13077197816215114"/>
  </r>
  <r>
    <x v="237"/>
    <x v="0"/>
    <d v="2025-06-15T00:00:00"/>
    <x v="0"/>
    <x v="1"/>
    <x v="229"/>
    <n v="427"/>
    <n v="242"/>
    <x v="237"/>
    <n v="37833"/>
    <x v="144"/>
    <x v="0"/>
    <x v="0"/>
    <n v="5.3094209744904843E-2"/>
  </r>
  <r>
    <x v="238"/>
    <x v="1"/>
    <d v="2024-12-13T00:00:00"/>
    <x v="1"/>
    <x v="2"/>
    <x v="230"/>
    <n v="300"/>
    <n v="338"/>
    <x v="238"/>
    <n v="31691"/>
    <x v="75"/>
    <x v="2"/>
    <x v="0"/>
    <n v="0.17088145896656534"/>
  </r>
  <r>
    <x v="239"/>
    <x v="2"/>
    <d v="2024-08-29T00:00:00"/>
    <x v="0"/>
    <x v="3"/>
    <x v="231"/>
    <n v="389"/>
    <n v="358"/>
    <x v="239"/>
    <n v="30518"/>
    <x v="99"/>
    <x v="3"/>
    <x v="1"/>
    <n v="0.10547128720437092"/>
  </r>
  <r>
    <x v="240"/>
    <x v="1"/>
    <d v="2024-09-15T00:00:00"/>
    <x v="0"/>
    <x v="6"/>
    <x v="232"/>
    <n v="340"/>
    <n v="85"/>
    <x v="240"/>
    <n v="49938"/>
    <x v="145"/>
    <x v="5"/>
    <x v="0"/>
    <n v="4.819683813738912E-2"/>
  </r>
  <r>
    <x v="241"/>
    <x v="1"/>
    <d v="2025-04-12T00:00:00"/>
    <x v="1"/>
    <x v="8"/>
    <x v="233"/>
    <n v="208"/>
    <n v="273"/>
    <x v="241"/>
    <n v="44349"/>
    <x v="0"/>
    <x v="4"/>
    <x v="0"/>
    <n v="0.13404136389044158"/>
  </r>
  <r>
    <x v="242"/>
    <x v="1"/>
    <d v="2024-12-10T00:00:00"/>
    <x v="1"/>
    <x v="3"/>
    <x v="234"/>
    <n v="230"/>
    <n v="243"/>
    <x v="242"/>
    <n v="69771"/>
    <x v="138"/>
    <x v="4"/>
    <x v="0"/>
    <n v="9.8193807339449546E-2"/>
  </r>
  <r>
    <x v="243"/>
    <x v="2"/>
    <d v="2025-06-08T00:00:00"/>
    <x v="0"/>
    <x v="4"/>
    <x v="235"/>
    <n v="303"/>
    <n v="294"/>
    <x v="243"/>
    <n v="53397"/>
    <x v="146"/>
    <x v="3"/>
    <x v="1"/>
    <n v="8.6517714206166912E-2"/>
  </r>
  <r>
    <x v="244"/>
    <x v="1"/>
    <d v="2025-01-09T00:00:00"/>
    <x v="1"/>
    <x v="9"/>
    <x v="236"/>
    <n v="284"/>
    <n v="204"/>
    <x v="244"/>
    <n v="53396"/>
    <x v="145"/>
    <x v="2"/>
    <x v="0"/>
    <n v="9.2712236723090841E-2"/>
  </r>
  <r>
    <x v="245"/>
    <x v="1"/>
    <d v="2024-07-08T00:00:00"/>
    <x v="1"/>
    <x v="7"/>
    <x v="237"/>
    <n v="258"/>
    <n v="168"/>
    <x v="245"/>
    <n v="68290"/>
    <x v="147"/>
    <x v="0"/>
    <x v="0"/>
    <n v="0.16477245248343569"/>
  </r>
  <r>
    <x v="246"/>
    <x v="1"/>
    <d v="2024-09-16T00:00:00"/>
    <x v="1"/>
    <x v="9"/>
    <x v="238"/>
    <n v="354"/>
    <n v="397"/>
    <x v="246"/>
    <n v="72110"/>
    <x v="148"/>
    <x v="4"/>
    <x v="0"/>
    <n v="7.1354340971940891E-2"/>
  </r>
  <r>
    <x v="247"/>
    <x v="2"/>
    <d v="2024-06-14T00:00:00"/>
    <x v="2"/>
    <x v="3"/>
    <x v="239"/>
    <n v="310"/>
    <n v="344"/>
    <x v="247"/>
    <n v="19000"/>
    <x v="149"/>
    <x v="7"/>
    <x v="3"/>
    <n v="0.19261223173659131"/>
  </r>
  <r>
    <x v="248"/>
    <x v="0"/>
    <d v="2024-03-06T00:00:00"/>
    <x v="0"/>
    <x v="5"/>
    <x v="240"/>
    <n v="263"/>
    <n v="107"/>
    <x v="248"/>
    <n v="19367"/>
    <x v="150"/>
    <x v="1"/>
    <x v="1"/>
    <n v="0.14674444862627023"/>
  </r>
  <r>
    <x v="249"/>
    <x v="1"/>
    <d v="2025-05-15T00:00:00"/>
    <x v="0"/>
    <x v="9"/>
    <x v="241"/>
    <n v="210"/>
    <n v="311"/>
    <x v="249"/>
    <n v="37543"/>
    <x v="104"/>
    <x v="5"/>
    <x v="0"/>
    <n v="0.17799483100057059"/>
  </r>
  <r>
    <x v="250"/>
    <x v="1"/>
    <d v="2024-07-07T00:00:00"/>
    <x v="0"/>
    <x v="5"/>
    <x v="242"/>
    <n v="417"/>
    <n v="294"/>
    <x v="250"/>
    <n v="19798"/>
    <x v="151"/>
    <x v="6"/>
    <x v="1"/>
    <n v="4.4258807658382193E-2"/>
  </r>
  <r>
    <x v="251"/>
    <x v="2"/>
    <d v="2024-10-26T00:00:00"/>
    <x v="0"/>
    <x v="2"/>
    <x v="243"/>
    <n v="211"/>
    <n v="55"/>
    <x v="251"/>
    <n v="73503"/>
    <x v="152"/>
    <x v="3"/>
    <x v="1"/>
    <n v="0.10762898272970794"/>
  </r>
  <r>
    <x v="252"/>
    <x v="2"/>
    <d v="2024-08-08T00:00:00"/>
    <x v="0"/>
    <x v="8"/>
    <x v="244"/>
    <n v="197"/>
    <n v="290"/>
    <x v="252"/>
    <n v="23343"/>
    <x v="75"/>
    <x v="3"/>
    <x v="1"/>
    <n v="5.0121212121212122E-2"/>
  </r>
  <r>
    <x v="253"/>
    <x v="1"/>
    <d v="2025-02-03T00:00:00"/>
    <x v="0"/>
    <x v="5"/>
    <x v="245"/>
    <n v="231"/>
    <n v="94"/>
    <x v="253"/>
    <n v="32560"/>
    <x v="151"/>
    <x v="5"/>
    <x v="0"/>
    <n v="0.15451192239551567"/>
  </r>
  <r>
    <x v="254"/>
    <x v="1"/>
    <d v="2024-04-03T00:00:00"/>
    <x v="1"/>
    <x v="7"/>
    <x v="246"/>
    <n v="146"/>
    <n v="399"/>
    <x v="254"/>
    <n v="28056"/>
    <x v="19"/>
    <x v="4"/>
    <x v="0"/>
    <n v="5.7503193495407452E-2"/>
  </r>
  <r>
    <x v="255"/>
    <x v="1"/>
    <d v="2024-07-08T00:00:00"/>
    <x v="1"/>
    <x v="3"/>
    <x v="247"/>
    <n v="289"/>
    <n v="161"/>
    <x v="255"/>
    <n v="66262"/>
    <x v="153"/>
    <x v="2"/>
    <x v="0"/>
    <n v="5.2312660271630736E-2"/>
  </r>
  <r>
    <x v="256"/>
    <x v="1"/>
    <d v="2024-06-08T00:00:00"/>
    <x v="1"/>
    <x v="7"/>
    <x v="248"/>
    <n v="326"/>
    <n v="86"/>
    <x v="256"/>
    <n v="52719"/>
    <x v="3"/>
    <x v="4"/>
    <x v="0"/>
    <n v="8.5608773500447627E-2"/>
  </r>
  <r>
    <x v="257"/>
    <x v="2"/>
    <d v="2025-03-20T00:00:00"/>
    <x v="2"/>
    <x v="8"/>
    <x v="249"/>
    <n v="156"/>
    <n v="178"/>
    <x v="257"/>
    <n v="57180"/>
    <x v="113"/>
    <x v="7"/>
    <x v="3"/>
    <n v="3.3729709324273313E-2"/>
  </r>
  <r>
    <x v="258"/>
    <x v="1"/>
    <d v="2025-01-19T00:00:00"/>
    <x v="1"/>
    <x v="4"/>
    <x v="250"/>
    <n v="480"/>
    <n v="282"/>
    <x v="258"/>
    <n v="70560"/>
    <x v="31"/>
    <x v="0"/>
    <x v="0"/>
    <n v="7.5077784691972627E-2"/>
  </r>
  <r>
    <x v="259"/>
    <x v="1"/>
    <d v="2025-01-05T00:00:00"/>
    <x v="1"/>
    <x v="1"/>
    <x v="251"/>
    <n v="154"/>
    <n v="123"/>
    <x v="259"/>
    <n v="49035"/>
    <x v="69"/>
    <x v="2"/>
    <x v="0"/>
    <n v="8.3423643616408028E-2"/>
  </r>
  <r>
    <x v="260"/>
    <x v="1"/>
    <d v="2024-11-16T00:00:00"/>
    <x v="0"/>
    <x v="8"/>
    <x v="252"/>
    <n v="263"/>
    <n v="308"/>
    <x v="260"/>
    <n v="28214"/>
    <x v="50"/>
    <x v="6"/>
    <x v="1"/>
    <n v="6.8477000386548123E-2"/>
  </r>
  <r>
    <x v="261"/>
    <x v="1"/>
    <d v="2024-11-30T00:00:00"/>
    <x v="1"/>
    <x v="1"/>
    <x v="253"/>
    <n v="255"/>
    <n v="193"/>
    <x v="261"/>
    <n v="28415"/>
    <x v="23"/>
    <x v="2"/>
    <x v="0"/>
    <n v="0.12190780876853062"/>
  </r>
  <r>
    <x v="262"/>
    <x v="2"/>
    <d v="2024-03-27T00:00:00"/>
    <x v="0"/>
    <x v="4"/>
    <x v="254"/>
    <n v="191"/>
    <n v="221"/>
    <x v="262"/>
    <n v="40033"/>
    <x v="102"/>
    <x v="3"/>
    <x v="1"/>
    <n v="5.4473577117609438E-2"/>
  </r>
  <r>
    <x v="263"/>
    <x v="2"/>
    <d v="2025-05-31T00:00:00"/>
    <x v="2"/>
    <x v="6"/>
    <x v="255"/>
    <n v="318"/>
    <n v="83"/>
    <x v="263"/>
    <n v="20482"/>
    <x v="154"/>
    <x v="7"/>
    <x v="3"/>
    <n v="5.4859907104176028E-2"/>
  </r>
  <r>
    <x v="264"/>
    <x v="1"/>
    <d v="2025-06-17T00:00:00"/>
    <x v="1"/>
    <x v="1"/>
    <x v="256"/>
    <n v="141"/>
    <n v="63"/>
    <x v="264"/>
    <n v="27507"/>
    <x v="62"/>
    <x v="4"/>
    <x v="0"/>
    <n v="9.0752980172121162E-2"/>
  </r>
  <r>
    <x v="265"/>
    <x v="0"/>
    <d v="2024-05-30T00:00:00"/>
    <x v="1"/>
    <x v="6"/>
    <x v="257"/>
    <n v="464"/>
    <n v="98"/>
    <x v="265"/>
    <n v="48545"/>
    <x v="142"/>
    <x v="5"/>
    <x v="2"/>
    <n v="0.11695224773672146"/>
  </r>
  <r>
    <x v="266"/>
    <x v="2"/>
    <d v="2024-11-08T00:00:00"/>
    <x v="0"/>
    <x v="7"/>
    <x v="258"/>
    <n v="166"/>
    <n v="320"/>
    <x v="266"/>
    <n v="46900"/>
    <x v="77"/>
    <x v="3"/>
    <x v="1"/>
    <n v="6.1279893894806647E-2"/>
  </r>
  <r>
    <x v="267"/>
    <x v="2"/>
    <d v="2024-03-17T00:00:00"/>
    <x v="2"/>
    <x v="1"/>
    <x v="259"/>
    <n v="446"/>
    <n v="216"/>
    <x v="267"/>
    <n v="62723"/>
    <x v="128"/>
    <x v="7"/>
    <x v="3"/>
    <n v="7.3202671439172376E-2"/>
  </r>
  <r>
    <x v="268"/>
    <x v="2"/>
    <d v="2024-06-21T00:00:00"/>
    <x v="2"/>
    <x v="4"/>
    <x v="260"/>
    <n v="374"/>
    <n v="298"/>
    <x v="268"/>
    <n v="24098"/>
    <x v="58"/>
    <x v="7"/>
    <x v="3"/>
    <n v="9.2893873181347508E-2"/>
  </r>
  <r>
    <x v="269"/>
    <x v="1"/>
    <d v="2024-11-13T00:00:00"/>
    <x v="1"/>
    <x v="2"/>
    <x v="261"/>
    <n v="466"/>
    <n v="105"/>
    <x v="269"/>
    <n v="38753"/>
    <x v="34"/>
    <x v="4"/>
    <x v="0"/>
    <n v="3.3603177027646251E-2"/>
  </r>
  <r>
    <x v="270"/>
    <x v="1"/>
    <d v="2025-02-05T00:00:00"/>
    <x v="1"/>
    <x v="0"/>
    <x v="262"/>
    <n v="440"/>
    <n v="66"/>
    <x v="270"/>
    <n v="47895"/>
    <x v="155"/>
    <x v="4"/>
    <x v="0"/>
    <n v="0.14843585975225698"/>
  </r>
  <r>
    <x v="271"/>
    <x v="1"/>
    <d v="2024-11-07T00:00:00"/>
    <x v="0"/>
    <x v="1"/>
    <x v="263"/>
    <n v="395"/>
    <n v="328"/>
    <x v="271"/>
    <n v="37176"/>
    <x v="156"/>
    <x v="6"/>
    <x v="1"/>
    <n v="5.1861351697967357E-2"/>
  </r>
  <r>
    <x v="272"/>
    <x v="1"/>
    <d v="2024-02-12T00:00:00"/>
    <x v="0"/>
    <x v="1"/>
    <x v="264"/>
    <n v="486"/>
    <n v="206"/>
    <x v="272"/>
    <n v="44583"/>
    <x v="134"/>
    <x v="5"/>
    <x v="0"/>
    <n v="6.6160796354604659E-2"/>
  </r>
  <r>
    <x v="273"/>
    <x v="0"/>
    <d v="2024-10-08T00:00:00"/>
    <x v="0"/>
    <x v="1"/>
    <x v="265"/>
    <n v="384"/>
    <n v="236"/>
    <x v="273"/>
    <n v="61555"/>
    <x v="36"/>
    <x v="1"/>
    <x v="1"/>
    <n v="5.4638246772740921E-2"/>
  </r>
  <r>
    <x v="274"/>
    <x v="0"/>
    <d v="2024-02-19T00:00:00"/>
    <x v="0"/>
    <x v="3"/>
    <x v="143"/>
    <n v="449"/>
    <n v="309"/>
    <x v="274"/>
    <n v="26630"/>
    <x v="157"/>
    <x v="1"/>
    <x v="1"/>
    <n v="9.4139757389372969E-2"/>
  </r>
  <r>
    <x v="275"/>
    <x v="1"/>
    <d v="2025-03-04T00:00:00"/>
    <x v="0"/>
    <x v="0"/>
    <x v="266"/>
    <n v="258"/>
    <n v="292"/>
    <x v="275"/>
    <n v="51324"/>
    <x v="158"/>
    <x v="5"/>
    <x v="0"/>
    <n v="5.7682545054573146E-2"/>
  </r>
  <r>
    <x v="276"/>
    <x v="0"/>
    <d v="2025-02-03T00:00:00"/>
    <x v="1"/>
    <x v="2"/>
    <x v="267"/>
    <n v="486"/>
    <n v="269"/>
    <x v="276"/>
    <n v="42411"/>
    <x v="71"/>
    <x v="5"/>
    <x v="2"/>
    <n v="8.3972409065592737E-2"/>
  </r>
  <r>
    <x v="277"/>
    <x v="0"/>
    <d v="2024-12-02T00:00:00"/>
    <x v="0"/>
    <x v="7"/>
    <x v="268"/>
    <n v="292"/>
    <n v="245"/>
    <x v="277"/>
    <n v="65597"/>
    <x v="148"/>
    <x v="0"/>
    <x v="0"/>
    <n v="6.6186514342481059E-2"/>
  </r>
  <r>
    <x v="278"/>
    <x v="1"/>
    <d v="2025-01-19T00:00:00"/>
    <x v="1"/>
    <x v="2"/>
    <x v="269"/>
    <n v="295"/>
    <n v="371"/>
    <x v="278"/>
    <n v="53965"/>
    <x v="6"/>
    <x v="0"/>
    <x v="0"/>
    <n v="0.20445859872611466"/>
  </r>
  <r>
    <x v="279"/>
    <x v="1"/>
    <d v="2024-09-28T00:00:00"/>
    <x v="1"/>
    <x v="3"/>
    <x v="270"/>
    <n v="317"/>
    <n v="249"/>
    <x v="279"/>
    <n v="33365"/>
    <x v="71"/>
    <x v="4"/>
    <x v="0"/>
    <n v="0.1122776514644911"/>
  </r>
  <r>
    <x v="280"/>
    <x v="0"/>
    <d v="2024-01-07T00:00:00"/>
    <x v="0"/>
    <x v="7"/>
    <x v="271"/>
    <n v="469"/>
    <n v="193"/>
    <x v="280"/>
    <n v="69437"/>
    <x v="52"/>
    <x v="0"/>
    <x v="0"/>
    <n v="9.8640235621946709E-2"/>
  </r>
  <r>
    <x v="281"/>
    <x v="1"/>
    <d v="2024-02-21T00:00:00"/>
    <x v="1"/>
    <x v="6"/>
    <x v="272"/>
    <n v="439"/>
    <n v="148"/>
    <x v="281"/>
    <n v="39629"/>
    <x v="148"/>
    <x v="2"/>
    <x v="0"/>
    <n v="5.4576862557296296E-2"/>
  </r>
  <r>
    <x v="282"/>
    <x v="0"/>
    <d v="2024-08-27T00:00:00"/>
    <x v="0"/>
    <x v="4"/>
    <x v="273"/>
    <n v="359"/>
    <n v="280"/>
    <x v="282"/>
    <n v="70930"/>
    <x v="159"/>
    <x v="1"/>
    <x v="1"/>
    <n v="8.628318584070796E-2"/>
  </r>
  <r>
    <x v="283"/>
    <x v="0"/>
    <d v="2024-10-24T00:00:00"/>
    <x v="1"/>
    <x v="7"/>
    <x v="274"/>
    <n v="255"/>
    <n v="156"/>
    <x v="283"/>
    <n v="47776"/>
    <x v="77"/>
    <x v="5"/>
    <x v="2"/>
    <n v="8.4056399132321047E-2"/>
  </r>
  <r>
    <x v="284"/>
    <x v="2"/>
    <d v="2025-01-29T00:00:00"/>
    <x v="0"/>
    <x v="2"/>
    <x v="275"/>
    <n v="357"/>
    <n v="257"/>
    <x v="284"/>
    <n v="70606"/>
    <x v="160"/>
    <x v="3"/>
    <x v="1"/>
    <n v="3.4229485151994379E-2"/>
  </r>
  <r>
    <x v="285"/>
    <x v="0"/>
    <d v="2024-05-01T00:00:00"/>
    <x v="0"/>
    <x v="6"/>
    <x v="276"/>
    <n v="137"/>
    <n v="387"/>
    <x v="285"/>
    <n v="47257"/>
    <x v="161"/>
    <x v="1"/>
    <x v="1"/>
    <n v="0.11467469950680724"/>
  </r>
  <r>
    <x v="286"/>
    <x v="2"/>
    <d v="2024-06-25T00:00:00"/>
    <x v="0"/>
    <x v="9"/>
    <x v="277"/>
    <n v="338"/>
    <n v="70"/>
    <x v="286"/>
    <n v="57853"/>
    <x v="162"/>
    <x v="3"/>
    <x v="1"/>
    <n v="8.4548582664263475E-2"/>
  </r>
  <r>
    <x v="287"/>
    <x v="1"/>
    <d v="2024-08-09T00:00:00"/>
    <x v="1"/>
    <x v="8"/>
    <x v="278"/>
    <n v="442"/>
    <n v="236"/>
    <x v="287"/>
    <n v="48241"/>
    <x v="81"/>
    <x v="4"/>
    <x v="0"/>
    <n v="0.10546200140489435"/>
  </r>
  <r>
    <x v="288"/>
    <x v="0"/>
    <d v="2025-01-21T00:00:00"/>
    <x v="1"/>
    <x v="2"/>
    <x v="279"/>
    <n v="440"/>
    <n v="149"/>
    <x v="288"/>
    <n v="64370"/>
    <x v="124"/>
    <x v="5"/>
    <x v="2"/>
    <n v="0.10338095327488783"/>
  </r>
  <r>
    <x v="289"/>
    <x v="1"/>
    <d v="2024-08-13T00:00:00"/>
    <x v="0"/>
    <x v="1"/>
    <x v="28"/>
    <n v="107"/>
    <n v="221"/>
    <x v="289"/>
    <n v="26182"/>
    <x v="136"/>
    <x v="6"/>
    <x v="1"/>
    <n v="0.1565595352530614"/>
  </r>
  <r>
    <x v="290"/>
    <x v="0"/>
    <d v="2024-06-29T00:00:00"/>
    <x v="0"/>
    <x v="9"/>
    <x v="280"/>
    <n v="490"/>
    <n v="124"/>
    <x v="290"/>
    <n v="69346"/>
    <x v="126"/>
    <x v="0"/>
    <x v="0"/>
    <n v="5.8052595393606049E-2"/>
  </r>
  <r>
    <x v="291"/>
    <x v="1"/>
    <d v="2024-11-03T00:00:00"/>
    <x v="1"/>
    <x v="1"/>
    <x v="281"/>
    <n v="320"/>
    <n v="76"/>
    <x v="291"/>
    <n v="24306"/>
    <x v="130"/>
    <x v="2"/>
    <x v="0"/>
    <n v="0.12976726726726726"/>
  </r>
  <r>
    <x v="292"/>
    <x v="2"/>
    <d v="2025-04-18T00:00:00"/>
    <x v="2"/>
    <x v="9"/>
    <x v="282"/>
    <n v="230"/>
    <n v="364"/>
    <x v="292"/>
    <n v="50382"/>
    <x v="163"/>
    <x v="7"/>
    <x v="3"/>
    <n v="4.4999031758326875E-2"/>
  </r>
  <r>
    <x v="293"/>
    <x v="0"/>
    <d v="2024-12-27T00:00:00"/>
    <x v="0"/>
    <x v="8"/>
    <x v="283"/>
    <n v="219"/>
    <n v="229"/>
    <x v="293"/>
    <n v="24314"/>
    <x v="25"/>
    <x v="1"/>
    <x v="1"/>
    <n v="3.221173574066475E-2"/>
  </r>
  <r>
    <x v="294"/>
    <x v="0"/>
    <d v="2025-03-08T00:00:00"/>
    <x v="1"/>
    <x v="7"/>
    <x v="284"/>
    <n v="392"/>
    <n v="231"/>
    <x v="294"/>
    <n v="50906"/>
    <x v="164"/>
    <x v="5"/>
    <x v="2"/>
    <n v="0.1109777812185492"/>
  </r>
  <r>
    <x v="295"/>
    <x v="1"/>
    <d v="2025-03-20T00:00:00"/>
    <x v="1"/>
    <x v="9"/>
    <x v="285"/>
    <n v="104"/>
    <n v="79"/>
    <x v="295"/>
    <n v="21593"/>
    <x v="164"/>
    <x v="2"/>
    <x v="0"/>
    <n v="0.1191007493755204"/>
  </r>
  <r>
    <x v="296"/>
    <x v="1"/>
    <d v="2024-11-16T00:00:00"/>
    <x v="0"/>
    <x v="1"/>
    <x v="286"/>
    <n v="108"/>
    <n v="86"/>
    <x v="296"/>
    <n v="23773"/>
    <x v="75"/>
    <x v="6"/>
    <x v="1"/>
    <n v="5.9775576027966085E-2"/>
  </r>
  <r>
    <x v="297"/>
    <x v="1"/>
    <d v="2025-06-30T00:00:00"/>
    <x v="0"/>
    <x v="5"/>
    <x v="287"/>
    <n v="285"/>
    <n v="125"/>
    <x v="297"/>
    <n v="74761"/>
    <x v="16"/>
    <x v="5"/>
    <x v="0"/>
    <n v="6.1064362065044349E-2"/>
  </r>
  <r>
    <x v="298"/>
    <x v="1"/>
    <d v="2024-01-12T00:00:00"/>
    <x v="1"/>
    <x v="3"/>
    <x v="288"/>
    <n v="494"/>
    <n v="161"/>
    <x v="298"/>
    <n v="68074"/>
    <x v="132"/>
    <x v="4"/>
    <x v="0"/>
    <n v="5.5797564422760453E-2"/>
  </r>
  <r>
    <x v="299"/>
    <x v="0"/>
    <d v="2024-02-07T00:00:00"/>
    <x v="0"/>
    <x v="4"/>
    <x v="289"/>
    <n v="432"/>
    <n v="397"/>
    <x v="299"/>
    <n v="18691"/>
    <x v="66"/>
    <x v="0"/>
    <x v="0"/>
    <n v="9.4300914496331587E-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3">
  <r>
    <s v="SP001"/>
    <s v="Instagram"/>
    <d v="2025-05-04T00:00:00"/>
    <s v="Text"/>
    <s v="Discover fresh beats on Spotify!"/>
    <n v="2414"/>
    <n v="245"/>
    <n v="137"/>
    <n v="21181"/>
    <n v="45292"/>
    <n v="133"/>
    <x v="0"/>
    <s v="ChillVibes"/>
  </r>
  <r>
    <s v="SP001"/>
    <s v="Instagram"/>
    <d v="2025-05-04T00:00:00"/>
    <s v="Text"/>
    <s v="Discover fresh beats on Spotify!"/>
    <n v="2414"/>
    <n v="245"/>
    <n v="137"/>
    <n v="21181"/>
    <n v="45292"/>
    <n v="133"/>
    <x v="1"/>
    <s v="ChillVibes"/>
  </r>
  <r>
    <s v="SP002"/>
    <s v="Instagram"/>
    <d v="2025-02-01T00:00:00"/>
    <s v="Text"/>
    <s v="Explore the latest podcasts now."/>
    <n v="1934"/>
    <n v="210"/>
    <n v="393"/>
    <n v="29129"/>
    <n v="73287"/>
    <n v="273"/>
    <x v="2"/>
    <s v="IndieWave"/>
  </r>
  <r>
    <s v="SP003"/>
    <s v="Twitter"/>
    <d v="2024-12-03T00:00:00"/>
    <s v="Story"/>
    <s v="New music just dropped. Hit play!"/>
    <n v="3092"/>
    <n v="177"/>
    <n v="81"/>
    <n v="47533"/>
    <n v="29220"/>
    <n v="121"/>
    <x v="3"/>
    <s v="ChillVibes"/>
  </r>
  <r>
    <s v="SP003"/>
    <s v="Twitter"/>
    <d v="2024-12-03T00:00:00"/>
    <s v="Story"/>
    <s v="New music just dropped. Hit play!"/>
    <n v="3092"/>
    <n v="177"/>
    <n v="81"/>
    <n v="47533"/>
    <n v="29220"/>
    <n v="121"/>
    <x v="1"/>
    <s v="ChillVibes"/>
  </r>
  <r>
    <s v="SP004"/>
    <s v="Instagram"/>
    <d v="2024-12-03T00:00:00"/>
    <s v="Text"/>
    <s v="Wrapped is here! Relive your top tracks 🎧"/>
    <n v="3173"/>
    <n v="229"/>
    <n v="197"/>
    <n v="29604"/>
    <n v="21809"/>
    <n v="272"/>
    <x v="0"/>
    <s v="ChillVibes"/>
  </r>
  <r>
    <s v="SP004"/>
    <s v="Instagram"/>
    <d v="2024-12-03T00:00:00"/>
    <s v="Text"/>
    <s v="Wrapped is here! Relive your top tracks 🎧"/>
    <n v="3173"/>
    <n v="229"/>
    <n v="197"/>
    <n v="29604"/>
    <n v="21809"/>
    <n v="272"/>
    <x v="1"/>
    <s v="ChillVibes"/>
  </r>
  <r>
    <s v="SP005"/>
    <s v="YouTube"/>
    <d v="2024-04-06T00:00:00"/>
    <s v="Text"/>
    <s v="Music that moves you-only on Spotify."/>
    <n v="2748"/>
    <n v="145"/>
    <n v="315"/>
    <n v="24401"/>
    <n v="61182"/>
    <n v="200"/>
    <x v="2"/>
    <s v="IndieWave"/>
  </r>
  <r>
    <s v="SP005"/>
    <s v="YouTube"/>
    <d v="2024-04-06T00:00:00"/>
    <s v="Text"/>
    <s v="Music that moves you-only on Spotify."/>
    <n v="2748"/>
    <n v="145"/>
    <n v="315"/>
    <n v="24401"/>
    <n v="61182"/>
    <n v="200"/>
    <x v="4"/>
    <s v="IndieWave"/>
  </r>
  <r>
    <s v="SP006"/>
    <s v="YouTube"/>
    <d v="2024-06-13T00:00:00"/>
    <s v="Text"/>
    <s v="What's your vibe today? #SpotifyHits"/>
    <n v="3882"/>
    <n v="239"/>
    <n v="275"/>
    <n v="58748"/>
    <n v="44646"/>
    <n v="149"/>
    <x v="2"/>
    <s v="IndieWave"/>
  </r>
  <r>
    <s v="SP006"/>
    <s v="YouTube"/>
    <d v="2024-06-13T00:00:00"/>
    <s v="Text"/>
    <s v="What's your vibe today? #SpotifyHits"/>
    <n v="3882"/>
    <n v="239"/>
    <n v="275"/>
    <n v="58748"/>
    <n v="44646"/>
    <n v="149"/>
    <x v="4"/>
    <s v="IndieWave"/>
  </r>
  <r>
    <s v="SP007"/>
    <s v="Twitter"/>
    <d v="2024-12-19T00:00:00"/>
    <s v="Story"/>
    <s v="Get into the groove with our new drop!"/>
    <n v="4674"/>
    <n v="409"/>
    <n v="327"/>
    <n v="20756"/>
    <n v="63599"/>
    <n v="212"/>
    <x v="0"/>
    <s v="ChillVibes"/>
  </r>
  <r>
    <s v="SP007"/>
    <s v="Twitter"/>
    <d v="2024-12-19T00:00:00"/>
    <s v="Story"/>
    <s v="Get into the groove with our new drop!"/>
    <n v="4674"/>
    <n v="409"/>
    <n v="327"/>
    <n v="20756"/>
    <n v="63599"/>
    <n v="212"/>
    <x v="1"/>
    <s v="ChillVibes"/>
  </r>
  <r>
    <s v="SP008"/>
    <s v="Twitter"/>
    <d v="2024-05-09T00:00:00"/>
    <s v="Story"/>
    <s v="Wrapped is here! Relive your top tracks 🎧"/>
    <n v="1428"/>
    <n v="347"/>
    <n v="67"/>
    <n v="21148"/>
    <n v="19712"/>
    <n v="120"/>
    <x v="2"/>
    <s v="ChillVibes"/>
  </r>
  <r>
    <s v="SP008"/>
    <s v="Twitter"/>
    <d v="2024-05-09T00:00:00"/>
    <s v="Story"/>
    <s v="Wrapped is here! Relive your top tracks 🎧"/>
    <n v="1428"/>
    <n v="347"/>
    <n v="67"/>
    <n v="21148"/>
    <n v="19712"/>
    <n v="120"/>
    <x v="3"/>
    <s v="ChillVibes"/>
  </r>
  <r>
    <s v="SP009"/>
    <s v="Twitter"/>
    <d v="2025-06-15T00:00:00"/>
    <s v="Text"/>
    <s v="Top trending tracks updated daily!"/>
    <n v="4432"/>
    <n v="223"/>
    <n v="299"/>
    <n v="59016"/>
    <n v="21742"/>
    <n v="171"/>
    <x v="1"/>
    <s v="ChillVibes"/>
  </r>
  <r>
    <s v="SP010"/>
    <s v="Twitter"/>
    <d v="2024-12-04T00:00:00"/>
    <s v="Text"/>
    <s v="Wrapped is here! Relive your top tracks 🎧"/>
    <n v="2357"/>
    <n v="274"/>
    <n v="172"/>
    <n v="21566"/>
    <n v="66829"/>
    <n v="284"/>
    <x v="1"/>
    <s v="ChillVibes"/>
  </r>
  <r>
    <s v="SP011"/>
    <s v="Twitter"/>
    <d v="2024-03-06T00:00:00"/>
    <s v="Text"/>
    <s v="Discover fresh beats on Spotify!"/>
    <n v="1971"/>
    <n v="370"/>
    <n v="306"/>
    <n v="31316"/>
    <n v="27897"/>
    <n v="88"/>
    <x v="0"/>
    <s v="IndieWave"/>
  </r>
  <r>
    <s v="SP012"/>
    <s v="Instagram"/>
    <d v="2024-05-14T00:00:00"/>
    <s v="Text"/>
    <s v="Discover fresh beats on Spotify!"/>
    <n v="1485"/>
    <n v="353"/>
    <n v="244"/>
    <n v="38419"/>
    <n v="38556"/>
    <n v="86"/>
    <x v="0"/>
    <s v="ChillVibes"/>
  </r>
  <r>
    <s v="SP012"/>
    <s v="Instagram"/>
    <d v="2024-05-14T00:00:00"/>
    <s v="Text"/>
    <s v="Discover fresh beats on Spotify!"/>
    <n v="1485"/>
    <n v="353"/>
    <n v="244"/>
    <n v="38419"/>
    <n v="38556"/>
    <n v="86"/>
    <x v="1"/>
    <s v="ChillVibes"/>
  </r>
  <r>
    <s v="SP013"/>
    <s v="Twitter"/>
    <d v="2025-06-18T00:00:00"/>
    <s v="Story"/>
    <s v="Discover fresh beats on Spotify!"/>
    <n v="3956"/>
    <n v="319"/>
    <n v="61"/>
    <n v="58162"/>
    <n v="28720"/>
    <n v="213"/>
    <x v="3"/>
    <s v="ChillVibes"/>
  </r>
  <r>
    <s v="SP013"/>
    <s v="Twitter"/>
    <d v="2025-06-18T00:00:00"/>
    <s v="Story"/>
    <s v="Discover fresh beats on Spotify!"/>
    <n v="3956"/>
    <n v="319"/>
    <n v="61"/>
    <n v="58162"/>
    <n v="28720"/>
    <n v="213"/>
    <x v="1"/>
    <s v="ChillVibes"/>
  </r>
  <r>
    <s v="SP014"/>
    <s v="Twitter"/>
    <d v="2024-10-08T00:00:00"/>
    <s v="Text"/>
    <s v="From pop to podcasts, it's all here."/>
    <n v="2460"/>
    <n v="409"/>
    <n v="253"/>
    <n v="36702"/>
    <n v="46122"/>
    <n v="264"/>
    <x v="1"/>
    <s v="ChillVibes"/>
  </r>
  <r>
    <s v="SP015"/>
    <s v="Twitter"/>
    <d v="2024-05-06T00:00:00"/>
    <s v="Text"/>
    <s v="Your weekend playlist is waiting."/>
    <n v="3476"/>
    <n v="355"/>
    <n v="396"/>
    <n v="37492"/>
    <n v="27285"/>
    <n v="179"/>
    <x v="1"/>
    <s v="ChillVibes"/>
  </r>
  <r>
    <s v="SP016"/>
    <s v="Twitter"/>
    <d v="2024-12-29T00:00:00"/>
    <s v="Story"/>
    <s v="New music just dropped. Hit play!"/>
    <n v="4049"/>
    <n v="377"/>
    <n v="94"/>
    <n v="48182"/>
    <n v="42875"/>
    <n v="172"/>
    <x v="3"/>
    <s v="ChillVibes"/>
  </r>
  <r>
    <s v="SP016"/>
    <s v="Twitter"/>
    <d v="2024-12-29T00:00:00"/>
    <s v="Story"/>
    <s v="New music just dropped. Hit play!"/>
    <n v="4049"/>
    <n v="377"/>
    <n v="94"/>
    <n v="48182"/>
    <n v="42875"/>
    <n v="172"/>
    <x v="1"/>
    <s v="ChillVibes"/>
  </r>
  <r>
    <s v="SP017"/>
    <s v="Twitter"/>
    <d v="2024-06-10T00:00:00"/>
    <s v="Text"/>
    <s v="What's your vibe today? #SpotifyHits"/>
    <n v="1514"/>
    <n v="164"/>
    <n v="275"/>
    <n v="41364"/>
    <n v="44389"/>
    <n v="83"/>
    <x v="1"/>
    <s v="ChillVibes"/>
  </r>
  <r>
    <s v="SP018"/>
    <s v="Instagram"/>
    <d v="2024-02-03T00:00:00"/>
    <s v="Story"/>
    <s v="Music that moves you-only on Spotify."/>
    <n v="4281"/>
    <n v="101"/>
    <n v="163"/>
    <n v="32278"/>
    <n v="53382"/>
    <n v="235"/>
    <x v="1"/>
    <s v="Wrapped2024"/>
  </r>
  <r>
    <s v="SP019"/>
    <s v="YouTube"/>
    <d v="2024-06-15T00:00:00"/>
    <s v="Reel"/>
    <s v="Get into the groove with our new drop!"/>
    <n v="1751"/>
    <n v="143"/>
    <n v="151"/>
    <n v="31826"/>
    <n v="47729"/>
    <n v="95"/>
    <x v="2"/>
    <s v="SummerBeats"/>
  </r>
  <r>
    <s v="SP019"/>
    <s v="YouTube"/>
    <d v="2024-06-15T00:00:00"/>
    <s v="Reel"/>
    <s v="Get into the groove with our new drop!"/>
    <n v="1751"/>
    <n v="143"/>
    <n v="151"/>
    <n v="31826"/>
    <n v="47729"/>
    <n v="95"/>
    <x v="0"/>
    <s v="SummerBeats"/>
  </r>
  <r>
    <s v="SP020"/>
    <s v="Instagram"/>
    <d v="2024-07-05T00:00:00"/>
    <s v="Text"/>
    <s v="Your weekend playlist is waiting."/>
    <n v="3753"/>
    <n v="411"/>
    <n v="308"/>
    <n v="29138"/>
    <n v="27678"/>
    <n v="90"/>
    <x v="2"/>
    <s v="IndieWave"/>
  </r>
  <r>
    <s v="SP021"/>
    <s v="Instagram"/>
    <d v="2024-11-07T00:00:00"/>
    <s v="Story"/>
    <s v="Wrapped is here! Relive your top tracks 🎧"/>
    <n v="1678"/>
    <n v="423"/>
    <n v="323"/>
    <n v="55668"/>
    <n v="37945"/>
    <n v="230"/>
    <x v="1"/>
    <s v="Wrapped2024"/>
  </r>
  <r>
    <s v="SP022"/>
    <s v="Instagram"/>
    <d v="2025-06-15T00:00:00"/>
    <s v="Text"/>
    <s v="What's your vibe today? #SpotifyHits"/>
    <n v="4896"/>
    <n v="466"/>
    <n v="233"/>
    <n v="28621"/>
    <n v="34270"/>
    <n v="84"/>
    <x v="0"/>
    <s v="ChillVibes"/>
  </r>
  <r>
    <s v="SP022"/>
    <s v="Instagram"/>
    <d v="2025-06-15T00:00:00"/>
    <s v="Text"/>
    <s v="What's your vibe today? #SpotifyHits"/>
    <n v="4896"/>
    <n v="466"/>
    <n v="233"/>
    <n v="28621"/>
    <n v="34270"/>
    <n v="84"/>
    <x v="1"/>
    <s v="ChillVibes"/>
  </r>
  <r>
    <s v="SP023"/>
    <s v="YouTube"/>
    <d v="2024-06-09T00:00:00"/>
    <s v="Reel"/>
    <s v="From pop to podcasts, it's all here."/>
    <n v="2786"/>
    <n v="368"/>
    <n v="208"/>
    <n v="42000"/>
    <n v="39967"/>
    <n v="103"/>
    <x v="2"/>
    <s v="SummerBeats"/>
  </r>
  <r>
    <s v="SP023"/>
    <s v="YouTube"/>
    <d v="2024-06-09T00:00:00"/>
    <s v="Reel"/>
    <s v="From pop to podcasts, it's all here."/>
    <n v="2786"/>
    <n v="368"/>
    <n v="208"/>
    <n v="42000"/>
    <n v="39967"/>
    <n v="103"/>
    <x v="0"/>
    <s v="SummerBeats"/>
  </r>
  <r>
    <s v="SP024"/>
    <s v="Twitter"/>
    <d v="2024-10-18T00:00:00"/>
    <s v="Text"/>
    <s v="New music just dropped. Hit play!"/>
    <n v="2607"/>
    <n v="379"/>
    <n v="180"/>
    <n v="28712"/>
    <n v="61620"/>
    <n v="174"/>
    <x v="0"/>
    <s v="IndieWave"/>
  </r>
  <r>
    <s v="SP025"/>
    <s v="YouTube"/>
    <d v="2024-10-10T00:00:00"/>
    <s v="Reel"/>
    <s v="From pop to podcasts, it's all here."/>
    <n v="4013"/>
    <n v="320"/>
    <n v="92"/>
    <n v="54605"/>
    <n v="60169"/>
    <n v="232"/>
    <x v="2"/>
    <s v="SummerBeats"/>
  </r>
  <r>
    <s v="SP025"/>
    <s v="YouTube"/>
    <d v="2024-10-10T00:00:00"/>
    <s v="Reel"/>
    <s v="From pop to podcasts, it's all here."/>
    <n v="4013"/>
    <n v="320"/>
    <n v="92"/>
    <n v="54605"/>
    <n v="60169"/>
    <n v="232"/>
    <x v="0"/>
    <s v="SummerBeats"/>
  </r>
  <r>
    <s v="SP026"/>
    <s v="Twitter"/>
    <d v="2025-05-14T00:00:00"/>
    <s v="Story"/>
    <s v="From pop to podcasts, it's all here."/>
    <n v="2707"/>
    <n v="103"/>
    <n v="51"/>
    <n v="55302"/>
    <n v="18801"/>
    <n v="147"/>
    <x v="2"/>
    <s v="ChillVibes"/>
  </r>
  <r>
    <s v="SP026"/>
    <s v="Twitter"/>
    <d v="2025-05-14T00:00:00"/>
    <s v="Story"/>
    <s v="From pop to podcasts, it's all here."/>
    <n v="2707"/>
    <n v="103"/>
    <n v="51"/>
    <n v="55302"/>
    <n v="18801"/>
    <n v="147"/>
    <x v="3"/>
    <s v="ChillVibes"/>
  </r>
  <r>
    <s v="SP027"/>
    <s v="Instagram"/>
    <d v="2024-11-29T00:00:00"/>
    <s v="Text"/>
    <s v="What's your vibe today? #SpotifyHits"/>
    <n v="2824"/>
    <n v="425"/>
    <n v="274"/>
    <n v="31004"/>
    <n v="53488"/>
    <n v="268"/>
    <x v="0"/>
    <s v="ChillVibes"/>
  </r>
  <r>
    <s v="SP027"/>
    <s v="Instagram"/>
    <d v="2024-11-29T00:00:00"/>
    <s v="Text"/>
    <s v="What's your vibe today? #SpotifyHits"/>
    <n v="2824"/>
    <n v="425"/>
    <n v="274"/>
    <n v="31004"/>
    <n v="53488"/>
    <n v="268"/>
    <x v="1"/>
    <s v="ChillVibes"/>
  </r>
  <r>
    <s v="SP028"/>
    <s v="YouTube"/>
    <d v="2024-03-05T00:00:00"/>
    <s v="Reel"/>
    <s v="Explore the latest podcasts now."/>
    <n v="3558"/>
    <n v="314"/>
    <n v="199"/>
    <n v="49612"/>
    <n v="53929"/>
    <n v="206"/>
    <x v="2"/>
    <s v="SummerBeats"/>
  </r>
  <r>
    <s v="SP028"/>
    <s v="YouTube"/>
    <d v="2024-03-05T00:00:00"/>
    <s v="Reel"/>
    <s v="Explore the latest podcasts now."/>
    <n v="3558"/>
    <n v="314"/>
    <n v="199"/>
    <n v="49612"/>
    <n v="53929"/>
    <n v="206"/>
    <x v="0"/>
    <s v="SummerBeats"/>
  </r>
  <r>
    <s v="SP029"/>
    <s v="Twitter"/>
    <d v="2025-03-18T00:00:00"/>
    <s v="Story"/>
    <s v="Explore the latest podcasts now."/>
    <n v="3418"/>
    <n v="188"/>
    <n v="387"/>
    <n v="57431"/>
    <n v="36933"/>
    <n v="202"/>
    <x v="3"/>
    <s v="ChillVibes"/>
  </r>
  <r>
    <s v="SP029"/>
    <s v="Twitter"/>
    <d v="2025-03-18T00:00:00"/>
    <s v="Story"/>
    <s v="Explore the latest podcasts now."/>
    <n v="3418"/>
    <n v="188"/>
    <n v="387"/>
    <n v="57431"/>
    <n v="36933"/>
    <n v="202"/>
    <x v="1"/>
    <s v="ChillVibes"/>
  </r>
  <r>
    <s v="SP030"/>
    <s v="Twitter"/>
    <d v="2025-04-26T00:00:00"/>
    <s v="Text"/>
    <s v="Discover fresh beats on Spotify!"/>
    <n v="2411"/>
    <n v="194"/>
    <n v="168"/>
    <n v="26665"/>
    <n v="71699"/>
    <n v="197"/>
    <x v="1"/>
    <s v="ChillVibes"/>
  </r>
  <r>
    <s v="SP031"/>
    <s v="Instagram"/>
    <d v="2025-01-01T00:00:00"/>
    <s v="Text"/>
    <s v="New music just dropped. Hit play!"/>
    <n v="4036"/>
    <n v="112"/>
    <n v="382"/>
    <n v="56284"/>
    <n v="29440"/>
    <n v="279"/>
    <x v="0"/>
    <s v="ChillVibes"/>
  </r>
  <r>
    <s v="SP031"/>
    <s v="Instagram"/>
    <d v="2025-01-01T00:00:00"/>
    <s v="Text"/>
    <s v="New music just dropped. Hit play!"/>
    <n v="4036"/>
    <n v="112"/>
    <n v="382"/>
    <n v="56284"/>
    <n v="29440"/>
    <n v="279"/>
    <x v="1"/>
    <s v="ChillVibes"/>
  </r>
  <r>
    <s v="SP032"/>
    <s v="Twitter"/>
    <d v="2024-05-07T00:00:00"/>
    <s v="Story"/>
    <s v="Explore the latest podcasts now."/>
    <n v="2776"/>
    <n v="307"/>
    <n v="178"/>
    <n v="43365"/>
    <n v="48408"/>
    <n v="138"/>
    <x v="0"/>
    <s v="ChillVibes"/>
  </r>
  <r>
    <s v="SP032"/>
    <s v="Twitter"/>
    <d v="2024-05-07T00:00:00"/>
    <s v="Story"/>
    <s v="Explore the latest podcasts now."/>
    <n v="2776"/>
    <n v="307"/>
    <n v="178"/>
    <n v="43365"/>
    <n v="48408"/>
    <n v="138"/>
    <x v="1"/>
    <s v="ChillVibes"/>
  </r>
  <r>
    <s v="SP033"/>
    <s v="Twitter"/>
    <d v="2024-10-09T00:00:00"/>
    <s v="Story"/>
    <s v="Discover fresh beats on Spotify!"/>
    <n v="4929"/>
    <n v="182"/>
    <n v="95"/>
    <n v="32181"/>
    <n v="31084"/>
    <n v="289"/>
    <x v="2"/>
    <s v="ChillVibes"/>
  </r>
  <r>
    <s v="SP033"/>
    <s v="Twitter"/>
    <d v="2024-10-09T00:00:00"/>
    <s v="Story"/>
    <s v="Discover fresh beats on Spotify!"/>
    <n v="4929"/>
    <n v="182"/>
    <n v="95"/>
    <n v="32181"/>
    <n v="31084"/>
    <n v="289"/>
    <x v="3"/>
    <s v="ChillVibes"/>
  </r>
  <r>
    <s v="SP034"/>
    <s v="Instagram"/>
    <d v="2025-01-09T00:00:00"/>
    <s v="Text"/>
    <s v="New music just dropped. Hit play!"/>
    <n v="1015"/>
    <n v="366"/>
    <n v="308"/>
    <n v="38127"/>
    <n v="63790"/>
    <n v="287"/>
    <x v="0"/>
    <s v="ChillVibes"/>
  </r>
  <r>
    <s v="SP034"/>
    <s v="Instagram"/>
    <d v="2025-01-09T00:00:00"/>
    <s v="Text"/>
    <s v="New music just dropped. Hit play!"/>
    <n v="1015"/>
    <n v="366"/>
    <n v="308"/>
    <n v="38127"/>
    <n v="63790"/>
    <n v="287"/>
    <x v="1"/>
    <s v="ChillVibes"/>
  </r>
  <r>
    <s v="SP035"/>
    <s v="Twitter"/>
    <d v="2025-05-08T00:00:00"/>
    <s v="Story"/>
    <s v="Your weekend playlist is waiting."/>
    <n v="3316"/>
    <n v="332"/>
    <n v="268"/>
    <n v="40095"/>
    <n v="36913"/>
    <n v="265"/>
    <x v="3"/>
    <s v="ChillVibes"/>
  </r>
  <r>
    <s v="SP035"/>
    <s v="Twitter"/>
    <d v="2025-05-08T00:00:00"/>
    <s v="Story"/>
    <s v="Your weekend playlist is waiting."/>
    <n v="3316"/>
    <n v="332"/>
    <n v="268"/>
    <n v="40095"/>
    <n v="36913"/>
    <n v="265"/>
    <x v="1"/>
    <s v="ChillVibes"/>
  </r>
  <r>
    <s v="SP036"/>
    <s v="Instagram"/>
    <d v="2024-05-04T00:00:00"/>
    <s v="Text"/>
    <s v="Wrapped is here! Relive your top tracks 🎧"/>
    <n v="2274"/>
    <n v="243"/>
    <n v="222"/>
    <n v="43066"/>
    <n v="59174"/>
    <n v="80"/>
    <x v="2"/>
    <s v="IndieWave"/>
  </r>
  <r>
    <s v="SP037"/>
    <s v="Twitter"/>
    <d v="2025-05-27T00:00:00"/>
    <s v="Story"/>
    <s v="Explore the latest podcasts now."/>
    <n v="4095"/>
    <n v="385"/>
    <n v="400"/>
    <n v="45300"/>
    <n v="31795"/>
    <n v="80"/>
    <x v="3"/>
    <s v="ChillVibes"/>
  </r>
  <r>
    <s v="SP037"/>
    <s v="Twitter"/>
    <d v="2025-05-27T00:00:00"/>
    <s v="Story"/>
    <s v="Explore the latest podcasts now."/>
    <n v="4095"/>
    <n v="385"/>
    <n v="400"/>
    <n v="45300"/>
    <n v="31795"/>
    <n v="80"/>
    <x v="1"/>
    <s v="ChillVibes"/>
  </r>
  <r>
    <s v="SP038"/>
    <s v="Instagram"/>
    <d v="2024-09-10T00:00:00"/>
    <s v="Story"/>
    <s v="New music just dropped. Hit play!"/>
    <n v="1230"/>
    <n v="309"/>
    <n v="207"/>
    <n v="44629"/>
    <n v="40699"/>
    <n v="195"/>
    <x v="1"/>
    <s v="Wrapped2024"/>
  </r>
  <r>
    <s v="SP039"/>
    <s v="Instagram"/>
    <d v="2024-11-25T00:00:00"/>
    <s v="Text"/>
    <s v="From pop to podcasts, it's all here."/>
    <n v="1341"/>
    <n v="472"/>
    <n v="238"/>
    <n v="51386"/>
    <n v="51706"/>
    <n v="133"/>
    <x v="2"/>
    <s v="IndieWave"/>
  </r>
  <r>
    <s v="SP040"/>
    <s v="Twitter"/>
    <d v="2025-06-10T00:00:00"/>
    <s v="Text"/>
    <s v="Explore the latest podcasts now."/>
    <n v="3615"/>
    <n v="192"/>
    <n v="162"/>
    <n v="27492"/>
    <n v="35341"/>
    <n v="125"/>
    <x v="1"/>
    <s v="ChillVibes"/>
  </r>
  <r>
    <s v="SP041"/>
    <s v="Instagram"/>
    <d v="2024-04-19T00:00:00"/>
    <s v="Text"/>
    <s v="New music just dropped. Hit play!"/>
    <n v="4001"/>
    <n v="353"/>
    <n v="129"/>
    <n v="41265"/>
    <n v="37279"/>
    <n v="275"/>
    <x v="0"/>
    <s v="ChillVibes"/>
  </r>
  <r>
    <s v="SP041"/>
    <s v="Instagram"/>
    <d v="2024-04-19T00:00:00"/>
    <s v="Text"/>
    <s v="New music just dropped. Hit play!"/>
    <n v="4001"/>
    <n v="353"/>
    <n v="129"/>
    <n v="41265"/>
    <n v="37279"/>
    <n v="275"/>
    <x v="1"/>
    <s v="ChillVibes"/>
  </r>
  <r>
    <s v="SP042"/>
    <s v="Instagram"/>
    <d v="2025-01-26T00:00:00"/>
    <s v="Story"/>
    <s v="What's your vibe today? #SpotifyHits"/>
    <n v="3451"/>
    <n v="363"/>
    <n v="393"/>
    <n v="44853"/>
    <n v="69032"/>
    <n v="211"/>
    <x v="1"/>
    <s v="Wrapped2024"/>
  </r>
  <r>
    <s v="SP043"/>
    <s v="Instagram"/>
    <d v="2025-02-14T00:00:00"/>
    <s v="Text"/>
    <s v="Top trending tracks updated daily!"/>
    <n v="4891"/>
    <n v="450"/>
    <n v="387"/>
    <n v="48746"/>
    <n v="37312"/>
    <n v="154"/>
    <x v="0"/>
    <s v="ChillVibes"/>
  </r>
  <r>
    <s v="SP043"/>
    <s v="Instagram"/>
    <d v="2025-02-14T00:00:00"/>
    <s v="Text"/>
    <s v="Top trending tracks updated daily!"/>
    <n v="4891"/>
    <n v="450"/>
    <n v="387"/>
    <n v="48746"/>
    <n v="37312"/>
    <n v="154"/>
    <x v="1"/>
    <s v="ChillVibes"/>
  </r>
  <r>
    <s v="SP044"/>
    <s v="Instagram"/>
    <d v="2024-09-06T00:00:00"/>
    <s v="Text"/>
    <s v="New music just dropped. Hit play!"/>
    <n v="1452"/>
    <n v="281"/>
    <n v="326"/>
    <n v="51556"/>
    <n v="62599"/>
    <n v="290"/>
    <x v="2"/>
    <s v="IndieWave"/>
  </r>
  <r>
    <s v="SP045"/>
    <s v="YouTube"/>
    <d v="2024-07-14T00:00:00"/>
    <s v="Text"/>
    <s v="Your weekend playlist is waiting."/>
    <n v="3806"/>
    <n v="114"/>
    <n v="278"/>
    <n v="36148"/>
    <n v="24209"/>
    <n v="201"/>
    <x v="2"/>
    <s v="IndieWave"/>
  </r>
  <r>
    <s v="SP045"/>
    <s v="YouTube"/>
    <d v="2024-07-14T00:00:00"/>
    <s v="Text"/>
    <s v="Your weekend playlist is waiting."/>
    <n v="3806"/>
    <n v="114"/>
    <n v="278"/>
    <n v="36148"/>
    <n v="24209"/>
    <n v="201"/>
    <x v="4"/>
    <s v="IndieWave"/>
  </r>
  <r>
    <s v="SP046"/>
    <s v="Instagram"/>
    <d v="2024-02-12T00:00:00"/>
    <s v="Text"/>
    <s v="Explore the latest podcasts now."/>
    <n v="2923"/>
    <n v="330"/>
    <n v="250"/>
    <n v="23993"/>
    <n v="74590"/>
    <n v="92"/>
    <x v="2"/>
    <s v="IndieWave"/>
  </r>
  <r>
    <s v="SP047"/>
    <s v="YouTube"/>
    <d v="2024-03-14T00:00:00"/>
    <s v="Reel"/>
    <s v="From pop to podcasts, it's all here."/>
    <n v="3361"/>
    <n v="188"/>
    <n v="358"/>
    <n v="39838"/>
    <n v="24536"/>
    <n v="120"/>
    <x v="2"/>
    <s v="SummerBeats"/>
  </r>
  <r>
    <s v="SP047"/>
    <s v="YouTube"/>
    <d v="2024-03-14T00:00:00"/>
    <s v="Reel"/>
    <s v="From pop to podcasts, it's all here."/>
    <n v="3361"/>
    <n v="188"/>
    <n v="358"/>
    <n v="39838"/>
    <n v="24536"/>
    <n v="120"/>
    <x v="0"/>
    <s v="SummerBeats"/>
  </r>
  <r>
    <s v="SP048"/>
    <s v="Instagram"/>
    <d v="2025-02-05T00:00:00"/>
    <s v="Story"/>
    <s v="Music that moves you-only on Spotify."/>
    <n v="3074"/>
    <n v="371"/>
    <n v="348"/>
    <n v="24104"/>
    <n v="57803"/>
    <n v="213"/>
    <x v="1"/>
    <s v="Wrapped2024"/>
  </r>
  <r>
    <s v="SP049"/>
    <s v="Twitter"/>
    <d v="2024-08-29T00:00:00"/>
    <s v="Story"/>
    <s v="Get into the groove with our new drop!"/>
    <n v="4276"/>
    <n v="227"/>
    <n v="223"/>
    <n v="43443"/>
    <n v="41005"/>
    <n v="191"/>
    <x v="2"/>
    <s v="ChillVibes"/>
  </r>
  <r>
    <s v="SP049"/>
    <s v="Twitter"/>
    <d v="2024-08-29T00:00:00"/>
    <s v="Story"/>
    <s v="Get into the groove with our new drop!"/>
    <n v="4276"/>
    <n v="227"/>
    <n v="223"/>
    <n v="43443"/>
    <n v="41005"/>
    <n v="191"/>
    <x v="3"/>
    <s v="ChillVibes"/>
  </r>
  <r>
    <s v="SP050"/>
    <s v="Twitter"/>
    <d v="2025-04-22T00:00:00"/>
    <s v="Text"/>
    <s v="Discover fresh beats on Spotify!"/>
    <n v="4401"/>
    <n v="421"/>
    <n v="216"/>
    <n v="24890"/>
    <n v="54361"/>
    <n v="148"/>
    <x v="1"/>
    <s v="ChillVibes"/>
  </r>
  <r>
    <s v="SP051"/>
    <s v="YouTube"/>
    <d v="2024-05-13T00:00:00"/>
    <s v="Reel"/>
    <s v="Explore the latest podcasts now."/>
    <n v="4161"/>
    <n v="481"/>
    <n v="61"/>
    <n v="45884"/>
    <n v="48955"/>
    <n v="215"/>
    <x v="2"/>
    <s v="SummerBeats"/>
  </r>
  <r>
    <s v="SP051"/>
    <s v="YouTube"/>
    <d v="2024-05-13T00:00:00"/>
    <s v="Reel"/>
    <s v="Explore the latest podcasts now."/>
    <n v="4161"/>
    <n v="481"/>
    <n v="61"/>
    <n v="45884"/>
    <n v="48955"/>
    <n v="215"/>
    <x v="0"/>
    <s v="SummerBeats"/>
  </r>
  <r>
    <s v="SP052"/>
    <s v="Twitter"/>
    <d v="2024-09-04T00:00:00"/>
    <s v="Story"/>
    <s v="New music just dropped. Hit play!"/>
    <n v="2613"/>
    <n v="455"/>
    <n v="228"/>
    <n v="21645"/>
    <n v="61334"/>
    <n v="261"/>
    <x v="2"/>
    <s v="ChillVibes"/>
  </r>
  <r>
    <s v="SP052"/>
    <s v="Twitter"/>
    <d v="2024-09-04T00:00:00"/>
    <s v="Story"/>
    <s v="New music just dropped. Hit play!"/>
    <n v="2613"/>
    <n v="455"/>
    <n v="228"/>
    <n v="21645"/>
    <n v="61334"/>
    <n v="261"/>
    <x v="3"/>
    <s v="ChillVibes"/>
  </r>
  <r>
    <s v="SP053"/>
    <s v="Twitter"/>
    <d v="2024-08-12T00:00:00"/>
    <s v="Story"/>
    <s v="What's your vibe today? #SpotifyHits"/>
    <n v="2842"/>
    <n v="213"/>
    <n v="331"/>
    <n v="57660"/>
    <n v="68606"/>
    <n v="87"/>
    <x v="3"/>
    <s v="ChillVibes"/>
  </r>
  <r>
    <s v="SP053"/>
    <s v="Twitter"/>
    <d v="2024-08-12T00:00:00"/>
    <s v="Story"/>
    <s v="What's your vibe today? #SpotifyHits"/>
    <n v="2842"/>
    <n v="213"/>
    <n v="331"/>
    <n v="57660"/>
    <n v="68606"/>
    <n v="87"/>
    <x v="1"/>
    <s v="ChillVibes"/>
  </r>
  <r>
    <s v="SP054"/>
    <s v="Instagram"/>
    <d v="2025-03-06T00:00:00"/>
    <s v="Text"/>
    <s v="Get into the groove with our new drop!"/>
    <n v="4851"/>
    <n v="460"/>
    <n v="212"/>
    <n v="58075"/>
    <n v="59574"/>
    <n v="239"/>
    <x v="2"/>
    <s v="IndieWave"/>
  </r>
  <r>
    <s v="SP055"/>
    <s v="Twitter"/>
    <d v="2024-05-08T00:00:00"/>
    <s v="Text"/>
    <s v="Explore the latest podcasts now."/>
    <n v="1828"/>
    <n v="450"/>
    <n v="214"/>
    <n v="52115"/>
    <n v="19166"/>
    <n v="190"/>
    <x v="1"/>
    <s v="ChillVibes"/>
  </r>
  <r>
    <s v="SP056"/>
    <s v="Instagram"/>
    <d v="2025-02-19T00:00:00"/>
    <s v="Story"/>
    <s v="From pop to podcasts, it's all here."/>
    <n v="2422"/>
    <n v="455"/>
    <n v="376"/>
    <n v="23428"/>
    <n v="46775"/>
    <n v="259"/>
    <x v="1"/>
    <s v="Wrapped2024"/>
  </r>
  <r>
    <s v="SP057"/>
    <s v="Instagram"/>
    <d v="2024-01-08T00:00:00"/>
    <s v="Text"/>
    <s v="Top trending tracks updated daily!"/>
    <n v="2683"/>
    <n v="405"/>
    <n v="223"/>
    <n v="31233"/>
    <n v="58106"/>
    <n v="291"/>
    <x v="2"/>
    <s v="IndieWave"/>
  </r>
  <r>
    <s v="SP058"/>
    <s v="YouTube"/>
    <d v="2024-07-17T00:00:00"/>
    <s v="Text"/>
    <s v="Top trending tracks updated daily!"/>
    <n v="3135"/>
    <n v="110"/>
    <n v="215"/>
    <n v="39192"/>
    <n v="24744"/>
    <n v="177"/>
    <x v="2"/>
    <s v="IndieWave"/>
  </r>
  <r>
    <s v="SP058"/>
    <s v="YouTube"/>
    <d v="2024-07-17T00:00:00"/>
    <s v="Text"/>
    <s v="Top trending tracks updated daily!"/>
    <n v="3135"/>
    <n v="110"/>
    <n v="215"/>
    <n v="39192"/>
    <n v="24744"/>
    <n v="177"/>
    <x v="4"/>
    <s v="IndieWave"/>
  </r>
  <r>
    <s v="SP059"/>
    <s v="YouTube"/>
    <d v="2024-08-10T00:00:00"/>
    <s v="Text"/>
    <s v="From pop to podcasts, it's all here."/>
    <n v="1105"/>
    <n v="181"/>
    <n v="55"/>
    <n v="53581"/>
    <n v="74048"/>
    <n v="220"/>
    <x v="2"/>
    <s v="IndieWave"/>
  </r>
  <r>
    <s v="SP059"/>
    <s v="YouTube"/>
    <d v="2024-08-10T00:00:00"/>
    <s v="Text"/>
    <s v="From pop to podcasts, it's all here."/>
    <n v="1105"/>
    <n v="181"/>
    <n v="55"/>
    <n v="53581"/>
    <n v="74048"/>
    <n v="220"/>
    <x v="4"/>
    <s v="IndieWave"/>
  </r>
  <r>
    <s v="SP060"/>
    <s v="YouTube"/>
    <d v="2024-04-16T00:00:00"/>
    <s v="Text"/>
    <s v="Discover fresh beats on Spotify!"/>
    <n v="4674"/>
    <n v="326"/>
    <n v="62"/>
    <n v="45503"/>
    <n v="46814"/>
    <n v="116"/>
    <x v="2"/>
    <s v="IndieWave"/>
  </r>
  <r>
    <s v="SP060"/>
    <s v="YouTube"/>
    <d v="2024-04-16T00:00:00"/>
    <s v="Text"/>
    <s v="Discover fresh beats on Spotify!"/>
    <n v="4674"/>
    <n v="326"/>
    <n v="62"/>
    <n v="45503"/>
    <n v="46814"/>
    <n v="116"/>
    <x v="4"/>
    <s v="IndieWave"/>
  </r>
  <r>
    <s v="SP061"/>
    <s v="YouTube"/>
    <d v="2024-01-01T00:00:00"/>
    <s v="Reel"/>
    <s v="Explore the latest podcasts now."/>
    <n v="3437"/>
    <n v="129"/>
    <n v="359"/>
    <n v="44558"/>
    <n v="30854"/>
    <n v="171"/>
    <x v="2"/>
    <s v="SummerBeats"/>
  </r>
  <r>
    <s v="SP061"/>
    <s v="YouTube"/>
    <d v="2024-01-01T00:00:00"/>
    <s v="Reel"/>
    <s v="Explore the latest podcasts now."/>
    <n v="3437"/>
    <n v="129"/>
    <n v="359"/>
    <n v="44558"/>
    <n v="30854"/>
    <n v="171"/>
    <x v="0"/>
    <s v="SummerBeats"/>
  </r>
  <r>
    <s v="SP062"/>
    <s v="Twitter"/>
    <d v="2024-11-03T00:00:00"/>
    <s v="Story"/>
    <s v="Wrapped is here! Relive your top tracks 🎧"/>
    <n v="1959"/>
    <n v="316"/>
    <n v="82"/>
    <n v="54036"/>
    <n v="69015"/>
    <n v="182"/>
    <x v="3"/>
    <s v="ChillVibes"/>
  </r>
  <r>
    <s v="SP062"/>
    <s v="Twitter"/>
    <d v="2024-11-03T00:00:00"/>
    <s v="Story"/>
    <s v="Wrapped is here! Relive your top tracks 🎧"/>
    <n v="1959"/>
    <n v="316"/>
    <n v="82"/>
    <n v="54036"/>
    <n v="69015"/>
    <n v="182"/>
    <x v="1"/>
    <s v="ChillVibes"/>
  </r>
  <r>
    <s v="SP063"/>
    <s v="Twitter"/>
    <d v="2024-07-07T00:00:00"/>
    <s v="Text"/>
    <s v="New music just dropped. Hit play!"/>
    <n v="1035"/>
    <n v="137"/>
    <n v="184"/>
    <n v="37302"/>
    <n v="68953"/>
    <n v="237"/>
    <x v="0"/>
    <s v="IndieWave"/>
  </r>
  <r>
    <s v="SP064"/>
    <s v="Twitter"/>
    <d v="2025-01-22T00:00:00"/>
    <s v="Story"/>
    <s v="New music just dropped. Hit play!"/>
    <n v="4478"/>
    <n v="101"/>
    <n v="121"/>
    <n v="51035"/>
    <n v="58207"/>
    <n v="205"/>
    <x v="3"/>
    <s v="ChillVibes"/>
  </r>
  <r>
    <s v="SP064"/>
    <s v="Twitter"/>
    <d v="2025-01-22T00:00:00"/>
    <s v="Story"/>
    <s v="New music just dropped. Hit play!"/>
    <n v="4478"/>
    <n v="101"/>
    <n v="121"/>
    <n v="51035"/>
    <n v="58207"/>
    <n v="205"/>
    <x v="1"/>
    <s v="ChillVibes"/>
  </r>
  <r>
    <s v="SP065"/>
    <s v="YouTube"/>
    <d v="2024-05-26T00:00:00"/>
    <s v="Text"/>
    <s v="From pop to podcasts, it's all here."/>
    <n v="1488"/>
    <n v="327"/>
    <n v="110"/>
    <n v="53805"/>
    <n v="30239"/>
    <n v="109"/>
    <x v="2"/>
    <s v="IndieWave"/>
  </r>
  <r>
    <s v="SP065"/>
    <s v="YouTube"/>
    <d v="2024-05-26T00:00:00"/>
    <s v="Text"/>
    <s v="From pop to podcasts, it's all here."/>
    <n v="1488"/>
    <n v="327"/>
    <n v="110"/>
    <n v="53805"/>
    <n v="30239"/>
    <n v="109"/>
    <x v="4"/>
    <s v="IndieWave"/>
  </r>
  <r>
    <s v="SP066"/>
    <s v="Instagram"/>
    <d v="2025-04-16T00:00:00"/>
    <s v="Text"/>
    <s v="Wrapped is here! Relive your top tracks 🎧"/>
    <n v="4836"/>
    <n v="331"/>
    <n v="140"/>
    <n v="58792"/>
    <n v="47711"/>
    <n v="227"/>
    <x v="0"/>
    <s v="ChillVibes"/>
  </r>
  <r>
    <s v="SP066"/>
    <s v="Instagram"/>
    <d v="2025-04-16T00:00:00"/>
    <s v="Text"/>
    <s v="Wrapped is here! Relive your top tracks 🎧"/>
    <n v="4836"/>
    <n v="331"/>
    <n v="140"/>
    <n v="58792"/>
    <n v="47711"/>
    <n v="227"/>
    <x v="1"/>
    <s v="ChillVibes"/>
  </r>
  <r>
    <s v="SP067"/>
    <s v="YouTube"/>
    <d v="2024-04-02T00:00:00"/>
    <s v="Reel"/>
    <s v="Your weekend playlist is waiting."/>
    <n v="4563"/>
    <n v="488"/>
    <n v="356"/>
    <n v="30619"/>
    <n v="23328"/>
    <n v="267"/>
    <x v="2"/>
    <s v="SummerBeats"/>
  </r>
  <r>
    <s v="SP067"/>
    <s v="YouTube"/>
    <d v="2024-04-02T00:00:00"/>
    <s v="Reel"/>
    <s v="Your weekend playlist is waiting."/>
    <n v="4563"/>
    <n v="488"/>
    <n v="356"/>
    <n v="30619"/>
    <n v="23328"/>
    <n v="267"/>
    <x v="0"/>
    <s v="SummerBeats"/>
  </r>
  <r>
    <s v="SP068"/>
    <s v="Twitter"/>
    <d v="2024-03-28T00:00:00"/>
    <s v="Text"/>
    <s v="Music that moves you-only on Spotify."/>
    <n v="3276"/>
    <n v="421"/>
    <n v="114"/>
    <n v="20580"/>
    <n v="30324"/>
    <n v="221"/>
    <x v="0"/>
    <s v="IndieWave"/>
  </r>
  <r>
    <s v="SP069"/>
    <s v="Twitter"/>
    <d v="2024-12-17T00:00:00"/>
    <s v="Story"/>
    <s v="Music that moves you-only on Spotify."/>
    <n v="1316"/>
    <n v="472"/>
    <n v="286"/>
    <n v="44692"/>
    <n v="53343"/>
    <n v="227"/>
    <x v="2"/>
    <s v="ChillVibes"/>
  </r>
  <r>
    <s v="SP069"/>
    <s v="Twitter"/>
    <d v="2024-12-17T00:00:00"/>
    <s v="Story"/>
    <s v="Music that moves you-only on Spotify."/>
    <n v="1316"/>
    <n v="472"/>
    <n v="286"/>
    <n v="44692"/>
    <n v="53343"/>
    <n v="227"/>
    <x v="3"/>
    <s v="ChillVibes"/>
  </r>
  <r>
    <s v="SP070"/>
    <s v="Twitter"/>
    <d v="2025-01-05T00:00:00"/>
    <s v="Text"/>
    <s v="Wrapped is here! Relive your top tracks 🎧"/>
    <n v="4811"/>
    <n v="473"/>
    <n v="254"/>
    <n v="51964"/>
    <n v="68795"/>
    <n v="107"/>
    <x v="1"/>
    <s v="ChillVibes"/>
  </r>
  <r>
    <s v="SP071"/>
    <s v="Twitter"/>
    <d v="2024-01-11T00:00:00"/>
    <s v="Text"/>
    <s v="What's your vibe today? #SpotifyHits"/>
    <n v="4218"/>
    <n v="247"/>
    <n v="183"/>
    <n v="28914"/>
    <n v="18310"/>
    <n v="135"/>
    <x v="0"/>
    <s v="IndieWave"/>
  </r>
  <r>
    <s v="SP072"/>
    <s v="Instagram"/>
    <d v="2024-10-11T00:00:00"/>
    <s v="Text"/>
    <s v="From pop to podcasts, it's all here."/>
    <n v="1360"/>
    <n v="249"/>
    <n v="52"/>
    <n v="20368"/>
    <n v="42152"/>
    <n v="193"/>
    <x v="2"/>
    <s v="IndieWave"/>
  </r>
  <r>
    <s v="SP073"/>
    <s v="YouTube"/>
    <d v="2025-05-06T00:00:00"/>
    <s v="Reel"/>
    <s v="Discover fresh beats on Spotify!"/>
    <n v="1085"/>
    <n v="496"/>
    <n v="320"/>
    <n v="36528"/>
    <n v="38599"/>
    <n v="270"/>
    <x v="2"/>
    <s v="SummerBeats"/>
  </r>
  <r>
    <s v="SP073"/>
    <s v="YouTube"/>
    <d v="2025-05-06T00:00:00"/>
    <s v="Reel"/>
    <s v="Discover fresh beats on Spotify!"/>
    <n v="1085"/>
    <n v="496"/>
    <n v="320"/>
    <n v="36528"/>
    <n v="38599"/>
    <n v="270"/>
    <x v="0"/>
    <s v="SummerBeats"/>
  </r>
  <r>
    <s v="SP074"/>
    <s v="Twitter"/>
    <d v="2024-05-19T00:00:00"/>
    <s v="Story"/>
    <s v="Get into the groove with our new drop!"/>
    <n v="1763"/>
    <n v="206"/>
    <n v="187"/>
    <n v="53342"/>
    <n v="25095"/>
    <n v="88"/>
    <x v="2"/>
    <s v="ChillVibes"/>
  </r>
  <r>
    <s v="SP074"/>
    <s v="Twitter"/>
    <d v="2024-05-19T00:00:00"/>
    <s v="Story"/>
    <s v="Get into the groove with our new drop!"/>
    <n v="1763"/>
    <n v="206"/>
    <n v="187"/>
    <n v="53342"/>
    <n v="25095"/>
    <n v="88"/>
    <x v="3"/>
    <s v="ChillVibes"/>
  </r>
  <r>
    <s v="SP075"/>
    <s v="Twitter"/>
    <d v="2024-01-22T00:00:00"/>
    <s v="Story"/>
    <s v="From pop to podcasts, it's all here."/>
    <n v="1554"/>
    <n v="455"/>
    <n v="158"/>
    <n v="41947"/>
    <n v="48578"/>
    <n v="101"/>
    <x v="0"/>
    <s v="ChillVibes"/>
  </r>
  <r>
    <s v="SP075"/>
    <s v="Twitter"/>
    <d v="2024-01-22T00:00:00"/>
    <s v="Story"/>
    <s v="From pop to podcasts, it's all here."/>
    <n v="1554"/>
    <n v="455"/>
    <n v="158"/>
    <n v="41947"/>
    <n v="48578"/>
    <n v="101"/>
    <x v="1"/>
    <s v="ChillVibes"/>
  </r>
  <r>
    <s v="SP076"/>
    <s v="Instagram"/>
    <d v="2024-07-14T00:00:00"/>
    <s v="Text"/>
    <s v="Wrapped is here! Relive your top tracks 🎧"/>
    <n v="2464"/>
    <n v="401"/>
    <n v="78"/>
    <n v="38665"/>
    <n v="73593"/>
    <n v="207"/>
    <x v="2"/>
    <s v="IndieWave"/>
  </r>
  <r>
    <s v="SP077"/>
    <s v="Twitter"/>
    <d v="2025-05-28T00:00:00"/>
    <s v="Text"/>
    <s v="From pop to podcasts, it's all here."/>
    <n v="2418"/>
    <n v="161"/>
    <n v="360"/>
    <n v="30589"/>
    <n v="41383"/>
    <n v="88"/>
    <x v="1"/>
    <s v="ChillVibes"/>
  </r>
  <r>
    <s v="SP078"/>
    <s v="Twitter"/>
    <d v="2025-01-21T00:00:00"/>
    <s v="Story"/>
    <s v="Discover fresh beats on Spotify!"/>
    <n v="2494"/>
    <n v="494"/>
    <n v="55"/>
    <n v="22580"/>
    <n v="22214"/>
    <n v="109"/>
    <x v="3"/>
    <s v="ChillVibes"/>
  </r>
  <r>
    <s v="SP078"/>
    <s v="Twitter"/>
    <d v="2025-01-21T00:00:00"/>
    <s v="Story"/>
    <s v="Discover fresh beats on Spotify!"/>
    <n v="2494"/>
    <n v="494"/>
    <n v="55"/>
    <n v="22580"/>
    <n v="22214"/>
    <n v="109"/>
    <x v="1"/>
    <s v="ChillVibes"/>
  </r>
  <r>
    <s v="SP079"/>
    <s v="YouTube"/>
    <d v="2024-01-13T00:00:00"/>
    <s v="Reel"/>
    <s v="New music just dropped. Hit play!"/>
    <n v="4781"/>
    <n v="191"/>
    <n v="122"/>
    <n v="35535"/>
    <n v="50777"/>
    <n v="128"/>
    <x v="2"/>
    <s v="SummerBeats"/>
  </r>
  <r>
    <s v="SP079"/>
    <s v="YouTube"/>
    <d v="2024-01-13T00:00:00"/>
    <s v="Reel"/>
    <s v="New music just dropped. Hit play!"/>
    <n v="4781"/>
    <n v="191"/>
    <n v="122"/>
    <n v="35535"/>
    <n v="50777"/>
    <n v="128"/>
    <x v="0"/>
    <s v="SummerBeats"/>
  </r>
  <r>
    <s v="SP080"/>
    <s v="Instagram"/>
    <d v="2025-06-17T00:00:00"/>
    <s v="Text"/>
    <s v="Music that moves you-only on Spotify."/>
    <n v="2284"/>
    <n v="187"/>
    <n v="260"/>
    <n v="37400"/>
    <n v="65014"/>
    <n v="157"/>
    <x v="0"/>
    <s v="ChillVibes"/>
  </r>
  <r>
    <s v="SP080"/>
    <s v="Instagram"/>
    <d v="2025-06-17T00:00:00"/>
    <s v="Text"/>
    <s v="Music that moves you-only on Spotify."/>
    <n v="2284"/>
    <n v="187"/>
    <n v="260"/>
    <n v="37400"/>
    <n v="65014"/>
    <n v="157"/>
    <x v="1"/>
    <s v="ChillVibes"/>
  </r>
  <r>
    <s v="SP081"/>
    <s v="Twitter"/>
    <d v="2025-03-07T00:00:00"/>
    <s v="Text"/>
    <s v="Get into the groove with our new drop!"/>
    <n v="4234"/>
    <n v="486"/>
    <n v="276"/>
    <n v="56623"/>
    <n v="41343"/>
    <n v="184"/>
    <x v="0"/>
    <s v="IndieWave"/>
  </r>
  <r>
    <s v="SP082"/>
    <s v="Instagram"/>
    <d v="2024-08-26T00:00:00"/>
    <s v="Text"/>
    <s v="Your weekend playlist is waiting."/>
    <n v="2102"/>
    <n v="181"/>
    <n v="306"/>
    <n v="43650"/>
    <n v="50079"/>
    <n v="182"/>
    <x v="2"/>
    <s v="IndieWave"/>
  </r>
  <r>
    <s v="SP083"/>
    <s v="Twitter"/>
    <d v="2025-01-03T00:00:00"/>
    <s v="Story"/>
    <s v="Get into the groove with our new drop!"/>
    <n v="4845"/>
    <n v="158"/>
    <n v="84"/>
    <n v="34578"/>
    <n v="51480"/>
    <n v="180"/>
    <x v="0"/>
    <s v="ChillVibes"/>
  </r>
  <r>
    <s v="SP083"/>
    <s v="Twitter"/>
    <d v="2025-01-03T00:00:00"/>
    <s v="Story"/>
    <s v="Get into the groove with our new drop!"/>
    <n v="4845"/>
    <n v="158"/>
    <n v="84"/>
    <n v="34578"/>
    <n v="51480"/>
    <n v="180"/>
    <x v="1"/>
    <s v="ChillVibes"/>
  </r>
  <r>
    <s v="SP084"/>
    <s v="Twitter"/>
    <d v="2024-08-03T00:00:00"/>
    <s v="Text"/>
    <s v="Your weekend playlist is waiting."/>
    <n v="4247"/>
    <n v="390"/>
    <n v="213"/>
    <n v="29785"/>
    <n v="57768"/>
    <n v="122"/>
    <x v="1"/>
    <s v="ChillVibes"/>
  </r>
  <r>
    <s v="SP085"/>
    <s v="Instagram"/>
    <d v="2024-08-18T00:00:00"/>
    <s v="Text"/>
    <s v="Explore the latest podcasts now."/>
    <n v="2965"/>
    <n v="328"/>
    <n v="171"/>
    <n v="57685"/>
    <n v="67536"/>
    <n v="264"/>
    <x v="0"/>
    <s v="ChillVibes"/>
  </r>
  <r>
    <s v="SP085"/>
    <s v="Instagram"/>
    <d v="2024-08-18T00:00:00"/>
    <s v="Text"/>
    <s v="Explore the latest podcasts now."/>
    <n v="2965"/>
    <n v="328"/>
    <n v="171"/>
    <n v="57685"/>
    <n v="67536"/>
    <n v="264"/>
    <x v="1"/>
    <s v="ChillVibes"/>
  </r>
  <r>
    <s v="SP086"/>
    <s v="Twitter"/>
    <d v="2025-05-14T00:00:00"/>
    <s v="Story"/>
    <s v="Wrapped is here! Relive your top tracks 🎧"/>
    <n v="1371"/>
    <n v="139"/>
    <n v="96"/>
    <n v="36140"/>
    <n v="39395"/>
    <n v="169"/>
    <x v="0"/>
    <s v="ChillVibes"/>
  </r>
  <r>
    <s v="SP086"/>
    <s v="Twitter"/>
    <d v="2025-05-14T00:00:00"/>
    <s v="Story"/>
    <s v="Wrapped is here! Relive your top tracks 🎧"/>
    <n v="1371"/>
    <n v="139"/>
    <n v="96"/>
    <n v="36140"/>
    <n v="39395"/>
    <n v="169"/>
    <x v="1"/>
    <s v="ChillVibes"/>
  </r>
  <r>
    <s v="SP087"/>
    <s v="Twitter"/>
    <d v="2024-04-23T00:00:00"/>
    <s v="Story"/>
    <s v="Discover fresh beats on Spotify!"/>
    <n v="2683"/>
    <n v="496"/>
    <n v="89"/>
    <n v="53435"/>
    <n v="30334"/>
    <n v="160"/>
    <x v="0"/>
    <s v="ChillVibes"/>
  </r>
  <r>
    <s v="SP087"/>
    <s v="Twitter"/>
    <d v="2024-04-23T00:00:00"/>
    <s v="Story"/>
    <s v="Discover fresh beats on Spotify!"/>
    <n v="2683"/>
    <n v="496"/>
    <n v="89"/>
    <n v="53435"/>
    <n v="30334"/>
    <n v="160"/>
    <x v="1"/>
    <s v="ChillVibes"/>
  </r>
  <r>
    <s v="SP088"/>
    <s v="Twitter"/>
    <d v="2025-02-17T00:00:00"/>
    <s v="Story"/>
    <s v="What's your vibe today? #SpotifyHits"/>
    <n v="4796"/>
    <n v="427"/>
    <n v="339"/>
    <n v="30752"/>
    <n v="33870"/>
    <n v="298"/>
    <x v="0"/>
    <s v="ChillVibes"/>
  </r>
  <r>
    <s v="SP088"/>
    <s v="Twitter"/>
    <d v="2025-02-17T00:00:00"/>
    <s v="Story"/>
    <s v="What's your vibe today? #SpotifyHits"/>
    <n v="4796"/>
    <n v="427"/>
    <n v="339"/>
    <n v="30752"/>
    <n v="33870"/>
    <n v="298"/>
    <x v="1"/>
    <s v="ChillVibes"/>
  </r>
  <r>
    <s v="SP089"/>
    <s v="Instagram"/>
    <d v="2024-12-04T00:00:00"/>
    <s v="Text"/>
    <s v="Wrapped is here! Relive your top tracks 🎧"/>
    <n v="2601"/>
    <n v="336"/>
    <n v="260"/>
    <n v="32368"/>
    <n v="49028"/>
    <n v="120"/>
    <x v="0"/>
    <s v="ChillVibes"/>
  </r>
  <r>
    <s v="SP089"/>
    <s v="Instagram"/>
    <d v="2024-12-04T00:00:00"/>
    <s v="Text"/>
    <s v="Wrapped is here! Relive your top tracks 🎧"/>
    <n v="2601"/>
    <n v="336"/>
    <n v="260"/>
    <n v="32368"/>
    <n v="49028"/>
    <n v="120"/>
    <x v="1"/>
    <s v="ChillVibes"/>
  </r>
  <r>
    <s v="SP090"/>
    <s v="Twitter"/>
    <d v="2024-07-22T00:00:00"/>
    <s v="Story"/>
    <s v="Wrapped is here! Relive your top tracks 🎧"/>
    <n v="3336"/>
    <n v="229"/>
    <n v="337"/>
    <n v="22117"/>
    <n v="26205"/>
    <n v="160"/>
    <x v="3"/>
    <s v="ChillVibes"/>
  </r>
  <r>
    <s v="SP090"/>
    <s v="Twitter"/>
    <d v="2024-07-22T00:00:00"/>
    <s v="Story"/>
    <s v="Wrapped is here! Relive your top tracks 🎧"/>
    <n v="3336"/>
    <n v="229"/>
    <n v="337"/>
    <n v="22117"/>
    <n v="26205"/>
    <n v="160"/>
    <x v="1"/>
    <s v="ChillVibes"/>
  </r>
  <r>
    <s v="SP091"/>
    <s v="Twitter"/>
    <d v="2025-04-27T00:00:00"/>
    <s v="Text"/>
    <s v="Explore the latest podcasts now."/>
    <n v="1165"/>
    <n v="294"/>
    <n v="163"/>
    <n v="20659"/>
    <n v="45926"/>
    <n v="111"/>
    <x v="0"/>
    <s v="IndieWave"/>
  </r>
  <r>
    <s v="SP092"/>
    <s v="YouTube"/>
    <d v="2024-03-25T00:00:00"/>
    <s v="Reel"/>
    <s v="Explore the latest podcasts now."/>
    <n v="1948"/>
    <n v="155"/>
    <n v="315"/>
    <n v="30321"/>
    <n v="57121"/>
    <n v="82"/>
    <x v="2"/>
    <s v="SummerBeats"/>
  </r>
  <r>
    <s v="SP092"/>
    <s v="YouTube"/>
    <d v="2024-03-25T00:00:00"/>
    <s v="Reel"/>
    <s v="Explore the latest podcasts now."/>
    <n v="1948"/>
    <n v="155"/>
    <n v="315"/>
    <n v="30321"/>
    <n v="57121"/>
    <n v="82"/>
    <x v="0"/>
    <s v="SummerBeats"/>
  </r>
  <r>
    <s v="SP093"/>
    <s v="Instagram"/>
    <d v="2024-02-29T00:00:00"/>
    <s v="Text"/>
    <s v="From pop to podcasts, it's all here."/>
    <n v="1100"/>
    <n v="229"/>
    <n v="312"/>
    <n v="25641"/>
    <n v="34601"/>
    <n v="169"/>
    <x v="2"/>
    <s v="IndieWave"/>
  </r>
  <r>
    <s v="SP094"/>
    <s v="Twitter"/>
    <d v="2024-11-13T00:00:00"/>
    <s v="Story"/>
    <s v="Top trending tracks updated daily!"/>
    <n v="4628"/>
    <n v="257"/>
    <n v="397"/>
    <n v="36686"/>
    <n v="54683"/>
    <n v="98"/>
    <x v="0"/>
    <s v="ChillVibes"/>
  </r>
  <r>
    <s v="SP094"/>
    <s v="Twitter"/>
    <d v="2024-11-13T00:00:00"/>
    <s v="Story"/>
    <s v="Top trending tracks updated daily!"/>
    <n v="4628"/>
    <n v="257"/>
    <n v="397"/>
    <n v="36686"/>
    <n v="54683"/>
    <n v="98"/>
    <x v="1"/>
    <s v="ChillVibes"/>
  </r>
  <r>
    <s v="SP095"/>
    <s v="Instagram"/>
    <d v="2024-03-22T00:00:00"/>
    <s v="Story"/>
    <s v="Discover fresh beats on Spotify!"/>
    <n v="2319"/>
    <n v="484"/>
    <n v="193"/>
    <n v="21202"/>
    <n v="18091"/>
    <n v="241"/>
    <x v="1"/>
    <s v="Wrapped2024"/>
  </r>
  <r>
    <s v="SP096"/>
    <s v="Twitter"/>
    <d v="2024-03-16T00:00:00"/>
    <s v="Story"/>
    <s v="Wrapped is here! Relive your top tracks 🎧"/>
    <n v="2895"/>
    <n v="292"/>
    <n v="90"/>
    <n v="24223"/>
    <n v="54626"/>
    <n v="114"/>
    <x v="0"/>
    <s v="ChillVibes"/>
  </r>
  <r>
    <s v="SP096"/>
    <s v="Twitter"/>
    <d v="2024-03-16T00:00:00"/>
    <s v="Story"/>
    <s v="Wrapped is here! Relive your top tracks 🎧"/>
    <n v="2895"/>
    <n v="292"/>
    <n v="90"/>
    <n v="24223"/>
    <n v="54626"/>
    <n v="114"/>
    <x v="1"/>
    <s v="ChillVibes"/>
  </r>
  <r>
    <s v="SP097"/>
    <s v="Instagram"/>
    <d v="2024-01-26T00:00:00"/>
    <s v="Text"/>
    <s v="What's your vibe today? #SpotifyHits"/>
    <n v="3878"/>
    <n v="431"/>
    <n v="97"/>
    <n v="41763"/>
    <n v="29729"/>
    <n v="191"/>
    <x v="2"/>
    <s v="IndieWave"/>
  </r>
  <r>
    <s v="SP098"/>
    <s v="Twitter"/>
    <d v="2024-03-15T00:00:00"/>
    <s v="Story"/>
    <s v="Get into the groove with our new drop!"/>
    <n v="4969"/>
    <n v="433"/>
    <n v="237"/>
    <n v="59552"/>
    <n v="23885"/>
    <n v="157"/>
    <x v="2"/>
    <s v="ChillVibes"/>
  </r>
  <r>
    <s v="SP098"/>
    <s v="Twitter"/>
    <d v="2024-03-15T00:00:00"/>
    <s v="Story"/>
    <s v="Get into the groove with our new drop!"/>
    <n v="4969"/>
    <n v="433"/>
    <n v="237"/>
    <n v="59552"/>
    <n v="23885"/>
    <n v="157"/>
    <x v="3"/>
    <s v="ChillVibes"/>
  </r>
  <r>
    <s v="SP099"/>
    <s v="Twitter"/>
    <d v="2024-10-15T00:00:00"/>
    <s v="Text"/>
    <s v="Wrapped is here! Relive your top tracks 🎧"/>
    <n v="1984"/>
    <n v="481"/>
    <n v="356"/>
    <n v="40681"/>
    <n v="63111"/>
    <n v="258"/>
    <x v="1"/>
    <s v="ChillVibes"/>
  </r>
  <r>
    <s v="SP100"/>
    <s v="Instagram"/>
    <d v="2024-07-21T00:00:00"/>
    <s v="Text"/>
    <s v="Discover fresh beats on Spotify!"/>
    <n v="3004"/>
    <n v="415"/>
    <n v="218"/>
    <n v="36090"/>
    <n v="37073"/>
    <n v="181"/>
    <x v="2"/>
    <s v="IndieWave"/>
  </r>
  <r>
    <s v="SP101"/>
    <s v="Twitter"/>
    <d v="2024-10-12T00:00:00"/>
    <s v="Text"/>
    <s v="Get into the groove with our new drop!"/>
    <n v="3169"/>
    <n v="386"/>
    <n v="175"/>
    <n v="45012"/>
    <n v="38508"/>
    <n v="218"/>
    <x v="1"/>
    <s v="ChillVibes"/>
  </r>
  <r>
    <s v="SP102"/>
    <s v="Twitter"/>
    <d v="2024-10-26T00:00:00"/>
    <s v="Text"/>
    <s v="Discover fresh beats on Spotify!"/>
    <n v="3036"/>
    <n v="293"/>
    <n v="115"/>
    <n v="23776"/>
    <n v="46386"/>
    <n v="282"/>
    <x v="1"/>
    <s v="ChillVibes"/>
  </r>
  <r>
    <s v="SP103"/>
    <s v="Instagram"/>
    <d v="2024-02-14T00:00:00"/>
    <s v="Text"/>
    <s v="Music that moves you-only on Spotify."/>
    <n v="1830"/>
    <n v="112"/>
    <n v="181"/>
    <n v="31870"/>
    <n v="55742"/>
    <n v="263"/>
    <x v="0"/>
    <s v="ChillVibes"/>
  </r>
  <r>
    <s v="SP103"/>
    <s v="Instagram"/>
    <d v="2024-02-14T00:00:00"/>
    <s v="Text"/>
    <s v="Music that moves you-only on Spotify."/>
    <n v="1830"/>
    <n v="112"/>
    <n v="181"/>
    <n v="31870"/>
    <n v="55742"/>
    <n v="263"/>
    <x v="1"/>
    <s v="ChillVibes"/>
  </r>
  <r>
    <s v="SP104"/>
    <s v="Twitter"/>
    <d v="2024-05-01T00:00:00"/>
    <s v="Story"/>
    <s v="What's your vibe today? #SpotifyHits"/>
    <n v="2587"/>
    <n v="447"/>
    <n v="183"/>
    <n v="36266"/>
    <n v="32877"/>
    <n v="132"/>
    <x v="2"/>
    <s v="ChillVibes"/>
  </r>
  <r>
    <s v="SP104"/>
    <s v="Twitter"/>
    <d v="2024-05-01T00:00:00"/>
    <s v="Story"/>
    <s v="What's your vibe today? #SpotifyHits"/>
    <n v="2587"/>
    <n v="447"/>
    <n v="183"/>
    <n v="36266"/>
    <n v="32877"/>
    <n v="132"/>
    <x v="3"/>
    <s v="ChillVibes"/>
  </r>
  <r>
    <s v="SP105"/>
    <s v="Twitter"/>
    <d v="2024-09-18T00:00:00"/>
    <s v="Text"/>
    <s v="Discover fresh beats on Spotify!"/>
    <n v="2878"/>
    <n v="265"/>
    <n v="91"/>
    <n v="52090"/>
    <n v="28924"/>
    <n v="133"/>
    <x v="1"/>
    <s v="ChillVibes"/>
  </r>
  <r>
    <s v="SP106"/>
    <s v="Twitter"/>
    <d v="2025-01-20T00:00:00"/>
    <s v="Story"/>
    <s v="New music just dropped. Hit play!"/>
    <n v="4619"/>
    <n v="272"/>
    <n v="57"/>
    <n v="21334"/>
    <n v="46292"/>
    <n v="91"/>
    <x v="0"/>
    <s v="ChillVibes"/>
  </r>
  <r>
    <s v="SP106"/>
    <s v="Twitter"/>
    <d v="2025-01-20T00:00:00"/>
    <s v="Story"/>
    <s v="New music just dropped. Hit play!"/>
    <n v="4619"/>
    <n v="272"/>
    <n v="57"/>
    <n v="21334"/>
    <n v="46292"/>
    <n v="91"/>
    <x v="1"/>
    <s v="ChillVibes"/>
  </r>
  <r>
    <s v="SP107"/>
    <s v="Twitter"/>
    <d v="2025-01-13T00:00:00"/>
    <s v="Text"/>
    <s v="Music that moves you-only on Spotify."/>
    <n v="4090"/>
    <n v="209"/>
    <n v="278"/>
    <n v="52853"/>
    <n v="57084"/>
    <n v="102"/>
    <x v="0"/>
    <s v="IndieWave"/>
  </r>
  <r>
    <s v="SP108"/>
    <s v="YouTube"/>
    <d v="2024-09-07T00:00:00"/>
    <s v="Reel"/>
    <s v="Music that moves you-only on Spotify."/>
    <n v="3882"/>
    <n v="342"/>
    <n v="374"/>
    <n v="41991"/>
    <n v="48554"/>
    <n v="118"/>
    <x v="2"/>
    <s v="SummerBeats"/>
  </r>
  <r>
    <s v="SP108"/>
    <s v="YouTube"/>
    <d v="2024-09-07T00:00:00"/>
    <s v="Reel"/>
    <s v="Music that moves you-only on Spotify."/>
    <n v="3882"/>
    <n v="342"/>
    <n v="374"/>
    <n v="41991"/>
    <n v="48554"/>
    <n v="118"/>
    <x v="0"/>
    <s v="SummerBeats"/>
  </r>
  <r>
    <s v="SP109"/>
    <s v="Instagram"/>
    <d v="2024-11-21T00:00:00"/>
    <s v="Text"/>
    <s v="Music that moves you-only on Spotify."/>
    <n v="4581"/>
    <n v="181"/>
    <n v="112"/>
    <n v="35221"/>
    <n v="28797"/>
    <n v="164"/>
    <x v="0"/>
    <s v="ChillVibes"/>
  </r>
  <r>
    <s v="SP109"/>
    <s v="Instagram"/>
    <d v="2024-11-21T00:00:00"/>
    <s v="Text"/>
    <s v="Music that moves you-only on Spotify."/>
    <n v="4581"/>
    <n v="181"/>
    <n v="112"/>
    <n v="35221"/>
    <n v="28797"/>
    <n v="164"/>
    <x v="1"/>
    <s v="ChillVibes"/>
  </r>
  <r>
    <s v="SP110"/>
    <s v="Instagram"/>
    <d v="2024-06-26T00:00:00"/>
    <s v="Text"/>
    <s v="New music just dropped. Hit play!"/>
    <n v="3253"/>
    <n v="483"/>
    <n v="336"/>
    <n v="25397"/>
    <n v="51485"/>
    <n v="131"/>
    <x v="2"/>
    <s v="IndieWave"/>
  </r>
  <r>
    <s v="SP111"/>
    <s v="YouTube"/>
    <d v="2024-07-20T00:00:00"/>
    <s v="Reel"/>
    <s v="Music that moves you-only on Spotify."/>
    <n v="4955"/>
    <n v="299"/>
    <n v="345"/>
    <n v="33644"/>
    <n v="43547"/>
    <n v="194"/>
    <x v="2"/>
    <s v="SummerBeats"/>
  </r>
  <r>
    <s v="SP111"/>
    <s v="YouTube"/>
    <d v="2024-07-20T00:00:00"/>
    <s v="Reel"/>
    <s v="Music that moves you-only on Spotify."/>
    <n v="4955"/>
    <n v="299"/>
    <n v="345"/>
    <n v="33644"/>
    <n v="43547"/>
    <n v="194"/>
    <x v="0"/>
    <s v="SummerBeats"/>
  </r>
  <r>
    <s v="SP112"/>
    <s v="Instagram"/>
    <d v="2025-02-16T00:00:00"/>
    <s v="Text"/>
    <s v="Your weekend playlist is waiting."/>
    <n v="1333"/>
    <n v="286"/>
    <n v="298"/>
    <n v="36174"/>
    <n v="34517"/>
    <n v="170"/>
    <x v="0"/>
    <s v="ChillVibes"/>
  </r>
  <r>
    <s v="SP112"/>
    <s v="Instagram"/>
    <d v="2025-02-16T00:00:00"/>
    <s v="Text"/>
    <s v="Your weekend playlist is waiting."/>
    <n v="1333"/>
    <n v="286"/>
    <n v="298"/>
    <n v="36174"/>
    <n v="34517"/>
    <n v="170"/>
    <x v="1"/>
    <s v="ChillVibes"/>
  </r>
  <r>
    <s v="SP113"/>
    <s v="Instagram"/>
    <d v="2024-09-09T00:00:00"/>
    <s v="Text"/>
    <s v="New music just dropped. Hit play!"/>
    <n v="1616"/>
    <n v="360"/>
    <n v="180"/>
    <n v="54342"/>
    <n v="18796"/>
    <n v="282"/>
    <x v="0"/>
    <s v="ChillVibes"/>
  </r>
  <r>
    <s v="SP113"/>
    <s v="Instagram"/>
    <d v="2024-09-09T00:00:00"/>
    <s v="Text"/>
    <s v="New music just dropped. Hit play!"/>
    <n v="1616"/>
    <n v="360"/>
    <n v="180"/>
    <n v="54342"/>
    <n v="18796"/>
    <n v="282"/>
    <x v="1"/>
    <s v="ChillVibes"/>
  </r>
  <r>
    <s v="SP114"/>
    <s v="Twitter"/>
    <d v="2024-07-16T00:00:00"/>
    <s v="Text"/>
    <s v="Top trending tracks updated daily!"/>
    <n v="1803"/>
    <n v="273"/>
    <n v="287"/>
    <n v="46176"/>
    <n v="25488"/>
    <n v="141"/>
    <x v="1"/>
    <s v="ChillVibes"/>
  </r>
  <r>
    <s v="SP115"/>
    <s v="Instagram"/>
    <d v="2025-04-15T00:00:00"/>
    <s v="Text"/>
    <s v="Explore the latest podcasts now."/>
    <n v="4177"/>
    <n v="489"/>
    <n v="331"/>
    <n v="57451"/>
    <n v="73793"/>
    <n v="251"/>
    <x v="2"/>
    <s v="IndieWave"/>
  </r>
  <r>
    <s v="SP116"/>
    <s v="Instagram"/>
    <d v="2025-05-04T00:00:00"/>
    <s v="Story"/>
    <s v="New music just dropped. Hit play!"/>
    <n v="1311"/>
    <n v="181"/>
    <n v="361"/>
    <n v="37148"/>
    <n v="44875"/>
    <n v="245"/>
    <x v="1"/>
    <s v="Wrapped2024"/>
  </r>
  <r>
    <s v="SP117"/>
    <s v="Instagram"/>
    <d v="2024-02-18T00:00:00"/>
    <s v="Story"/>
    <s v="From pop to podcasts, it's all here."/>
    <n v="1516"/>
    <n v="215"/>
    <n v="332"/>
    <n v="58981"/>
    <n v="36118"/>
    <n v="211"/>
    <x v="1"/>
    <s v="Wrapped2024"/>
  </r>
  <r>
    <s v="SP118"/>
    <s v="Twitter"/>
    <d v="2024-05-16T00:00:00"/>
    <s v="Story"/>
    <s v="Music that moves you-only on Spotify."/>
    <n v="2023"/>
    <n v="124"/>
    <n v="99"/>
    <n v="54524"/>
    <n v="34790"/>
    <n v="195"/>
    <x v="2"/>
    <s v="ChillVibes"/>
  </r>
  <r>
    <s v="SP118"/>
    <s v="Twitter"/>
    <d v="2024-05-16T00:00:00"/>
    <s v="Story"/>
    <s v="Music that moves you-only on Spotify."/>
    <n v="2023"/>
    <n v="124"/>
    <n v="99"/>
    <n v="54524"/>
    <n v="34790"/>
    <n v="195"/>
    <x v="3"/>
    <s v="ChillVibes"/>
  </r>
  <r>
    <s v="SP119"/>
    <s v="Twitter"/>
    <d v="2025-05-29T00:00:00"/>
    <s v="Story"/>
    <s v="Music that moves you-only on Spotify."/>
    <n v="2134"/>
    <n v="322"/>
    <n v="114"/>
    <n v="44338"/>
    <n v="52165"/>
    <n v="176"/>
    <x v="3"/>
    <s v="ChillVibes"/>
  </r>
  <r>
    <s v="SP119"/>
    <s v="Twitter"/>
    <d v="2025-05-29T00:00:00"/>
    <s v="Story"/>
    <s v="Music that moves you-only on Spotify."/>
    <n v="2134"/>
    <n v="322"/>
    <n v="114"/>
    <n v="44338"/>
    <n v="52165"/>
    <n v="176"/>
    <x v="1"/>
    <s v="ChillVibes"/>
  </r>
  <r>
    <s v="SP120"/>
    <s v="Instagram"/>
    <d v="2025-01-17T00:00:00"/>
    <s v="Text"/>
    <s v="Top trending tracks updated daily!"/>
    <n v="2266"/>
    <n v="126"/>
    <n v="140"/>
    <n v="53759"/>
    <n v="46834"/>
    <n v="277"/>
    <x v="2"/>
    <s v="IndieWave"/>
  </r>
  <r>
    <s v="SP121"/>
    <s v="Instagram"/>
    <d v="2025-04-30T00:00:00"/>
    <s v="Story"/>
    <s v="New music just dropped. Hit play!"/>
    <n v="3916"/>
    <n v="459"/>
    <n v="229"/>
    <n v="48989"/>
    <n v="39768"/>
    <n v="200"/>
    <x v="1"/>
    <s v="Wrapped2024"/>
  </r>
  <r>
    <s v="SP122"/>
    <s v="Twitter"/>
    <d v="2024-02-24T00:00:00"/>
    <s v="Story"/>
    <s v="Music that moves you-only on Spotify."/>
    <n v="1022"/>
    <n v="463"/>
    <n v="360"/>
    <n v="51468"/>
    <n v="24279"/>
    <n v="230"/>
    <x v="2"/>
    <s v="ChillVibes"/>
  </r>
  <r>
    <s v="SP122"/>
    <s v="Twitter"/>
    <d v="2024-02-24T00:00:00"/>
    <s v="Story"/>
    <s v="Music that moves you-only on Spotify."/>
    <n v="1022"/>
    <n v="463"/>
    <n v="360"/>
    <n v="51468"/>
    <n v="24279"/>
    <n v="230"/>
    <x v="3"/>
    <s v="ChillVibes"/>
  </r>
  <r>
    <s v="SP123"/>
    <s v="YouTube"/>
    <d v="2024-05-12T00:00:00"/>
    <s v="Text"/>
    <s v="From pop to podcasts, it's all here."/>
    <n v="2911"/>
    <n v="467"/>
    <n v="94"/>
    <n v="59083"/>
    <n v="49762"/>
    <n v="236"/>
    <x v="2"/>
    <s v="IndieWave"/>
  </r>
  <r>
    <s v="SP123"/>
    <s v="YouTube"/>
    <d v="2024-05-12T00:00:00"/>
    <s v="Text"/>
    <s v="From pop to podcasts, it's all here."/>
    <n v="2911"/>
    <n v="467"/>
    <n v="94"/>
    <n v="59083"/>
    <n v="49762"/>
    <n v="236"/>
    <x v="4"/>
    <s v="IndieWave"/>
  </r>
  <r>
    <s v="SP124"/>
    <s v="Twitter"/>
    <d v="2024-05-09T00:00:00"/>
    <s v="Story"/>
    <s v="New music just dropped. Hit play!"/>
    <n v="3277"/>
    <n v="423"/>
    <n v="259"/>
    <n v="46328"/>
    <n v="44293"/>
    <n v="299"/>
    <x v="0"/>
    <s v="ChillVibes"/>
  </r>
  <r>
    <s v="SP124"/>
    <s v="Twitter"/>
    <d v="2024-05-09T00:00:00"/>
    <s v="Story"/>
    <s v="New music just dropped. Hit play!"/>
    <n v="3277"/>
    <n v="423"/>
    <n v="259"/>
    <n v="46328"/>
    <n v="44293"/>
    <n v="299"/>
    <x v="1"/>
    <s v="ChillVibes"/>
  </r>
  <r>
    <s v="SP125"/>
    <s v="Twitter"/>
    <d v="2024-11-06T00:00:00"/>
    <s v="Text"/>
    <s v="From pop to podcasts, it's all here."/>
    <n v="2956"/>
    <n v="381"/>
    <n v="345"/>
    <n v="33347"/>
    <n v="22558"/>
    <n v="173"/>
    <x v="1"/>
    <s v="ChillVibes"/>
  </r>
  <r>
    <s v="SP126"/>
    <s v="Twitter"/>
    <d v="2024-01-04T00:00:00"/>
    <s v="Story"/>
    <s v="What's your vibe today? #SpotifyHits"/>
    <n v="3208"/>
    <n v="476"/>
    <n v="277"/>
    <n v="56072"/>
    <n v="21061"/>
    <n v="113"/>
    <x v="3"/>
    <s v="ChillVibes"/>
  </r>
  <r>
    <s v="SP126"/>
    <s v="Twitter"/>
    <d v="2024-01-04T00:00:00"/>
    <s v="Story"/>
    <s v="What's your vibe today? #SpotifyHits"/>
    <n v="3208"/>
    <n v="476"/>
    <n v="277"/>
    <n v="56072"/>
    <n v="21061"/>
    <n v="113"/>
    <x v="1"/>
    <s v="ChillVibes"/>
  </r>
  <r>
    <s v="SP127"/>
    <s v="Twitter"/>
    <d v="2024-01-28T00:00:00"/>
    <s v="Text"/>
    <s v="Music that moves you-only on Spotify."/>
    <n v="1456"/>
    <n v="265"/>
    <n v="137"/>
    <n v="53485"/>
    <n v="59729"/>
    <n v="145"/>
    <x v="0"/>
    <s v="IndieWave"/>
  </r>
  <r>
    <s v="SP128"/>
    <s v="Instagram"/>
    <d v="2024-02-22T00:00:00"/>
    <s v="Text"/>
    <s v="New music just dropped. Hit play!"/>
    <n v="1902"/>
    <n v="394"/>
    <n v="279"/>
    <n v="24615"/>
    <n v="51330"/>
    <n v="176"/>
    <x v="0"/>
    <s v="ChillVibes"/>
  </r>
  <r>
    <s v="SP128"/>
    <s v="Instagram"/>
    <d v="2024-02-22T00:00:00"/>
    <s v="Text"/>
    <s v="New music just dropped. Hit play!"/>
    <n v="1902"/>
    <n v="394"/>
    <n v="279"/>
    <n v="24615"/>
    <n v="51330"/>
    <n v="176"/>
    <x v="1"/>
    <s v="ChillVibes"/>
  </r>
  <r>
    <s v="SP129"/>
    <s v="Twitter"/>
    <d v="2025-07-01T00:00:00"/>
    <s v="Story"/>
    <s v="Explore the latest podcasts now."/>
    <n v="3219"/>
    <n v="424"/>
    <n v="267"/>
    <n v="48879"/>
    <n v="37691"/>
    <n v="224"/>
    <x v="2"/>
    <s v="ChillVibes"/>
  </r>
  <r>
    <s v="SP129"/>
    <s v="Twitter"/>
    <d v="2025-07-01T00:00:00"/>
    <s v="Story"/>
    <s v="Explore the latest podcasts now."/>
    <n v="3219"/>
    <n v="424"/>
    <n v="267"/>
    <n v="48879"/>
    <n v="37691"/>
    <n v="224"/>
    <x v="3"/>
    <s v="ChillVibes"/>
  </r>
  <r>
    <s v="SP130"/>
    <s v="YouTube"/>
    <d v="2024-01-10T00:00:00"/>
    <s v="Text"/>
    <s v="Explore the latest podcasts now."/>
    <n v="1261"/>
    <n v="190"/>
    <n v="233"/>
    <n v="59888"/>
    <n v="51449"/>
    <n v="205"/>
    <x v="2"/>
    <s v="IndieWave"/>
  </r>
  <r>
    <s v="SP130"/>
    <s v="YouTube"/>
    <d v="2024-01-10T00:00:00"/>
    <s v="Text"/>
    <s v="Explore the latest podcasts now."/>
    <n v="1261"/>
    <n v="190"/>
    <n v="233"/>
    <n v="59888"/>
    <n v="51449"/>
    <n v="205"/>
    <x v="4"/>
    <s v="IndieWave"/>
  </r>
  <r>
    <s v="SP131"/>
    <s v="Twitter"/>
    <d v="2025-03-20T00:00:00"/>
    <s v="Text"/>
    <s v="Your weekend playlist is waiting."/>
    <n v="1564"/>
    <n v="362"/>
    <n v="371"/>
    <n v="42075"/>
    <n v="66659"/>
    <n v="205"/>
    <x v="0"/>
    <s v="IndieWave"/>
  </r>
  <r>
    <s v="SP132"/>
    <s v="Twitter"/>
    <d v="2024-09-28T00:00:00"/>
    <s v="Text"/>
    <s v="What's your vibe today? #SpotifyHits"/>
    <n v="4006"/>
    <n v="420"/>
    <n v="194"/>
    <n v="49964"/>
    <n v="20685"/>
    <n v="148"/>
    <x v="1"/>
    <s v="ChillVibes"/>
  </r>
  <r>
    <s v="SP133"/>
    <s v="YouTube"/>
    <d v="2024-01-27T00:00:00"/>
    <s v="Text"/>
    <s v="Your weekend playlist is waiting."/>
    <n v="1976"/>
    <n v="262"/>
    <n v="218"/>
    <n v="51696"/>
    <n v="44846"/>
    <n v="139"/>
    <x v="2"/>
    <s v="IndieWave"/>
  </r>
  <r>
    <s v="SP133"/>
    <s v="YouTube"/>
    <d v="2024-01-27T00:00:00"/>
    <s v="Text"/>
    <s v="Your weekend playlist is waiting."/>
    <n v="1976"/>
    <n v="262"/>
    <n v="218"/>
    <n v="51696"/>
    <n v="44846"/>
    <n v="139"/>
    <x v="4"/>
    <s v="IndieWave"/>
  </r>
  <r>
    <s v="SP134"/>
    <s v="Twitter"/>
    <d v="2025-05-15T00:00:00"/>
    <s v="Text"/>
    <s v="New music just dropped. Hit play!"/>
    <n v="1583"/>
    <n v="433"/>
    <n v="249"/>
    <n v="30256"/>
    <n v="47066"/>
    <n v="196"/>
    <x v="1"/>
    <s v="ChillVibes"/>
  </r>
  <r>
    <s v="SP135"/>
    <s v="Twitter"/>
    <d v="2024-10-04T00:00:00"/>
    <s v="Story"/>
    <s v="Explore the latest podcasts now."/>
    <n v="2870"/>
    <n v="380"/>
    <n v="393"/>
    <n v="37621"/>
    <n v="71794"/>
    <n v="127"/>
    <x v="3"/>
    <s v="ChillVibes"/>
  </r>
  <r>
    <s v="SP135"/>
    <s v="Twitter"/>
    <d v="2024-10-04T00:00:00"/>
    <s v="Story"/>
    <s v="Explore the latest podcasts now."/>
    <n v="2870"/>
    <n v="380"/>
    <n v="393"/>
    <n v="37621"/>
    <n v="71794"/>
    <n v="127"/>
    <x v="1"/>
    <s v="ChillVibes"/>
  </r>
  <r>
    <s v="SP136"/>
    <s v="Twitter"/>
    <d v="2024-11-19T00:00:00"/>
    <s v="Text"/>
    <s v="Top trending tracks updated daily!"/>
    <n v="3728"/>
    <n v="271"/>
    <n v="275"/>
    <n v="22827"/>
    <n v="37034"/>
    <n v="199"/>
    <x v="1"/>
    <s v="ChillVibes"/>
  </r>
  <r>
    <s v="SP137"/>
    <s v="Twitter"/>
    <d v="2024-04-05T00:00:00"/>
    <s v="Story"/>
    <s v="New music just dropped. Hit play!"/>
    <n v="4965"/>
    <n v="175"/>
    <n v="307"/>
    <n v="32793"/>
    <n v="43412"/>
    <n v="296"/>
    <x v="0"/>
    <s v="ChillVibes"/>
  </r>
  <r>
    <s v="SP137"/>
    <s v="Twitter"/>
    <d v="2024-04-05T00:00:00"/>
    <s v="Story"/>
    <s v="New music just dropped. Hit play!"/>
    <n v="4965"/>
    <n v="175"/>
    <n v="307"/>
    <n v="32793"/>
    <n v="43412"/>
    <n v="296"/>
    <x v="1"/>
    <s v="ChillVibes"/>
  </r>
  <r>
    <s v="SP138"/>
    <s v="Twitter"/>
    <d v="2024-11-28T00:00:00"/>
    <s v="Story"/>
    <s v="New music just dropped. Hit play!"/>
    <n v="1131"/>
    <n v="100"/>
    <n v="116"/>
    <n v="48437"/>
    <n v="72704"/>
    <n v="236"/>
    <x v="2"/>
    <s v="ChillVibes"/>
  </r>
  <r>
    <s v="SP138"/>
    <s v="Twitter"/>
    <d v="2024-11-28T00:00:00"/>
    <s v="Story"/>
    <s v="New music just dropped. Hit play!"/>
    <n v="1131"/>
    <n v="100"/>
    <n v="116"/>
    <n v="48437"/>
    <n v="72704"/>
    <n v="236"/>
    <x v="3"/>
    <s v="ChillVibes"/>
  </r>
  <r>
    <s v="SP139"/>
    <s v="Twitter"/>
    <d v="2025-03-09T00:00:00"/>
    <s v="Text"/>
    <s v="Your weekend playlist is waiting."/>
    <n v="2754"/>
    <n v="215"/>
    <n v="264"/>
    <n v="27762"/>
    <n v="70203"/>
    <n v="289"/>
    <x v="1"/>
    <s v="ChillVibes"/>
  </r>
  <r>
    <s v="SP140"/>
    <s v="Twitter"/>
    <d v="2024-08-27T00:00:00"/>
    <s v="Story"/>
    <s v="New music just dropped. Hit play!"/>
    <n v="1856"/>
    <n v="357"/>
    <n v="348"/>
    <n v="29428"/>
    <n v="70206"/>
    <n v="236"/>
    <x v="3"/>
    <s v="ChillVibes"/>
  </r>
  <r>
    <s v="SP140"/>
    <s v="Twitter"/>
    <d v="2024-08-27T00:00:00"/>
    <s v="Story"/>
    <s v="New music just dropped. Hit play!"/>
    <n v="1856"/>
    <n v="357"/>
    <n v="348"/>
    <n v="29428"/>
    <n v="70206"/>
    <n v="236"/>
    <x v="1"/>
    <s v="ChillVibes"/>
  </r>
  <r>
    <s v="SP141"/>
    <s v="YouTube"/>
    <d v="2024-10-01T00:00:00"/>
    <s v="Reel"/>
    <s v="Explore the latest podcasts now."/>
    <n v="3543"/>
    <n v="334"/>
    <n v="218"/>
    <n v="58007"/>
    <n v="24792"/>
    <n v="273"/>
    <x v="2"/>
    <s v="SummerBeats"/>
  </r>
  <r>
    <s v="SP141"/>
    <s v="YouTube"/>
    <d v="2024-10-01T00:00:00"/>
    <s v="Reel"/>
    <s v="Explore the latest podcasts now."/>
    <n v="3543"/>
    <n v="334"/>
    <n v="218"/>
    <n v="58007"/>
    <n v="24792"/>
    <n v="273"/>
    <x v="0"/>
    <s v="SummerBeats"/>
  </r>
  <r>
    <s v="SP142"/>
    <s v="Instagram"/>
    <d v="2024-12-21T00:00:00"/>
    <s v="Story"/>
    <s v="New music just dropped. Hit play!"/>
    <n v="4563"/>
    <n v="398"/>
    <n v="163"/>
    <n v="43679"/>
    <n v="48760"/>
    <n v="92"/>
    <x v="1"/>
    <s v="Wrapped2024"/>
  </r>
  <r>
    <s v="SP143"/>
    <s v="Instagram"/>
    <d v="2024-06-17T00:00:00"/>
    <s v="Text"/>
    <s v="Discover fresh beats on Spotify!"/>
    <n v="4283"/>
    <n v="471"/>
    <n v="156"/>
    <n v="53004"/>
    <n v="25678"/>
    <n v="105"/>
    <x v="2"/>
    <s v="IndieWave"/>
  </r>
  <r>
    <s v="SP144"/>
    <s v="Instagram"/>
    <d v="2025-02-14T00:00:00"/>
    <s v="Text"/>
    <s v="Discover fresh beats on Spotify!"/>
    <n v="2329"/>
    <n v="373"/>
    <n v="291"/>
    <n v="49577"/>
    <n v="28002"/>
    <n v="82"/>
    <x v="0"/>
    <s v="ChillVibes"/>
  </r>
  <r>
    <s v="SP144"/>
    <s v="Instagram"/>
    <d v="2025-02-14T00:00:00"/>
    <s v="Text"/>
    <s v="Discover fresh beats on Spotify!"/>
    <n v="2329"/>
    <n v="373"/>
    <n v="291"/>
    <n v="49577"/>
    <n v="28002"/>
    <n v="82"/>
    <x v="1"/>
    <s v="ChillVibes"/>
  </r>
  <r>
    <s v="SP145"/>
    <s v="Twitter"/>
    <d v="2025-05-28T00:00:00"/>
    <s v="Story"/>
    <s v="Top trending tracks updated daily!"/>
    <n v="4287"/>
    <n v="273"/>
    <n v="122"/>
    <n v="40792"/>
    <n v="23878"/>
    <n v="277"/>
    <x v="3"/>
    <s v="ChillVibes"/>
  </r>
  <r>
    <s v="SP145"/>
    <s v="Twitter"/>
    <d v="2025-05-28T00:00:00"/>
    <s v="Story"/>
    <s v="Top trending tracks updated daily!"/>
    <n v="4287"/>
    <n v="273"/>
    <n v="122"/>
    <n v="40792"/>
    <n v="23878"/>
    <n v="277"/>
    <x v="1"/>
    <s v="ChillVibes"/>
  </r>
  <r>
    <s v="SP146"/>
    <s v="Instagram"/>
    <d v="2025-05-22T00:00:00"/>
    <s v="Text"/>
    <s v="Discover fresh beats on Spotify!"/>
    <n v="2633"/>
    <n v="318"/>
    <n v="380"/>
    <n v="40869"/>
    <n v="64474"/>
    <n v="245"/>
    <x v="2"/>
    <s v="IndieWave"/>
  </r>
  <r>
    <s v="SP147"/>
    <s v="Twitter"/>
    <d v="2024-01-21T00:00:00"/>
    <s v="Story"/>
    <s v="Discover fresh beats on Spotify!"/>
    <n v="2383"/>
    <n v="136"/>
    <n v="302"/>
    <n v="39187"/>
    <n v="22133"/>
    <n v="208"/>
    <x v="3"/>
    <s v="ChillVibes"/>
  </r>
  <r>
    <s v="SP147"/>
    <s v="Twitter"/>
    <d v="2024-01-21T00:00:00"/>
    <s v="Story"/>
    <s v="Discover fresh beats on Spotify!"/>
    <n v="2383"/>
    <n v="136"/>
    <n v="302"/>
    <n v="39187"/>
    <n v="22133"/>
    <n v="208"/>
    <x v="1"/>
    <s v="ChillVibes"/>
  </r>
  <r>
    <s v="SP148"/>
    <s v="Twitter"/>
    <d v="2025-02-08T00:00:00"/>
    <s v="Story"/>
    <s v="Your weekend playlist is waiting."/>
    <n v="4752"/>
    <n v="334"/>
    <n v="56"/>
    <n v="48017"/>
    <n v="55534"/>
    <n v="270"/>
    <x v="2"/>
    <s v="ChillVibes"/>
  </r>
  <r>
    <s v="SP148"/>
    <s v="Twitter"/>
    <d v="2025-02-08T00:00:00"/>
    <s v="Story"/>
    <s v="Your weekend playlist is waiting."/>
    <n v="4752"/>
    <n v="334"/>
    <n v="56"/>
    <n v="48017"/>
    <n v="55534"/>
    <n v="270"/>
    <x v="3"/>
    <s v="ChillVibes"/>
  </r>
  <r>
    <s v="SP149"/>
    <s v="Twitter"/>
    <d v="2025-04-13T00:00:00"/>
    <s v="Text"/>
    <s v="From pop to podcasts, it's all here."/>
    <n v="3890"/>
    <n v="408"/>
    <n v="338"/>
    <n v="56994"/>
    <n v="32621"/>
    <n v="286"/>
    <x v="0"/>
    <s v="IndieWave"/>
  </r>
  <r>
    <s v="SP150"/>
    <s v="Twitter"/>
    <d v="2024-05-30T00:00:00"/>
    <s v="Story"/>
    <s v="Your weekend playlist is waiting."/>
    <n v="2311"/>
    <n v="207"/>
    <n v="363"/>
    <n v="30349"/>
    <n v="32925"/>
    <n v="88"/>
    <x v="3"/>
    <s v="ChillVibes"/>
  </r>
  <r>
    <s v="SP150"/>
    <s v="Twitter"/>
    <d v="2024-05-30T00:00:00"/>
    <s v="Story"/>
    <s v="Your weekend playlist is waiting."/>
    <n v="2311"/>
    <n v="207"/>
    <n v="363"/>
    <n v="30349"/>
    <n v="32925"/>
    <n v="88"/>
    <x v="1"/>
    <s v="ChillVibes"/>
  </r>
  <r>
    <s v="SP151"/>
    <s v="Instagram"/>
    <d v="2024-08-12T00:00:00"/>
    <s v="Story"/>
    <s v="Discover fresh beats on Spotify!"/>
    <n v="2962"/>
    <n v="400"/>
    <n v="280"/>
    <n v="52508"/>
    <n v="58329"/>
    <n v="219"/>
    <x v="1"/>
    <s v="Wrapped2024"/>
  </r>
  <r>
    <s v="SP152"/>
    <s v="Instagram"/>
    <d v="2024-09-27T00:00:00"/>
    <s v="Text"/>
    <s v="Discover fresh beats on Spotify!"/>
    <n v="3118"/>
    <n v="116"/>
    <n v="195"/>
    <n v="37100"/>
    <n v="62629"/>
    <n v="272"/>
    <x v="2"/>
    <s v="IndieWave"/>
  </r>
  <r>
    <s v="SP153"/>
    <s v="Twitter"/>
    <d v="2025-06-11T00:00:00"/>
    <s v="Story"/>
    <s v="Explore the latest podcasts now."/>
    <n v="3805"/>
    <n v="453"/>
    <n v="63"/>
    <n v="52395"/>
    <n v="72934"/>
    <n v="87"/>
    <x v="2"/>
    <s v="ChillVibes"/>
  </r>
  <r>
    <s v="SP153"/>
    <s v="Twitter"/>
    <d v="2025-06-11T00:00:00"/>
    <s v="Story"/>
    <s v="Explore the latest podcasts now."/>
    <n v="3805"/>
    <n v="453"/>
    <n v="63"/>
    <n v="52395"/>
    <n v="72934"/>
    <n v="87"/>
    <x v="3"/>
    <s v="ChillVibes"/>
  </r>
  <r>
    <s v="SP154"/>
    <s v="Instagram"/>
    <d v="2024-11-19T00:00:00"/>
    <s v="Text"/>
    <s v="What's your vibe today? #SpotifyHits"/>
    <n v="2525"/>
    <n v="272"/>
    <n v="294"/>
    <n v="51875"/>
    <n v="24732"/>
    <n v="92"/>
    <x v="2"/>
    <s v="IndieWave"/>
  </r>
  <r>
    <s v="SP155"/>
    <s v="Instagram"/>
    <d v="2024-04-25T00:00:00"/>
    <s v="Text"/>
    <s v="Music that moves you-only on Spotify."/>
    <n v="3563"/>
    <n v="483"/>
    <n v="227"/>
    <n v="41085"/>
    <n v="26393"/>
    <n v="236"/>
    <x v="0"/>
    <s v="ChillVibes"/>
  </r>
  <r>
    <s v="SP155"/>
    <s v="Instagram"/>
    <d v="2024-04-25T00:00:00"/>
    <s v="Text"/>
    <s v="Music that moves you-only on Spotify."/>
    <n v="3563"/>
    <n v="483"/>
    <n v="227"/>
    <n v="41085"/>
    <n v="26393"/>
    <n v="236"/>
    <x v="1"/>
    <s v="ChillVibes"/>
  </r>
  <r>
    <s v="SP156"/>
    <s v="YouTube"/>
    <d v="2024-09-03T00:00:00"/>
    <s v="Reel"/>
    <s v="What's your vibe today? #SpotifyHits"/>
    <n v="1437"/>
    <n v="494"/>
    <n v="129"/>
    <n v="53048"/>
    <n v="44090"/>
    <n v="230"/>
    <x v="2"/>
    <s v="SummerBeats"/>
  </r>
  <r>
    <s v="SP156"/>
    <s v="YouTube"/>
    <d v="2024-09-03T00:00:00"/>
    <s v="Reel"/>
    <s v="What's your vibe today? #SpotifyHits"/>
    <n v="1437"/>
    <n v="494"/>
    <n v="129"/>
    <n v="53048"/>
    <n v="44090"/>
    <n v="230"/>
    <x v="0"/>
    <s v="SummerBeats"/>
  </r>
  <r>
    <s v="SP157"/>
    <s v="YouTube"/>
    <d v="2025-03-02T00:00:00"/>
    <s v="Text"/>
    <s v="From pop to podcasts, it's all here."/>
    <n v="4425"/>
    <n v="185"/>
    <n v="162"/>
    <n v="24610"/>
    <n v="21342"/>
    <n v="158"/>
    <x v="2"/>
    <s v="IndieWave"/>
  </r>
  <r>
    <s v="SP157"/>
    <s v="YouTube"/>
    <d v="2025-03-02T00:00:00"/>
    <s v="Text"/>
    <s v="From pop to podcasts, it's all here."/>
    <n v="4425"/>
    <n v="185"/>
    <n v="162"/>
    <n v="24610"/>
    <n v="21342"/>
    <n v="158"/>
    <x v="4"/>
    <s v="IndieWave"/>
  </r>
  <r>
    <s v="SP158"/>
    <s v="Twitter"/>
    <d v="2025-03-21T00:00:00"/>
    <s v="Story"/>
    <s v="New music just dropped. Hit play!"/>
    <n v="4609"/>
    <n v="427"/>
    <n v="395"/>
    <n v="33698"/>
    <n v="29259"/>
    <n v="216"/>
    <x v="2"/>
    <s v="ChillVibes"/>
  </r>
  <r>
    <s v="SP158"/>
    <s v="Twitter"/>
    <d v="2025-03-21T00:00:00"/>
    <s v="Story"/>
    <s v="New music just dropped. Hit play!"/>
    <n v="4609"/>
    <n v="427"/>
    <n v="395"/>
    <n v="33698"/>
    <n v="29259"/>
    <n v="216"/>
    <x v="3"/>
    <s v="ChillVibes"/>
  </r>
  <r>
    <s v="SP159"/>
    <s v="Instagram"/>
    <d v="2024-04-12T00:00:00"/>
    <s v="Story"/>
    <s v="Get into the groove with our new drop!"/>
    <n v="1558"/>
    <n v="352"/>
    <n v="202"/>
    <n v="25405"/>
    <n v="69941"/>
    <n v="219"/>
    <x v="1"/>
    <s v="Wrapped2024"/>
  </r>
  <r>
    <s v="SP160"/>
    <s v="YouTube"/>
    <d v="2024-02-08T00:00:00"/>
    <s v="Reel"/>
    <s v="Top trending tracks updated daily!"/>
    <n v="1889"/>
    <n v="298"/>
    <n v="122"/>
    <n v="46225"/>
    <n v="74305"/>
    <n v="293"/>
    <x v="2"/>
    <s v="SummerBeats"/>
  </r>
  <r>
    <s v="SP160"/>
    <s v="YouTube"/>
    <d v="2024-02-08T00:00:00"/>
    <s v="Reel"/>
    <s v="Top trending tracks updated daily!"/>
    <n v="1889"/>
    <n v="298"/>
    <n v="122"/>
    <n v="46225"/>
    <n v="74305"/>
    <n v="293"/>
    <x v="0"/>
    <s v="SummerBeats"/>
  </r>
  <r>
    <s v="SP161"/>
    <s v="Instagram"/>
    <d v="2025-05-26T00:00:00"/>
    <s v="Text"/>
    <s v="Discover fresh beats on Spotify!"/>
    <n v="3086"/>
    <n v="148"/>
    <n v="310"/>
    <n v="22824"/>
    <n v="58103"/>
    <n v="275"/>
    <x v="2"/>
    <s v="IndieWave"/>
  </r>
  <r>
    <s v="SP162"/>
    <s v="Instagram"/>
    <d v="2024-11-14T00:00:00"/>
    <s v="Text"/>
    <s v="Music that moves you-only on Spotify."/>
    <n v="2422"/>
    <n v="318"/>
    <n v="118"/>
    <n v="25386"/>
    <n v="20873"/>
    <n v="100"/>
    <x v="0"/>
    <s v="ChillVibes"/>
  </r>
  <r>
    <s v="SP162"/>
    <s v="Instagram"/>
    <d v="2024-11-14T00:00:00"/>
    <s v="Text"/>
    <s v="Music that moves you-only on Spotify."/>
    <n v="2422"/>
    <n v="318"/>
    <n v="118"/>
    <n v="25386"/>
    <n v="20873"/>
    <n v="100"/>
    <x v="1"/>
    <s v="ChillVibes"/>
  </r>
  <r>
    <s v="SP163"/>
    <s v="YouTube"/>
    <d v="2024-08-09T00:00:00"/>
    <s v="Reel"/>
    <s v="From pop to podcasts, it's all here."/>
    <n v="3414"/>
    <n v="154"/>
    <n v="204"/>
    <n v="34146"/>
    <n v="44633"/>
    <n v="256"/>
    <x v="2"/>
    <s v="SummerBeats"/>
  </r>
  <r>
    <s v="SP163"/>
    <s v="YouTube"/>
    <d v="2024-08-09T00:00:00"/>
    <s v="Reel"/>
    <s v="From pop to podcasts, it's all here."/>
    <n v="3414"/>
    <n v="154"/>
    <n v="204"/>
    <n v="34146"/>
    <n v="44633"/>
    <n v="256"/>
    <x v="0"/>
    <s v="SummerBeats"/>
  </r>
  <r>
    <s v="SP164"/>
    <s v="Instagram"/>
    <d v="2025-06-27T00:00:00"/>
    <s v="Story"/>
    <s v="What's your vibe today? #SpotifyHits"/>
    <n v="1342"/>
    <n v="332"/>
    <n v="163"/>
    <n v="51712"/>
    <n v="57922"/>
    <n v="168"/>
    <x v="1"/>
    <s v="Wrapped2024"/>
  </r>
  <r>
    <s v="SP165"/>
    <s v="Instagram"/>
    <d v="2024-05-08T00:00:00"/>
    <s v="Story"/>
    <s v="Music that moves you-only on Spotify."/>
    <n v="2414"/>
    <n v="220"/>
    <n v="280"/>
    <n v="27355"/>
    <n v="50562"/>
    <n v="258"/>
    <x v="1"/>
    <s v="Wrapped2024"/>
  </r>
  <r>
    <s v="SP166"/>
    <s v="Instagram"/>
    <d v="2024-04-05T00:00:00"/>
    <s v="Text"/>
    <s v="New music just dropped. Hit play!"/>
    <n v="4383"/>
    <n v="352"/>
    <n v="176"/>
    <n v="53239"/>
    <n v="34168"/>
    <n v="288"/>
    <x v="2"/>
    <s v="IndieWave"/>
  </r>
  <r>
    <s v="SP167"/>
    <s v="YouTube"/>
    <d v="2025-01-27T00:00:00"/>
    <s v="Text"/>
    <s v="Wrapped is here! Relive your top tracks 🎧"/>
    <n v="4294"/>
    <n v="423"/>
    <n v="93"/>
    <n v="29828"/>
    <n v="73144"/>
    <n v="298"/>
    <x v="2"/>
    <s v="IndieWave"/>
  </r>
  <r>
    <s v="SP167"/>
    <s v="YouTube"/>
    <d v="2025-01-27T00:00:00"/>
    <s v="Text"/>
    <s v="Wrapped is here! Relive your top tracks 🎧"/>
    <n v="4294"/>
    <n v="423"/>
    <n v="93"/>
    <n v="29828"/>
    <n v="73144"/>
    <n v="298"/>
    <x v="4"/>
    <s v="IndieWave"/>
  </r>
  <r>
    <s v="SP168"/>
    <s v="Instagram"/>
    <d v="2024-04-03T00:00:00"/>
    <s v="Text"/>
    <s v="Top trending tracks updated daily!"/>
    <n v="2762"/>
    <n v="339"/>
    <n v="323"/>
    <n v="33757"/>
    <n v="68511"/>
    <n v="121"/>
    <x v="0"/>
    <s v="ChillVibes"/>
  </r>
  <r>
    <s v="SP168"/>
    <s v="Instagram"/>
    <d v="2024-04-03T00:00:00"/>
    <s v="Text"/>
    <s v="Top trending tracks updated daily!"/>
    <n v="2762"/>
    <n v="339"/>
    <n v="323"/>
    <n v="33757"/>
    <n v="68511"/>
    <n v="121"/>
    <x v="1"/>
    <s v="ChillVibes"/>
  </r>
  <r>
    <s v="SP169"/>
    <s v="YouTube"/>
    <d v="2025-01-03T00:00:00"/>
    <s v="Text"/>
    <s v="New music just dropped. Hit play!"/>
    <n v="3782"/>
    <n v="484"/>
    <n v="144"/>
    <n v="52172"/>
    <n v="59386"/>
    <n v="175"/>
    <x v="2"/>
    <s v="IndieWave"/>
  </r>
  <r>
    <s v="SP169"/>
    <s v="YouTube"/>
    <d v="2025-01-03T00:00:00"/>
    <s v="Text"/>
    <s v="New music just dropped. Hit play!"/>
    <n v="3782"/>
    <n v="484"/>
    <n v="144"/>
    <n v="52172"/>
    <n v="59386"/>
    <n v="175"/>
    <x v="4"/>
    <s v="IndieWave"/>
  </r>
  <r>
    <s v="SP170"/>
    <s v="Twitter"/>
    <d v="2024-11-23T00:00:00"/>
    <s v="Text"/>
    <s v="New music just dropped. Hit play!"/>
    <n v="4318"/>
    <n v="371"/>
    <n v="329"/>
    <n v="32347"/>
    <n v="68956"/>
    <n v="259"/>
    <x v="0"/>
    <s v="IndieWave"/>
  </r>
  <r>
    <s v="SP171"/>
    <s v="Instagram"/>
    <d v="2024-09-01T00:00:00"/>
    <s v="Story"/>
    <s v="Wrapped is here! Relive your top tracks 🎧"/>
    <n v="2335"/>
    <n v="150"/>
    <n v="75"/>
    <n v="26114"/>
    <n v="57549"/>
    <n v="135"/>
    <x v="1"/>
    <s v="Wrapped2024"/>
  </r>
  <r>
    <s v="SP172"/>
    <s v="YouTube"/>
    <d v="2024-04-18T00:00:00"/>
    <s v="Text"/>
    <s v="Explore the latest podcasts now."/>
    <n v="4023"/>
    <n v="293"/>
    <n v="91"/>
    <n v="26795"/>
    <n v="28924"/>
    <n v="278"/>
    <x v="2"/>
    <s v="IndieWave"/>
  </r>
  <r>
    <s v="SP172"/>
    <s v="YouTube"/>
    <d v="2024-04-18T00:00:00"/>
    <s v="Text"/>
    <s v="Explore the latest podcasts now."/>
    <n v="4023"/>
    <n v="293"/>
    <n v="91"/>
    <n v="26795"/>
    <n v="28924"/>
    <n v="278"/>
    <x v="4"/>
    <s v="IndieWave"/>
  </r>
  <r>
    <s v="SP173"/>
    <s v="Instagram"/>
    <d v="2024-06-04T00:00:00"/>
    <s v="Text"/>
    <s v="Get into the groove with our new drop!"/>
    <n v="3948"/>
    <n v="151"/>
    <n v="249"/>
    <n v="43147"/>
    <n v="63136"/>
    <n v="230"/>
    <x v="2"/>
    <s v="IndieWave"/>
  </r>
  <r>
    <s v="SP174"/>
    <s v="YouTube"/>
    <d v="2025-04-02T00:00:00"/>
    <s v="Text"/>
    <s v="Wrapped is here! Relive your top tracks 🎧"/>
    <n v="4598"/>
    <n v="455"/>
    <n v="378"/>
    <n v="52952"/>
    <n v="58504"/>
    <n v="269"/>
    <x v="2"/>
    <s v="IndieWave"/>
  </r>
  <r>
    <s v="SP174"/>
    <s v="YouTube"/>
    <d v="2025-04-02T00:00:00"/>
    <s v="Text"/>
    <s v="Wrapped is here! Relive your top tracks 🎧"/>
    <n v="4598"/>
    <n v="455"/>
    <n v="378"/>
    <n v="52952"/>
    <n v="58504"/>
    <n v="269"/>
    <x v="4"/>
    <s v="IndieWave"/>
  </r>
  <r>
    <s v="SP175"/>
    <s v="Twitter"/>
    <d v="2025-04-01T00:00:00"/>
    <s v="Story"/>
    <s v="Music that moves you-only on Spotify."/>
    <n v="2665"/>
    <n v="143"/>
    <n v="315"/>
    <n v="54808"/>
    <n v="29818"/>
    <n v="98"/>
    <x v="2"/>
    <s v="ChillVibes"/>
  </r>
  <r>
    <s v="SP175"/>
    <s v="Twitter"/>
    <d v="2025-04-01T00:00:00"/>
    <s v="Story"/>
    <s v="Music that moves you-only on Spotify."/>
    <n v="2665"/>
    <n v="143"/>
    <n v="315"/>
    <n v="54808"/>
    <n v="29818"/>
    <n v="98"/>
    <x v="3"/>
    <s v="ChillVibes"/>
  </r>
  <r>
    <s v="SP176"/>
    <s v="Instagram"/>
    <d v="2024-07-02T00:00:00"/>
    <s v="Text"/>
    <s v="Top trending tracks updated daily!"/>
    <n v="3469"/>
    <n v="371"/>
    <n v="76"/>
    <n v="46493"/>
    <n v="26906"/>
    <n v="150"/>
    <x v="0"/>
    <s v="ChillVibes"/>
  </r>
  <r>
    <s v="SP176"/>
    <s v="Instagram"/>
    <d v="2024-07-02T00:00:00"/>
    <s v="Text"/>
    <s v="Top trending tracks updated daily!"/>
    <n v="3469"/>
    <n v="371"/>
    <n v="76"/>
    <n v="46493"/>
    <n v="26906"/>
    <n v="150"/>
    <x v="1"/>
    <s v="ChillVibes"/>
  </r>
  <r>
    <s v="SP177"/>
    <s v="Twitter"/>
    <d v="2024-11-10T00:00:00"/>
    <s v="Text"/>
    <s v="Explore the latest podcasts now."/>
    <n v="4823"/>
    <n v="489"/>
    <n v="302"/>
    <n v="32470"/>
    <n v="31861"/>
    <n v="178"/>
    <x v="0"/>
    <s v="IndieWave"/>
  </r>
  <r>
    <s v="SP178"/>
    <s v="Instagram"/>
    <d v="2024-12-14T00:00:00"/>
    <s v="Story"/>
    <s v="From pop to podcasts, it's all here."/>
    <n v="3812"/>
    <n v="321"/>
    <n v="289"/>
    <n v="59838"/>
    <n v="36337"/>
    <n v="161"/>
    <x v="1"/>
    <s v="Wrapped2024"/>
  </r>
  <r>
    <s v="SP179"/>
    <s v="Twitter"/>
    <d v="2024-11-19T00:00:00"/>
    <s v="Text"/>
    <s v="Explore the latest podcasts now."/>
    <n v="2387"/>
    <n v="353"/>
    <n v="78"/>
    <n v="39745"/>
    <n v="69226"/>
    <n v="208"/>
    <x v="0"/>
    <s v="IndieWave"/>
  </r>
  <r>
    <s v="SP180"/>
    <s v="Twitter"/>
    <d v="2025-04-30T00:00:00"/>
    <s v="Story"/>
    <s v="Wrapped is here! Relive your top tracks 🎧"/>
    <n v="3929"/>
    <n v="275"/>
    <n v="330"/>
    <n v="58329"/>
    <n v="33196"/>
    <n v="85"/>
    <x v="3"/>
    <s v="ChillVibes"/>
  </r>
  <r>
    <s v="SP180"/>
    <s v="Twitter"/>
    <d v="2025-04-30T00:00:00"/>
    <s v="Story"/>
    <s v="Wrapped is here! Relive your top tracks 🎧"/>
    <n v="3929"/>
    <n v="275"/>
    <n v="330"/>
    <n v="58329"/>
    <n v="33196"/>
    <n v="85"/>
    <x v="1"/>
    <s v="ChillVibes"/>
  </r>
  <r>
    <s v="SP181"/>
    <s v="Twitter"/>
    <d v="2024-03-19T00:00:00"/>
    <s v="Text"/>
    <s v="From pop to podcasts, it's all here."/>
    <n v="2191"/>
    <n v="288"/>
    <n v="83"/>
    <n v="59606"/>
    <n v="24765"/>
    <n v="281"/>
    <x v="0"/>
    <s v="IndieWave"/>
  </r>
  <r>
    <s v="SP182"/>
    <s v="Instagram"/>
    <d v="2024-03-19T00:00:00"/>
    <s v="Text"/>
    <s v="From pop to podcasts, it's all here."/>
    <n v="2878"/>
    <n v="278"/>
    <n v="255"/>
    <n v="47235"/>
    <n v="57922"/>
    <n v="112"/>
    <x v="0"/>
    <s v="ChillVibes"/>
  </r>
  <r>
    <s v="SP182"/>
    <s v="Instagram"/>
    <d v="2024-03-19T00:00:00"/>
    <s v="Text"/>
    <s v="From pop to podcasts, it's all here."/>
    <n v="2878"/>
    <n v="278"/>
    <n v="255"/>
    <n v="47235"/>
    <n v="57922"/>
    <n v="112"/>
    <x v="1"/>
    <s v="ChillVibes"/>
  </r>
  <r>
    <s v="SP183"/>
    <s v="Twitter"/>
    <d v="2024-07-23T00:00:00"/>
    <s v="Text"/>
    <s v="Top trending tracks updated daily!"/>
    <n v="3204"/>
    <n v="398"/>
    <n v="85"/>
    <n v="22020"/>
    <n v="58353"/>
    <n v="286"/>
    <x v="0"/>
    <s v="IndieWave"/>
  </r>
  <r>
    <s v="SP184"/>
    <s v="Twitter"/>
    <d v="2024-07-13T00:00:00"/>
    <s v="Story"/>
    <s v="Get into the groove with our new drop!"/>
    <n v="2408"/>
    <n v="323"/>
    <n v="251"/>
    <n v="47599"/>
    <n v="35543"/>
    <n v="287"/>
    <x v="3"/>
    <s v="ChillVibes"/>
  </r>
  <r>
    <s v="SP184"/>
    <s v="Twitter"/>
    <d v="2024-07-13T00:00:00"/>
    <s v="Story"/>
    <s v="Get into the groove with our new drop!"/>
    <n v="2408"/>
    <n v="323"/>
    <n v="251"/>
    <n v="47599"/>
    <n v="35543"/>
    <n v="287"/>
    <x v="1"/>
    <s v="ChillVibes"/>
  </r>
  <r>
    <s v="SP185"/>
    <s v="YouTube"/>
    <d v="2025-04-22T00:00:00"/>
    <s v="Reel"/>
    <s v="New music just dropped. Hit play!"/>
    <n v="2733"/>
    <n v="297"/>
    <n v="235"/>
    <n v="37980"/>
    <n v="33058"/>
    <n v="219"/>
    <x v="2"/>
    <s v="SummerBeats"/>
  </r>
  <r>
    <s v="SP185"/>
    <s v="YouTube"/>
    <d v="2025-04-22T00:00:00"/>
    <s v="Reel"/>
    <s v="New music just dropped. Hit play!"/>
    <n v="2733"/>
    <n v="297"/>
    <n v="235"/>
    <n v="37980"/>
    <n v="33058"/>
    <n v="219"/>
    <x v="0"/>
    <s v="SummerBeats"/>
  </r>
  <r>
    <s v="SP186"/>
    <s v="Twitter"/>
    <d v="2024-06-16T00:00:00"/>
    <s v="Story"/>
    <s v="Explore the latest podcasts now."/>
    <n v="4618"/>
    <n v="312"/>
    <n v="254"/>
    <n v="22571"/>
    <n v="29453"/>
    <n v="197"/>
    <x v="3"/>
    <s v="ChillVibes"/>
  </r>
  <r>
    <s v="SP186"/>
    <s v="Twitter"/>
    <d v="2024-06-16T00:00:00"/>
    <s v="Story"/>
    <s v="Explore the latest podcasts now."/>
    <n v="4618"/>
    <n v="312"/>
    <n v="254"/>
    <n v="22571"/>
    <n v="29453"/>
    <n v="197"/>
    <x v="1"/>
    <s v="ChillVibes"/>
  </r>
  <r>
    <s v="SP187"/>
    <s v="YouTube"/>
    <d v="2025-05-18T00:00:00"/>
    <s v="Reel"/>
    <s v="Wrapped is here! Relive your top tracks 🎧"/>
    <n v="4210"/>
    <n v="319"/>
    <n v="350"/>
    <n v="37762"/>
    <n v="55162"/>
    <n v="204"/>
    <x v="2"/>
    <s v="SummerBeats"/>
  </r>
  <r>
    <s v="SP187"/>
    <s v="YouTube"/>
    <d v="2025-05-18T00:00:00"/>
    <s v="Reel"/>
    <s v="Wrapped is here! Relive your top tracks 🎧"/>
    <n v="4210"/>
    <n v="319"/>
    <n v="350"/>
    <n v="37762"/>
    <n v="55162"/>
    <n v="204"/>
    <x v="0"/>
    <s v="SummerBeats"/>
  </r>
  <r>
    <s v="SP188"/>
    <s v="Instagram"/>
    <d v="2025-06-06T00:00:00"/>
    <s v="Text"/>
    <s v="Wrapped is here! Relive your top tracks 🎧"/>
    <n v="3987"/>
    <n v="171"/>
    <n v="274"/>
    <n v="45122"/>
    <n v="65431"/>
    <n v="168"/>
    <x v="2"/>
    <s v="IndieWave"/>
  </r>
  <r>
    <s v="SP189"/>
    <s v="YouTube"/>
    <d v="2025-02-20T00:00:00"/>
    <s v="Reel"/>
    <s v="Get into the groove with our new drop!"/>
    <n v="4957"/>
    <n v="262"/>
    <n v="365"/>
    <n v="49199"/>
    <n v="40314"/>
    <n v="216"/>
    <x v="2"/>
    <s v="SummerBeats"/>
  </r>
  <r>
    <s v="SP189"/>
    <s v="YouTube"/>
    <d v="2025-02-20T00:00:00"/>
    <s v="Reel"/>
    <s v="Get into the groove with our new drop!"/>
    <n v="4957"/>
    <n v="262"/>
    <n v="365"/>
    <n v="49199"/>
    <n v="40314"/>
    <n v="216"/>
    <x v="0"/>
    <s v="SummerBeats"/>
  </r>
  <r>
    <s v="SP190"/>
    <s v="Instagram"/>
    <d v="2025-01-16T00:00:00"/>
    <s v="Text"/>
    <s v="Music that moves you-only on Spotify."/>
    <n v="2605"/>
    <n v="282"/>
    <n v="148"/>
    <n v="32201"/>
    <n v="49583"/>
    <n v="241"/>
    <x v="0"/>
    <s v="ChillVibes"/>
  </r>
  <r>
    <s v="SP190"/>
    <s v="Instagram"/>
    <d v="2025-01-16T00:00:00"/>
    <s v="Text"/>
    <s v="Music that moves you-only on Spotify."/>
    <n v="2605"/>
    <n v="282"/>
    <n v="148"/>
    <n v="32201"/>
    <n v="49583"/>
    <n v="241"/>
    <x v="1"/>
    <s v="ChillVibes"/>
  </r>
  <r>
    <s v="SP191"/>
    <s v="YouTube"/>
    <d v="2024-02-24T00:00:00"/>
    <s v="Reel"/>
    <s v="Discover fresh beats on Spotify!"/>
    <n v="4221"/>
    <n v="307"/>
    <n v="58"/>
    <n v="45080"/>
    <n v="37214"/>
    <n v="240"/>
    <x v="2"/>
    <s v="SummerBeats"/>
  </r>
  <r>
    <s v="SP191"/>
    <s v="YouTube"/>
    <d v="2024-02-24T00:00:00"/>
    <s v="Reel"/>
    <s v="Discover fresh beats on Spotify!"/>
    <n v="4221"/>
    <n v="307"/>
    <n v="58"/>
    <n v="45080"/>
    <n v="37214"/>
    <n v="240"/>
    <x v="0"/>
    <s v="SummerBeats"/>
  </r>
  <r>
    <s v="SP192"/>
    <s v="Twitter"/>
    <d v="2024-09-16T00:00:00"/>
    <s v="Story"/>
    <s v="What's your vibe today? #SpotifyHits"/>
    <n v="4422"/>
    <n v="434"/>
    <n v="156"/>
    <n v="56165"/>
    <n v="52431"/>
    <n v="173"/>
    <x v="2"/>
    <s v="ChillVibes"/>
  </r>
  <r>
    <s v="SP192"/>
    <s v="Twitter"/>
    <d v="2024-09-16T00:00:00"/>
    <s v="Story"/>
    <s v="What's your vibe today? #SpotifyHits"/>
    <n v="4422"/>
    <n v="434"/>
    <n v="156"/>
    <n v="56165"/>
    <n v="52431"/>
    <n v="173"/>
    <x v="3"/>
    <s v="ChillVibes"/>
  </r>
  <r>
    <s v="SP193"/>
    <s v="YouTube"/>
    <d v="2024-06-04T00:00:00"/>
    <s v="Reel"/>
    <s v="Wrapped is here! Relive your top tracks 🎧"/>
    <n v="1211"/>
    <n v="431"/>
    <n v="83"/>
    <n v="26532"/>
    <n v="47305"/>
    <n v="232"/>
    <x v="2"/>
    <s v="SummerBeats"/>
  </r>
  <r>
    <s v="SP193"/>
    <s v="YouTube"/>
    <d v="2024-06-04T00:00:00"/>
    <s v="Reel"/>
    <s v="Wrapped is here! Relive your top tracks 🎧"/>
    <n v="1211"/>
    <n v="431"/>
    <n v="83"/>
    <n v="26532"/>
    <n v="47305"/>
    <n v="232"/>
    <x v="0"/>
    <s v="SummerBeats"/>
  </r>
  <r>
    <s v="SP194"/>
    <s v="Twitter"/>
    <d v="2024-05-10T00:00:00"/>
    <s v="Story"/>
    <s v="Explore the latest podcasts now."/>
    <n v="2784"/>
    <n v="111"/>
    <n v="399"/>
    <n v="58366"/>
    <n v="69512"/>
    <n v="269"/>
    <x v="3"/>
    <s v="ChillVibes"/>
  </r>
  <r>
    <s v="SP194"/>
    <s v="Twitter"/>
    <d v="2024-05-10T00:00:00"/>
    <s v="Story"/>
    <s v="Explore the latest podcasts now."/>
    <n v="2784"/>
    <n v="111"/>
    <n v="399"/>
    <n v="58366"/>
    <n v="69512"/>
    <n v="269"/>
    <x v="1"/>
    <s v="ChillVibes"/>
  </r>
  <r>
    <s v="SP195"/>
    <s v="YouTube"/>
    <d v="2024-01-14T00:00:00"/>
    <s v="Text"/>
    <s v="New music just dropped. Hit play!"/>
    <n v="3634"/>
    <n v="280"/>
    <n v="399"/>
    <n v="40256"/>
    <n v="52605"/>
    <n v="213"/>
    <x v="2"/>
    <s v="IndieWave"/>
  </r>
  <r>
    <s v="SP195"/>
    <s v="YouTube"/>
    <d v="2024-01-14T00:00:00"/>
    <s v="Text"/>
    <s v="New music just dropped. Hit play!"/>
    <n v="3634"/>
    <n v="280"/>
    <n v="399"/>
    <n v="40256"/>
    <n v="52605"/>
    <n v="213"/>
    <x v="4"/>
    <s v="IndieWave"/>
  </r>
  <r>
    <s v="SP196"/>
    <s v="Instagram"/>
    <d v="2025-01-12T00:00:00"/>
    <s v="Text"/>
    <s v="From pop to podcasts, it's all here."/>
    <n v="1771"/>
    <n v="487"/>
    <n v="272"/>
    <n v="48810"/>
    <n v="48084"/>
    <n v="272"/>
    <x v="0"/>
    <s v="ChillVibes"/>
  </r>
  <r>
    <s v="SP196"/>
    <s v="Instagram"/>
    <d v="2025-01-12T00:00:00"/>
    <s v="Text"/>
    <s v="From pop to podcasts, it's all here."/>
    <n v="1771"/>
    <n v="487"/>
    <n v="272"/>
    <n v="48810"/>
    <n v="48084"/>
    <n v="272"/>
    <x v="1"/>
    <s v="ChillVibes"/>
  </r>
  <r>
    <s v="SP197"/>
    <s v="YouTube"/>
    <d v="2024-12-08T00:00:00"/>
    <s v="Text"/>
    <s v="Top trending tracks updated daily!"/>
    <n v="1424"/>
    <n v="396"/>
    <n v="312"/>
    <n v="59517"/>
    <n v="46102"/>
    <n v="239"/>
    <x v="2"/>
    <s v="IndieWave"/>
  </r>
  <r>
    <s v="SP197"/>
    <s v="YouTube"/>
    <d v="2024-12-08T00:00:00"/>
    <s v="Text"/>
    <s v="Top trending tracks updated daily!"/>
    <n v="1424"/>
    <n v="396"/>
    <n v="312"/>
    <n v="59517"/>
    <n v="46102"/>
    <n v="239"/>
    <x v="4"/>
    <s v="IndieWave"/>
  </r>
  <r>
    <s v="SP198"/>
    <s v="Twitter"/>
    <d v="2025-02-01T00:00:00"/>
    <s v="Story"/>
    <s v="Top trending tracks updated daily!"/>
    <n v="1079"/>
    <n v="265"/>
    <n v="190"/>
    <n v="43786"/>
    <n v="72428"/>
    <n v="222"/>
    <x v="0"/>
    <s v="ChillVibes"/>
  </r>
  <r>
    <s v="SP198"/>
    <s v="Twitter"/>
    <d v="2025-02-01T00:00:00"/>
    <s v="Story"/>
    <s v="Top trending tracks updated daily!"/>
    <n v="1079"/>
    <n v="265"/>
    <n v="190"/>
    <n v="43786"/>
    <n v="72428"/>
    <n v="222"/>
    <x v="1"/>
    <s v="ChillVibes"/>
  </r>
  <r>
    <s v="SP199"/>
    <s v="Twitter"/>
    <d v="2024-07-11T00:00:00"/>
    <s v="Story"/>
    <s v="Get into the groove with our new drop!"/>
    <n v="4247"/>
    <n v="179"/>
    <n v="175"/>
    <n v="32991"/>
    <n v="70120"/>
    <n v="276"/>
    <x v="0"/>
    <s v="ChillVibes"/>
  </r>
  <r>
    <s v="SP199"/>
    <s v="Twitter"/>
    <d v="2024-07-11T00:00:00"/>
    <s v="Story"/>
    <s v="Get into the groove with our new drop!"/>
    <n v="4247"/>
    <n v="179"/>
    <n v="175"/>
    <n v="32991"/>
    <n v="70120"/>
    <n v="276"/>
    <x v="1"/>
    <s v="ChillVibes"/>
  </r>
  <r>
    <s v="SP200"/>
    <s v="Twitter"/>
    <d v="2024-03-18T00:00:00"/>
    <s v="Text"/>
    <s v="New music just dropped. Hit play!"/>
    <n v="2033"/>
    <n v="420"/>
    <n v="94"/>
    <n v="56290"/>
    <n v="57391"/>
    <n v="196"/>
    <x v="1"/>
    <s v="ChillVibes"/>
  </r>
  <r>
    <s v="SP201"/>
    <s v="Twitter"/>
    <d v="2024-09-12T00:00:00"/>
    <s v="Story"/>
    <s v="Wrapped is here! Relive your top tracks 🎧"/>
    <n v="1839"/>
    <n v="223"/>
    <n v="171"/>
    <n v="35459"/>
    <n v="69988"/>
    <n v="114"/>
    <x v="3"/>
    <s v="ChillVibes"/>
  </r>
  <r>
    <s v="SP201"/>
    <s v="Twitter"/>
    <d v="2024-09-12T00:00:00"/>
    <s v="Story"/>
    <s v="Wrapped is here! Relive your top tracks 🎧"/>
    <n v="1839"/>
    <n v="223"/>
    <n v="171"/>
    <n v="35459"/>
    <n v="69988"/>
    <n v="114"/>
    <x v="1"/>
    <s v="ChillVibes"/>
  </r>
  <r>
    <s v="SP202"/>
    <s v="Twitter"/>
    <d v="2024-01-11T00:00:00"/>
    <s v="Story"/>
    <s v="Wrapped is here! Relive your top tracks 🎧"/>
    <n v="2340"/>
    <n v="141"/>
    <n v="206"/>
    <n v="24916"/>
    <n v="30582"/>
    <n v="157"/>
    <x v="0"/>
    <s v="ChillVibes"/>
  </r>
  <r>
    <s v="SP202"/>
    <s v="Twitter"/>
    <d v="2024-01-11T00:00:00"/>
    <s v="Story"/>
    <s v="Wrapped is here! Relive your top tracks 🎧"/>
    <n v="2340"/>
    <n v="141"/>
    <n v="206"/>
    <n v="24916"/>
    <n v="30582"/>
    <n v="157"/>
    <x v="1"/>
    <s v="ChillVibes"/>
  </r>
  <r>
    <s v="SP203"/>
    <s v="Instagram"/>
    <d v="2024-10-06T00:00:00"/>
    <s v="Text"/>
    <s v="Top trending tracks updated daily!"/>
    <n v="2080"/>
    <n v="389"/>
    <n v="92"/>
    <n v="30971"/>
    <n v="25347"/>
    <n v="111"/>
    <x v="2"/>
    <s v="IndieWave"/>
  </r>
  <r>
    <s v="SP204"/>
    <s v="Twitter"/>
    <d v="2024-12-30T00:00:00"/>
    <s v="Text"/>
    <s v="Get into the groove with our new drop!"/>
    <n v="4214"/>
    <n v="286"/>
    <n v="127"/>
    <n v="47293"/>
    <n v="27184"/>
    <n v="232"/>
    <x v="1"/>
    <s v="ChillVibes"/>
  </r>
  <r>
    <s v="SP205"/>
    <s v="Twitter"/>
    <d v="2025-04-16T00:00:00"/>
    <s v="Text"/>
    <s v="Wrapped is here! Relive your top tracks 🎧"/>
    <n v="3792"/>
    <n v="315"/>
    <n v="120"/>
    <n v="54592"/>
    <n v="67886"/>
    <n v="117"/>
    <x v="0"/>
    <s v="IndieWave"/>
  </r>
  <r>
    <s v="SP206"/>
    <s v="Twitter"/>
    <d v="2024-08-21T00:00:00"/>
    <s v="Story"/>
    <s v="Explore the latest podcasts now."/>
    <n v="3989"/>
    <n v="476"/>
    <n v="128"/>
    <n v="57569"/>
    <n v="40193"/>
    <n v="222"/>
    <x v="2"/>
    <s v="ChillVibes"/>
  </r>
  <r>
    <s v="SP206"/>
    <s v="Twitter"/>
    <d v="2024-08-21T00:00:00"/>
    <s v="Story"/>
    <s v="Explore the latest podcasts now."/>
    <n v="3989"/>
    <n v="476"/>
    <n v="128"/>
    <n v="57569"/>
    <n v="40193"/>
    <n v="222"/>
    <x v="3"/>
    <s v="ChillVibes"/>
  </r>
  <r>
    <s v="SP207"/>
    <s v="Twitter"/>
    <d v="2024-04-05T00:00:00"/>
    <s v="Story"/>
    <s v="Wrapped is here! Relive your top tracks 🎧"/>
    <n v="2857"/>
    <n v="443"/>
    <n v="359"/>
    <n v="51519"/>
    <n v="28256"/>
    <n v="155"/>
    <x v="0"/>
    <s v="ChillVibes"/>
  </r>
  <r>
    <s v="SP207"/>
    <s v="Twitter"/>
    <d v="2024-04-05T00:00:00"/>
    <s v="Story"/>
    <s v="Wrapped is here! Relive your top tracks 🎧"/>
    <n v="2857"/>
    <n v="443"/>
    <n v="359"/>
    <n v="51519"/>
    <n v="28256"/>
    <n v="155"/>
    <x v="1"/>
    <s v="ChillVibes"/>
  </r>
  <r>
    <s v="SP208"/>
    <s v="Twitter"/>
    <d v="2025-04-07T00:00:00"/>
    <s v="Text"/>
    <s v="From pop to podcasts, it's all here."/>
    <n v="1403"/>
    <n v="385"/>
    <n v="344"/>
    <n v="54223"/>
    <n v="72595"/>
    <n v="239"/>
    <x v="0"/>
    <s v="IndieWave"/>
  </r>
  <r>
    <s v="SP209"/>
    <s v="Twitter"/>
    <d v="2024-07-19T00:00:00"/>
    <s v="Story"/>
    <s v="What's your vibe today? #SpotifyHits"/>
    <n v="3071"/>
    <n v="126"/>
    <n v="200"/>
    <n v="44013"/>
    <n v="44679"/>
    <n v="118"/>
    <x v="2"/>
    <s v="ChillVibes"/>
  </r>
  <r>
    <s v="SP209"/>
    <s v="Twitter"/>
    <d v="2024-07-19T00:00:00"/>
    <s v="Story"/>
    <s v="What's your vibe today? #SpotifyHits"/>
    <n v="3071"/>
    <n v="126"/>
    <n v="200"/>
    <n v="44013"/>
    <n v="44679"/>
    <n v="118"/>
    <x v="3"/>
    <s v="ChillVibes"/>
  </r>
  <r>
    <s v="SP210"/>
    <s v="Twitter"/>
    <d v="2025-05-03T00:00:00"/>
    <s v="Story"/>
    <s v="Top trending tracks updated daily!"/>
    <n v="1010"/>
    <n v="361"/>
    <n v="240"/>
    <n v="47229"/>
    <n v="72573"/>
    <n v="275"/>
    <x v="0"/>
    <s v="ChillVibes"/>
  </r>
  <r>
    <s v="SP210"/>
    <s v="Twitter"/>
    <d v="2025-05-03T00:00:00"/>
    <s v="Story"/>
    <s v="Top trending tracks updated daily!"/>
    <n v="1010"/>
    <n v="361"/>
    <n v="240"/>
    <n v="47229"/>
    <n v="72573"/>
    <n v="275"/>
    <x v="1"/>
    <s v="ChillVibes"/>
  </r>
  <r>
    <s v="SP211"/>
    <s v="Twitter"/>
    <d v="2024-04-14T00:00:00"/>
    <s v="Story"/>
    <s v="Discover fresh beats on Spotify!"/>
    <n v="1295"/>
    <n v="153"/>
    <n v="81"/>
    <n v="48350"/>
    <n v="61033"/>
    <n v="232"/>
    <x v="2"/>
    <s v="ChillVibes"/>
  </r>
  <r>
    <s v="SP211"/>
    <s v="Twitter"/>
    <d v="2024-04-14T00:00:00"/>
    <s v="Story"/>
    <s v="Discover fresh beats on Spotify!"/>
    <n v="1295"/>
    <n v="153"/>
    <n v="81"/>
    <n v="48350"/>
    <n v="61033"/>
    <n v="232"/>
    <x v="3"/>
    <s v="ChillVibes"/>
  </r>
  <r>
    <s v="SP212"/>
    <s v="Twitter"/>
    <d v="2025-06-19T00:00:00"/>
    <s v="Story"/>
    <s v="What's your vibe today? #SpotifyHits"/>
    <n v="1433"/>
    <n v="452"/>
    <n v="305"/>
    <n v="54541"/>
    <n v="63700"/>
    <n v="296"/>
    <x v="2"/>
    <s v="ChillVibes"/>
  </r>
  <r>
    <s v="SP212"/>
    <s v="Twitter"/>
    <d v="2025-06-19T00:00:00"/>
    <s v="Story"/>
    <s v="What's your vibe today? #SpotifyHits"/>
    <n v="1433"/>
    <n v="452"/>
    <n v="305"/>
    <n v="54541"/>
    <n v="63700"/>
    <n v="296"/>
    <x v="3"/>
    <s v="ChillVibes"/>
  </r>
  <r>
    <s v="SP213"/>
    <s v="Instagram"/>
    <d v="2025-06-24T00:00:00"/>
    <s v="Story"/>
    <s v="Get into the groove with our new drop!"/>
    <n v="4902"/>
    <n v="422"/>
    <n v="376"/>
    <n v="31674"/>
    <n v="53225"/>
    <n v="147"/>
    <x v="1"/>
    <s v="Wrapped2024"/>
  </r>
  <r>
    <s v="SP214"/>
    <s v="Twitter"/>
    <d v="2024-10-09T00:00:00"/>
    <s v="Text"/>
    <s v="Wrapped is here! Relive your top tracks 🎧"/>
    <n v="2659"/>
    <n v="167"/>
    <n v="73"/>
    <n v="23090"/>
    <n v="25872"/>
    <n v="293"/>
    <x v="0"/>
    <s v="IndieWave"/>
  </r>
  <r>
    <s v="SP215"/>
    <s v="YouTube"/>
    <d v="2025-01-15T00:00:00"/>
    <s v="Text"/>
    <s v="Your weekend playlist is waiting."/>
    <n v="2599"/>
    <n v="324"/>
    <n v="182"/>
    <n v="37525"/>
    <n v="37216"/>
    <n v="186"/>
    <x v="2"/>
    <s v="IndieWave"/>
  </r>
  <r>
    <s v="SP215"/>
    <s v="YouTube"/>
    <d v="2025-01-15T00:00:00"/>
    <s v="Text"/>
    <s v="Your weekend playlist is waiting."/>
    <n v="2599"/>
    <n v="324"/>
    <n v="182"/>
    <n v="37525"/>
    <n v="37216"/>
    <n v="186"/>
    <x v="4"/>
    <s v="IndieWave"/>
  </r>
  <r>
    <s v="SP216"/>
    <s v="Twitter"/>
    <d v="2025-01-12T00:00:00"/>
    <s v="Text"/>
    <s v="Music that moves you-only on Spotify."/>
    <n v="1765"/>
    <n v="285"/>
    <n v="100"/>
    <n v="41313"/>
    <n v="56575"/>
    <n v="174"/>
    <x v="0"/>
    <s v="IndieWave"/>
  </r>
  <r>
    <s v="SP217"/>
    <s v="Instagram"/>
    <d v="2025-05-31T00:00:00"/>
    <s v="Text"/>
    <s v="What's your vibe today? #SpotifyHits"/>
    <n v="2169"/>
    <n v="240"/>
    <n v="57"/>
    <n v="26109"/>
    <n v="46667"/>
    <n v="133"/>
    <x v="0"/>
    <s v="ChillVibes"/>
  </r>
  <r>
    <s v="SP217"/>
    <s v="Instagram"/>
    <d v="2025-05-31T00:00:00"/>
    <s v="Text"/>
    <s v="What's your vibe today? #SpotifyHits"/>
    <n v="2169"/>
    <n v="240"/>
    <n v="57"/>
    <n v="26109"/>
    <n v="46667"/>
    <n v="133"/>
    <x v="1"/>
    <s v="ChillVibes"/>
  </r>
  <r>
    <s v="SP218"/>
    <s v="Twitter"/>
    <d v="2024-10-14T00:00:00"/>
    <s v="Story"/>
    <s v="Explore the latest podcasts now."/>
    <n v="4303"/>
    <n v="306"/>
    <n v="302"/>
    <n v="39575"/>
    <n v="33762"/>
    <n v="265"/>
    <x v="2"/>
    <s v="ChillVibes"/>
  </r>
  <r>
    <s v="SP218"/>
    <s v="Twitter"/>
    <d v="2024-10-14T00:00:00"/>
    <s v="Story"/>
    <s v="Explore the latest podcasts now."/>
    <n v="4303"/>
    <n v="306"/>
    <n v="302"/>
    <n v="39575"/>
    <n v="33762"/>
    <n v="265"/>
    <x v="3"/>
    <s v="ChillVibes"/>
  </r>
  <r>
    <s v="SP219"/>
    <s v="Twitter"/>
    <d v="2024-02-10T00:00:00"/>
    <s v="Text"/>
    <s v="From pop to podcasts, it's all here."/>
    <n v="1519"/>
    <n v="456"/>
    <n v="379"/>
    <n v="51611"/>
    <n v="45880"/>
    <n v="176"/>
    <x v="0"/>
    <s v="IndieWave"/>
  </r>
  <r>
    <s v="SP220"/>
    <s v="YouTube"/>
    <d v="2024-12-10T00:00:00"/>
    <s v="Text"/>
    <s v="What's your vibe today? #SpotifyHits"/>
    <n v="2569"/>
    <n v="140"/>
    <n v="375"/>
    <n v="38372"/>
    <n v="22102"/>
    <n v="255"/>
    <x v="2"/>
    <s v="IndieWave"/>
  </r>
  <r>
    <s v="SP220"/>
    <s v="YouTube"/>
    <d v="2024-12-10T00:00:00"/>
    <s v="Text"/>
    <s v="What's your vibe today? #SpotifyHits"/>
    <n v="2569"/>
    <n v="140"/>
    <n v="375"/>
    <n v="38372"/>
    <n v="22102"/>
    <n v="255"/>
    <x v="4"/>
    <s v="IndieWave"/>
  </r>
  <r>
    <s v="SP221"/>
    <s v="Twitter"/>
    <d v="2025-05-09T00:00:00"/>
    <s v="Story"/>
    <s v="Music that moves you-only on Spotify."/>
    <n v="2778"/>
    <n v="241"/>
    <n v="317"/>
    <n v="26247"/>
    <n v="20677"/>
    <n v="282"/>
    <x v="3"/>
    <s v="ChillVibes"/>
  </r>
  <r>
    <s v="SP221"/>
    <s v="Twitter"/>
    <d v="2025-05-09T00:00:00"/>
    <s v="Story"/>
    <s v="Music that moves you-only on Spotify."/>
    <n v="2778"/>
    <n v="241"/>
    <n v="317"/>
    <n v="26247"/>
    <n v="20677"/>
    <n v="282"/>
    <x v="1"/>
    <s v="ChillVibes"/>
  </r>
  <r>
    <s v="SP222"/>
    <s v="Twitter"/>
    <d v="2025-06-21T00:00:00"/>
    <s v="Text"/>
    <s v="Explore the latest podcasts now."/>
    <n v="3611"/>
    <n v="127"/>
    <n v="139"/>
    <n v="44768"/>
    <n v="29435"/>
    <n v="178"/>
    <x v="1"/>
    <s v="ChillVibes"/>
  </r>
  <r>
    <s v="SP223"/>
    <s v="Twitter"/>
    <d v="2024-06-19T00:00:00"/>
    <s v="Text"/>
    <s v="What's your vibe today? #SpotifyHits"/>
    <n v="1224"/>
    <n v="168"/>
    <n v="199"/>
    <n v="54232"/>
    <n v="52844"/>
    <n v="271"/>
    <x v="0"/>
    <s v="IndieWave"/>
  </r>
  <r>
    <s v="SP224"/>
    <s v="Twitter"/>
    <d v="2024-12-10T00:00:00"/>
    <s v="Text"/>
    <s v="From pop to podcasts, it's all here."/>
    <n v="4673"/>
    <n v="270"/>
    <n v="93"/>
    <n v="45260"/>
    <n v="57513"/>
    <n v="103"/>
    <x v="1"/>
    <s v="ChillVibes"/>
  </r>
  <r>
    <s v="SP225"/>
    <s v="YouTube"/>
    <d v="2024-02-01T00:00:00"/>
    <s v="Text"/>
    <s v="Wrapped is here! Relive your top tracks 🎧"/>
    <n v="1432"/>
    <n v="437"/>
    <n v="267"/>
    <n v="40634"/>
    <n v="54511"/>
    <n v="197"/>
    <x v="2"/>
    <s v="IndieWave"/>
  </r>
  <r>
    <s v="SP225"/>
    <s v="YouTube"/>
    <d v="2024-02-01T00:00:00"/>
    <s v="Text"/>
    <s v="Wrapped is here! Relive your top tracks 🎧"/>
    <n v="1432"/>
    <n v="437"/>
    <n v="267"/>
    <n v="40634"/>
    <n v="54511"/>
    <n v="197"/>
    <x v="4"/>
    <s v="IndieWave"/>
  </r>
  <r>
    <s v="SP226"/>
    <s v="Twitter"/>
    <d v="2024-01-17T00:00:00"/>
    <s v="Story"/>
    <s v="New music just dropped. Hit play!"/>
    <n v="2174"/>
    <n v="499"/>
    <n v="212"/>
    <n v="54938"/>
    <n v="27190"/>
    <n v="265"/>
    <x v="3"/>
    <s v="ChillVibes"/>
  </r>
  <r>
    <s v="SP226"/>
    <s v="Twitter"/>
    <d v="2024-01-17T00:00:00"/>
    <s v="Story"/>
    <s v="New music just dropped. Hit play!"/>
    <n v="2174"/>
    <n v="499"/>
    <n v="212"/>
    <n v="54938"/>
    <n v="27190"/>
    <n v="265"/>
    <x v="1"/>
    <s v="ChillVibes"/>
  </r>
  <r>
    <s v="SP227"/>
    <s v="YouTube"/>
    <d v="2025-03-22T00:00:00"/>
    <s v="Text"/>
    <s v="Music that moves you-only on Spotify."/>
    <n v="4308"/>
    <n v="171"/>
    <n v="106"/>
    <n v="36955"/>
    <n v="23949"/>
    <n v="294"/>
    <x v="2"/>
    <s v="IndieWave"/>
  </r>
  <r>
    <s v="SP227"/>
    <s v="YouTube"/>
    <d v="2025-03-22T00:00:00"/>
    <s v="Text"/>
    <s v="Music that moves you-only on Spotify."/>
    <n v="4308"/>
    <n v="171"/>
    <n v="106"/>
    <n v="36955"/>
    <n v="23949"/>
    <n v="294"/>
    <x v="4"/>
    <s v="IndieWave"/>
  </r>
  <r>
    <s v="SP228"/>
    <s v="YouTube"/>
    <d v="2024-05-30T00:00:00"/>
    <s v="Reel"/>
    <s v="What's your vibe today? #SpotifyHits"/>
    <n v="1060"/>
    <n v="442"/>
    <n v="319"/>
    <n v="57194"/>
    <n v="24258"/>
    <n v="101"/>
    <x v="2"/>
    <s v="SummerBeats"/>
  </r>
  <r>
    <s v="SP228"/>
    <s v="YouTube"/>
    <d v="2024-05-30T00:00:00"/>
    <s v="Reel"/>
    <s v="What's your vibe today? #SpotifyHits"/>
    <n v="1060"/>
    <n v="442"/>
    <n v="319"/>
    <n v="57194"/>
    <n v="24258"/>
    <n v="101"/>
    <x v="0"/>
    <s v="SummerBeats"/>
  </r>
  <r>
    <s v="SP229"/>
    <s v="YouTube"/>
    <d v="2024-02-24T00:00:00"/>
    <s v="Text"/>
    <s v="Music that moves you-only on Spotify."/>
    <n v="4653"/>
    <n v="226"/>
    <n v="349"/>
    <n v="56876"/>
    <n v="28452"/>
    <n v="257"/>
    <x v="2"/>
    <s v="IndieWave"/>
  </r>
  <r>
    <s v="SP229"/>
    <s v="YouTube"/>
    <d v="2024-02-24T00:00:00"/>
    <s v="Text"/>
    <s v="Music that moves you-only on Spotify."/>
    <n v="4653"/>
    <n v="226"/>
    <n v="349"/>
    <n v="56876"/>
    <n v="28452"/>
    <n v="257"/>
    <x v="4"/>
    <s v="IndieWave"/>
  </r>
  <r>
    <s v="SP230"/>
    <s v="YouTube"/>
    <d v="2025-05-14T00:00:00"/>
    <s v="Text"/>
    <s v="Discover fresh beats on Spotify!"/>
    <n v="1701"/>
    <n v="272"/>
    <n v="385"/>
    <n v="47496"/>
    <n v="40832"/>
    <n v="246"/>
    <x v="2"/>
    <s v="IndieWave"/>
  </r>
  <r>
    <s v="SP230"/>
    <s v="YouTube"/>
    <d v="2025-05-14T00:00:00"/>
    <s v="Text"/>
    <s v="Discover fresh beats on Spotify!"/>
    <n v="1701"/>
    <n v="272"/>
    <n v="385"/>
    <n v="47496"/>
    <n v="40832"/>
    <n v="246"/>
    <x v="4"/>
    <s v="IndieWave"/>
  </r>
  <r>
    <s v="SP231"/>
    <s v="Instagram"/>
    <d v="2024-03-28T00:00:00"/>
    <s v="Text"/>
    <s v="What's your vibe today? #SpotifyHits"/>
    <n v="1673"/>
    <n v="280"/>
    <n v="67"/>
    <n v="29847"/>
    <n v="48016"/>
    <n v="213"/>
    <x v="0"/>
    <s v="ChillVibes"/>
  </r>
  <r>
    <s v="SP231"/>
    <s v="Instagram"/>
    <d v="2024-03-28T00:00:00"/>
    <s v="Text"/>
    <s v="What's your vibe today? #SpotifyHits"/>
    <n v="1673"/>
    <n v="280"/>
    <n v="67"/>
    <n v="29847"/>
    <n v="48016"/>
    <n v="213"/>
    <x v="1"/>
    <s v="ChillVibes"/>
  </r>
  <r>
    <s v="SP232"/>
    <s v="YouTube"/>
    <d v="2025-03-07T00:00:00"/>
    <s v="Text"/>
    <s v="Top trending tracks updated daily!"/>
    <n v="4310"/>
    <n v="284"/>
    <n v="306"/>
    <n v="44606"/>
    <n v="42604"/>
    <n v="290"/>
    <x v="2"/>
    <s v="IndieWave"/>
  </r>
  <r>
    <s v="SP232"/>
    <s v="YouTube"/>
    <d v="2025-03-07T00:00:00"/>
    <s v="Text"/>
    <s v="Top trending tracks updated daily!"/>
    <n v="4310"/>
    <n v="284"/>
    <n v="306"/>
    <n v="44606"/>
    <n v="42604"/>
    <n v="290"/>
    <x v="4"/>
    <s v="IndieWave"/>
  </r>
  <r>
    <s v="SP233"/>
    <s v="Twitter"/>
    <d v="2024-10-20T00:00:00"/>
    <s v="Text"/>
    <s v="From pop to podcasts, it's all here."/>
    <n v="2752"/>
    <n v="309"/>
    <n v="91"/>
    <n v="39038"/>
    <n v="28095"/>
    <n v="277"/>
    <x v="1"/>
    <s v="ChillVibes"/>
  </r>
  <r>
    <s v="SP234"/>
    <s v="Twitter"/>
    <d v="2024-02-02T00:00:00"/>
    <s v="Text"/>
    <s v="From pop to podcasts, it's all here."/>
    <n v="3818"/>
    <n v="115"/>
    <n v="286"/>
    <n v="25127"/>
    <n v="22277"/>
    <n v="263"/>
    <x v="1"/>
    <s v="ChillVibes"/>
  </r>
  <r>
    <s v="SP235"/>
    <s v="YouTube"/>
    <d v="2024-09-07T00:00:00"/>
    <s v="Text"/>
    <s v="Your weekend playlist is waiting."/>
    <n v="2101"/>
    <n v="411"/>
    <n v="190"/>
    <n v="41791"/>
    <n v="57090"/>
    <n v="172"/>
    <x v="2"/>
    <s v="IndieWave"/>
  </r>
  <r>
    <s v="SP235"/>
    <s v="YouTube"/>
    <d v="2024-09-07T00:00:00"/>
    <s v="Text"/>
    <s v="Your weekend playlist is waiting."/>
    <n v="2101"/>
    <n v="411"/>
    <n v="190"/>
    <n v="41791"/>
    <n v="57090"/>
    <n v="172"/>
    <x v="4"/>
    <s v="IndieWave"/>
  </r>
  <r>
    <s v="SP236"/>
    <s v="Instagram"/>
    <d v="2024-12-20T00:00:00"/>
    <s v="Text"/>
    <s v="Discover fresh beats on Spotify!"/>
    <n v="2519"/>
    <n v="202"/>
    <n v="239"/>
    <n v="36245"/>
    <n v="48606"/>
    <n v="145"/>
    <x v="2"/>
    <s v="IndieWave"/>
  </r>
  <r>
    <s v="SP237"/>
    <s v="YouTube"/>
    <d v="2024-01-14T00:00:00"/>
    <s v="Text"/>
    <s v="What's your vibe today? #SpotifyHits"/>
    <n v="4502"/>
    <n v="238"/>
    <n v="386"/>
    <n v="39198"/>
    <n v="25050"/>
    <n v="297"/>
    <x v="2"/>
    <s v="IndieWave"/>
  </r>
  <r>
    <s v="SP237"/>
    <s v="YouTube"/>
    <d v="2024-01-14T00:00:00"/>
    <s v="Text"/>
    <s v="What's your vibe today? #SpotifyHits"/>
    <n v="4502"/>
    <n v="238"/>
    <n v="386"/>
    <n v="39198"/>
    <n v="25050"/>
    <n v="297"/>
    <x v="4"/>
    <s v="IndieWave"/>
  </r>
  <r>
    <s v="SP238"/>
    <s v="Instagram"/>
    <d v="2025-06-15T00:00:00"/>
    <s v="Text"/>
    <s v="Explore the latest podcasts now."/>
    <n v="2478"/>
    <n v="427"/>
    <n v="242"/>
    <n v="59272"/>
    <n v="37833"/>
    <n v="214"/>
    <x v="0"/>
    <s v="ChillVibes"/>
  </r>
  <r>
    <s v="SP238"/>
    <s v="Instagram"/>
    <d v="2025-06-15T00:00:00"/>
    <s v="Text"/>
    <s v="Explore the latest podcasts now."/>
    <n v="2478"/>
    <n v="427"/>
    <n v="242"/>
    <n v="59272"/>
    <n v="37833"/>
    <n v="214"/>
    <x v="1"/>
    <s v="ChillVibes"/>
  </r>
  <r>
    <s v="SP239"/>
    <s v="Twitter"/>
    <d v="2024-12-13T00:00:00"/>
    <s v="Story"/>
    <s v="New music just dropped. Hit play!"/>
    <n v="4984"/>
    <n v="300"/>
    <n v="338"/>
    <n v="32900"/>
    <n v="31691"/>
    <n v="160"/>
    <x v="3"/>
    <s v="ChillVibes"/>
  </r>
  <r>
    <s v="SP239"/>
    <s v="Twitter"/>
    <d v="2024-12-13T00:00:00"/>
    <s v="Story"/>
    <s v="New music just dropped. Hit play!"/>
    <n v="4984"/>
    <n v="300"/>
    <n v="338"/>
    <n v="32900"/>
    <n v="31691"/>
    <n v="160"/>
    <x v="1"/>
    <s v="ChillVibes"/>
  </r>
  <r>
    <s v="SP240"/>
    <s v="YouTube"/>
    <d v="2024-08-29T00:00:00"/>
    <s v="Text"/>
    <s v="Wrapped is here! Relive your top tracks 🎧"/>
    <n v="4774"/>
    <n v="389"/>
    <n v="358"/>
    <n v="52346"/>
    <n v="30518"/>
    <n v="277"/>
    <x v="2"/>
    <s v="IndieWave"/>
  </r>
  <r>
    <s v="SP240"/>
    <s v="YouTube"/>
    <d v="2024-08-29T00:00:00"/>
    <s v="Text"/>
    <s v="Wrapped is here! Relive your top tracks 🎧"/>
    <n v="4774"/>
    <n v="389"/>
    <n v="358"/>
    <n v="52346"/>
    <n v="30518"/>
    <n v="277"/>
    <x v="4"/>
    <s v="IndieWave"/>
  </r>
  <r>
    <s v="SP241"/>
    <s v="Twitter"/>
    <d v="2024-09-15T00:00:00"/>
    <s v="Text"/>
    <s v="Get into the groove with our new drop!"/>
    <n v="2145"/>
    <n v="340"/>
    <n v="85"/>
    <n v="53323"/>
    <n v="49938"/>
    <n v="104"/>
    <x v="1"/>
    <s v="ChillVibes"/>
  </r>
  <r>
    <s v="SP242"/>
    <s v="Twitter"/>
    <d v="2025-04-12T00:00:00"/>
    <s v="Story"/>
    <s v="From pop to podcasts, it's all here."/>
    <n v="4315"/>
    <n v="208"/>
    <n v="273"/>
    <n v="35780"/>
    <n v="44349"/>
    <n v="133"/>
    <x v="2"/>
    <s v="ChillVibes"/>
  </r>
  <r>
    <s v="SP242"/>
    <s v="Twitter"/>
    <d v="2025-04-12T00:00:00"/>
    <s v="Story"/>
    <s v="From pop to podcasts, it's all here."/>
    <n v="4315"/>
    <n v="208"/>
    <n v="273"/>
    <n v="35780"/>
    <n v="44349"/>
    <n v="133"/>
    <x v="3"/>
    <s v="ChillVibes"/>
  </r>
  <r>
    <s v="SP243"/>
    <s v="Twitter"/>
    <d v="2024-12-10T00:00:00"/>
    <s v="Story"/>
    <s v="Wrapped is here! Relive your top tracks 🎧"/>
    <n v="2267"/>
    <n v="230"/>
    <n v="243"/>
    <n v="27904"/>
    <n v="69771"/>
    <n v="255"/>
    <x v="2"/>
    <s v="ChillVibes"/>
  </r>
  <r>
    <s v="SP243"/>
    <s v="Twitter"/>
    <d v="2024-12-10T00:00:00"/>
    <s v="Story"/>
    <s v="Wrapped is here! Relive your top tracks 🎧"/>
    <n v="2267"/>
    <n v="230"/>
    <n v="243"/>
    <n v="27904"/>
    <n v="69771"/>
    <n v="255"/>
    <x v="3"/>
    <s v="ChillVibes"/>
  </r>
  <r>
    <s v="SP244"/>
    <s v="YouTube"/>
    <d v="2025-06-08T00:00:00"/>
    <s v="Text"/>
    <s v="Music that moves you-only on Spotify."/>
    <n v="4375"/>
    <n v="303"/>
    <n v="294"/>
    <n v="57468"/>
    <n v="53397"/>
    <n v="159"/>
    <x v="2"/>
    <s v="IndieWave"/>
  </r>
  <r>
    <s v="SP244"/>
    <s v="YouTube"/>
    <d v="2025-06-08T00:00:00"/>
    <s v="Text"/>
    <s v="Music that moves you-only on Spotify."/>
    <n v="4375"/>
    <n v="303"/>
    <n v="294"/>
    <n v="57468"/>
    <n v="53397"/>
    <n v="159"/>
    <x v="4"/>
    <s v="IndieWave"/>
  </r>
  <r>
    <s v="SP245"/>
    <s v="Twitter"/>
    <d v="2025-01-09T00:00:00"/>
    <s v="Story"/>
    <s v="Your weekend playlist is waiting."/>
    <n v="3817"/>
    <n v="284"/>
    <n v="204"/>
    <n v="46434"/>
    <n v="53396"/>
    <n v="104"/>
    <x v="3"/>
    <s v="ChillVibes"/>
  </r>
  <r>
    <s v="SP245"/>
    <s v="Twitter"/>
    <d v="2025-01-09T00:00:00"/>
    <s v="Story"/>
    <s v="Your weekend playlist is waiting."/>
    <n v="3817"/>
    <n v="284"/>
    <n v="204"/>
    <n v="46434"/>
    <n v="53396"/>
    <n v="104"/>
    <x v="1"/>
    <s v="ChillVibes"/>
  </r>
  <r>
    <s v="SP246"/>
    <s v="Twitter"/>
    <d v="2024-07-08T00:00:00"/>
    <s v="Story"/>
    <s v="Top trending tracks updated daily!"/>
    <n v="2981"/>
    <n v="258"/>
    <n v="168"/>
    <n v="20677"/>
    <n v="68290"/>
    <n v="130"/>
    <x v="0"/>
    <s v="ChillVibes"/>
  </r>
  <r>
    <s v="SP246"/>
    <s v="Twitter"/>
    <d v="2024-07-08T00:00:00"/>
    <s v="Story"/>
    <s v="Top trending tracks updated daily!"/>
    <n v="2981"/>
    <n v="258"/>
    <n v="168"/>
    <n v="20677"/>
    <n v="68290"/>
    <n v="130"/>
    <x v="1"/>
    <s v="ChillVibes"/>
  </r>
  <r>
    <s v="SP247"/>
    <s v="Twitter"/>
    <d v="2024-09-16T00:00:00"/>
    <s v="Story"/>
    <s v="Your weekend playlist is waiting."/>
    <n v="3300"/>
    <n v="354"/>
    <n v="397"/>
    <n v="56773"/>
    <n v="72110"/>
    <n v="163"/>
    <x v="2"/>
    <s v="ChillVibes"/>
  </r>
  <r>
    <s v="SP247"/>
    <s v="Twitter"/>
    <d v="2024-09-16T00:00:00"/>
    <s v="Story"/>
    <s v="Your weekend playlist is waiting."/>
    <n v="3300"/>
    <n v="354"/>
    <n v="397"/>
    <n v="56773"/>
    <n v="72110"/>
    <n v="163"/>
    <x v="3"/>
    <s v="ChillVibes"/>
  </r>
  <r>
    <s v="SP248"/>
    <s v="YouTube"/>
    <d v="2024-06-14T00:00:00"/>
    <s v="Reel"/>
    <s v="Wrapped is here! Relive your top tracks 🎧"/>
    <n v="4722"/>
    <n v="310"/>
    <n v="344"/>
    <n v="27911"/>
    <n v="19000"/>
    <n v="225"/>
    <x v="2"/>
    <s v="SummerBeats"/>
  </r>
  <r>
    <s v="SP248"/>
    <s v="YouTube"/>
    <d v="2024-06-14T00:00:00"/>
    <s v="Reel"/>
    <s v="Wrapped is here! Relive your top tracks 🎧"/>
    <n v="4722"/>
    <n v="310"/>
    <n v="344"/>
    <n v="27911"/>
    <n v="19000"/>
    <n v="225"/>
    <x v="0"/>
    <s v="SummerBeats"/>
  </r>
  <r>
    <s v="SP249"/>
    <s v="Instagram"/>
    <d v="2024-03-06T00:00:00"/>
    <s v="Text"/>
    <s v="What's your vibe today? #SpotifyHits"/>
    <n v="3529"/>
    <n v="263"/>
    <n v="107"/>
    <n v="26570"/>
    <n v="19367"/>
    <n v="96"/>
    <x v="2"/>
    <s v="IndieWave"/>
  </r>
  <r>
    <s v="SP250"/>
    <s v="Twitter"/>
    <d v="2025-05-15T00:00:00"/>
    <s v="Text"/>
    <s v="Your weekend playlist is waiting."/>
    <n v="4782"/>
    <n v="210"/>
    <n v="311"/>
    <n v="29793"/>
    <n v="37543"/>
    <n v="145"/>
    <x v="1"/>
    <s v="ChillVibes"/>
  </r>
  <r>
    <s v="SP251"/>
    <s v="Twitter"/>
    <d v="2024-07-07T00:00:00"/>
    <s v="Text"/>
    <s v="What's your vibe today? #SpotifyHits"/>
    <n v="1848"/>
    <n v="417"/>
    <n v="294"/>
    <n v="57819"/>
    <n v="19798"/>
    <n v="262"/>
    <x v="0"/>
    <s v="IndieWave"/>
  </r>
  <r>
    <s v="SP252"/>
    <s v="YouTube"/>
    <d v="2024-10-26T00:00:00"/>
    <s v="Text"/>
    <s v="New music just dropped. Hit play!"/>
    <n v="4676"/>
    <n v="211"/>
    <n v="55"/>
    <n v="45917"/>
    <n v="73503"/>
    <n v="248"/>
    <x v="2"/>
    <s v="IndieWave"/>
  </r>
  <r>
    <s v="SP252"/>
    <s v="YouTube"/>
    <d v="2024-10-26T00:00:00"/>
    <s v="Text"/>
    <s v="New music just dropped. Hit play!"/>
    <n v="4676"/>
    <n v="211"/>
    <n v="55"/>
    <n v="45917"/>
    <n v="73503"/>
    <n v="248"/>
    <x v="4"/>
    <s v="IndieWave"/>
  </r>
  <r>
    <s v="SP253"/>
    <s v="YouTube"/>
    <d v="2024-08-08T00:00:00"/>
    <s v="Text"/>
    <s v="From pop to podcasts, it's all here."/>
    <n v="1994"/>
    <n v="197"/>
    <n v="290"/>
    <n v="49500"/>
    <n v="23343"/>
    <n v="160"/>
    <x v="2"/>
    <s v="IndieWave"/>
  </r>
  <r>
    <s v="SP253"/>
    <s v="YouTube"/>
    <d v="2024-08-08T00:00:00"/>
    <s v="Text"/>
    <s v="From pop to podcasts, it's all here."/>
    <n v="1994"/>
    <n v="197"/>
    <n v="290"/>
    <n v="49500"/>
    <n v="23343"/>
    <n v="160"/>
    <x v="4"/>
    <s v="IndieWave"/>
  </r>
  <r>
    <s v="SP254"/>
    <s v="Twitter"/>
    <d v="2025-02-03T00:00:00"/>
    <s v="Text"/>
    <s v="What's your vibe today? #SpotifyHits"/>
    <n v="4995"/>
    <n v="231"/>
    <n v="94"/>
    <n v="34431"/>
    <n v="32560"/>
    <n v="262"/>
    <x v="1"/>
    <s v="ChillVibes"/>
  </r>
  <r>
    <s v="SP255"/>
    <s v="Twitter"/>
    <d v="2024-04-03T00:00:00"/>
    <s v="Story"/>
    <s v="Top trending tracks updated daily!"/>
    <n v="2291"/>
    <n v="146"/>
    <n v="399"/>
    <n v="49319"/>
    <n v="28056"/>
    <n v="90"/>
    <x v="2"/>
    <s v="ChillVibes"/>
  </r>
  <r>
    <s v="SP255"/>
    <s v="Twitter"/>
    <d v="2024-04-03T00:00:00"/>
    <s v="Story"/>
    <s v="Top trending tracks updated daily!"/>
    <n v="2291"/>
    <n v="146"/>
    <n v="399"/>
    <n v="49319"/>
    <n v="28056"/>
    <n v="90"/>
    <x v="3"/>
    <s v="ChillVibes"/>
  </r>
  <r>
    <s v="SP256"/>
    <s v="Twitter"/>
    <d v="2024-07-08T00:00:00"/>
    <s v="Story"/>
    <s v="Wrapped is here! Relive your top tracks 🎧"/>
    <n v="2304"/>
    <n v="289"/>
    <n v="161"/>
    <n v="52645"/>
    <n v="66262"/>
    <n v="146"/>
    <x v="3"/>
    <s v="ChillVibes"/>
  </r>
  <r>
    <s v="SP256"/>
    <s v="Twitter"/>
    <d v="2024-07-08T00:00:00"/>
    <s v="Story"/>
    <s v="Wrapped is here! Relive your top tracks 🎧"/>
    <n v="2304"/>
    <n v="289"/>
    <n v="161"/>
    <n v="52645"/>
    <n v="66262"/>
    <n v="146"/>
    <x v="1"/>
    <s v="ChillVibes"/>
  </r>
  <r>
    <s v="SP257"/>
    <s v="Twitter"/>
    <d v="2024-06-08T00:00:00"/>
    <s v="Story"/>
    <s v="Top trending tracks updated daily!"/>
    <n v="3413"/>
    <n v="326"/>
    <n v="86"/>
    <n v="44680"/>
    <n v="52719"/>
    <n v="272"/>
    <x v="2"/>
    <s v="ChillVibes"/>
  </r>
  <r>
    <s v="SP257"/>
    <s v="Twitter"/>
    <d v="2024-06-08T00:00:00"/>
    <s v="Story"/>
    <s v="Top trending tracks updated daily!"/>
    <n v="3413"/>
    <n v="326"/>
    <n v="86"/>
    <n v="44680"/>
    <n v="52719"/>
    <n v="272"/>
    <x v="3"/>
    <s v="ChillVibes"/>
  </r>
  <r>
    <s v="SP258"/>
    <s v="YouTube"/>
    <d v="2025-03-20T00:00:00"/>
    <s v="Reel"/>
    <s v="From pop to podcasts, it's all here."/>
    <n v="1453"/>
    <n v="156"/>
    <n v="178"/>
    <n v="52980"/>
    <n v="57180"/>
    <n v="286"/>
    <x v="2"/>
    <s v="SummerBeats"/>
  </r>
  <r>
    <s v="SP258"/>
    <s v="YouTube"/>
    <d v="2025-03-20T00:00:00"/>
    <s v="Reel"/>
    <s v="From pop to podcasts, it's all here."/>
    <n v="1453"/>
    <n v="156"/>
    <n v="178"/>
    <n v="52980"/>
    <n v="57180"/>
    <n v="286"/>
    <x v="0"/>
    <s v="SummerBeats"/>
  </r>
  <r>
    <s v="SP259"/>
    <s v="Twitter"/>
    <d v="2025-01-19T00:00:00"/>
    <s v="Story"/>
    <s v="Music that moves you-only on Spotify."/>
    <n v="1651"/>
    <n v="480"/>
    <n v="282"/>
    <n v="32140"/>
    <n v="70560"/>
    <n v="138"/>
    <x v="0"/>
    <s v="ChillVibes"/>
  </r>
  <r>
    <s v="SP259"/>
    <s v="Twitter"/>
    <d v="2025-01-19T00:00:00"/>
    <s v="Story"/>
    <s v="Music that moves you-only on Spotify."/>
    <n v="1651"/>
    <n v="480"/>
    <n v="282"/>
    <n v="32140"/>
    <n v="70560"/>
    <n v="138"/>
    <x v="1"/>
    <s v="ChillVibes"/>
  </r>
  <r>
    <s v="SP260"/>
    <s v="Twitter"/>
    <d v="2025-01-05T00:00:00"/>
    <s v="Story"/>
    <s v="Explore the latest podcasts now."/>
    <n v="3341"/>
    <n v="154"/>
    <n v="123"/>
    <n v="43369"/>
    <n v="49035"/>
    <n v="128"/>
    <x v="3"/>
    <s v="ChillVibes"/>
  </r>
  <r>
    <s v="SP260"/>
    <s v="Twitter"/>
    <d v="2025-01-05T00:00:00"/>
    <s v="Story"/>
    <s v="Explore the latest podcasts now."/>
    <n v="3341"/>
    <n v="154"/>
    <n v="123"/>
    <n v="43369"/>
    <n v="49035"/>
    <n v="128"/>
    <x v="1"/>
    <s v="ChillVibes"/>
  </r>
  <r>
    <s v="SP261"/>
    <s v="Twitter"/>
    <d v="2024-11-16T00:00:00"/>
    <s v="Text"/>
    <s v="From pop to podcasts, it's all here."/>
    <n v="2972"/>
    <n v="263"/>
    <n v="308"/>
    <n v="51740"/>
    <n v="28214"/>
    <n v="190"/>
    <x v="0"/>
    <s v="IndieWave"/>
  </r>
  <r>
    <s v="SP262"/>
    <s v="Twitter"/>
    <d v="2024-11-30T00:00:00"/>
    <s v="Story"/>
    <s v="Explore the latest podcasts now."/>
    <n v="4963"/>
    <n v="255"/>
    <n v="193"/>
    <n v="44386"/>
    <n v="28415"/>
    <n v="174"/>
    <x v="3"/>
    <s v="ChillVibes"/>
  </r>
  <r>
    <s v="SP262"/>
    <s v="Twitter"/>
    <d v="2024-11-30T00:00:00"/>
    <s v="Story"/>
    <s v="Explore the latest podcasts now."/>
    <n v="4963"/>
    <n v="255"/>
    <n v="193"/>
    <n v="44386"/>
    <n v="28415"/>
    <n v="174"/>
    <x v="1"/>
    <s v="ChillVibes"/>
  </r>
  <r>
    <s v="SP263"/>
    <s v="YouTube"/>
    <d v="2024-03-27T00:00:00"/>
    <s v="Text"/>
    <s v="Music that moves you-only on Spotify."/>
    <n v="2399"/>
    <n v="191"/>
    <n v="221"/>
    <n v="51603"/>
    <n v="40033"/>
    <n v="173"/>
    <x v="2"/>
    <s v="IndieWave"/>
  </r>
  <r>
    <s v="SP263"/>
    <s v="YouTube"/>
    <d v="2024-03-27T00:00:00"/>
    <s v="Text"/>
    <s v="Music that moves you-only on Spotify."/>
    <n v="2399"/>
    <n v="191"/>
    <n v="221"/>
    <n v="51603"/>
    <n v="40033"/>
    <n v="173"/>
    <x v="4"/>
    <s v="IndieWave"/>
  </r>
  <r>
    <s v="SP264"/>
    <s v="YouTube"/>
    <d v="2025-05-31T00:00:00"/>
    <s v="Reel"/>
    <s v="Get into the groove with our new drop!"/>
    <n v="2162"/>
    <n v="318"/>
    <n v="83"/>
    <n v="46719"/>
    <n v="20482"/>
    <n v="185"/>
    <x v="2"/>
    <s v="SummerBeats"/>
  </r>
  <r>
    <s v="SP264"/>
    <s v="YouTube"/>
    <d v="2025-05-31T00:00:00"/>
    <s v="Reel"/>
    <s v="Get into the groove with our new drop!"/>
    <n v="2162"/>
    <n v="318"/>
    <n v="83"/>
    <n v="46719"/>
    <n v="20482"/>
    <n v="185"/>
    <x v="0"/>
    <s v="SummerBeats"/>
  </r>
  <r>
    <s v="SP265"/>
    <s v="Twitter"/>
    <d v="2025-06-17T00:00:00"/>
    <s v="Story"/>
    <s v="Explore the latest podcasts now."/>
    <n v="4341"/>
    <n v="141"/>
    <n v="63"/>
    <n v="50081"/>
    <n v="27507"/>
    <n v="221"/>
    <x v="2"/>
    <s v="ChillVibes"/>
  </r>
  <r>
    <s v="SP265"/>
    <s v="Twitter"/>
    <d v="2025-06-17T00:00:00"/>
    <s v="Story"/>
    <s v="Explore the latest podcasts now."/>
    <n v="4341"/>
    <n v="141"/>
    <n v="63"/>
    <n v="50081"/>
    <n v="27507"/>
    <n v="221"/>
    <x v="3"/>
    <s v="ChillVibes"/>
  </r>
  <r>
    <s v="SP266"/>
    <s v="Instagram"/>
    <d v="2024-05-30T00:00:00"/>
    <s v="Story"/>
    <s v="Get into the groove with our new drop!"/>
    <n v="2448"/>
    <n v="464"/>
    <n v="98"/>
    <n v="25737"/>
    <n v="48545"/>
    <n v="246"/>
    <x v="1"/>
    <s v="Wrapped2024"/>
  </r>
  <r>
    <s v="SP267"/>
    <s v="YouTube"/>
    <d v="2024-11-08T00:00:00"/>
    <s v="Text"/>
    <s v="Top trending tracks updated daily!"/>
    <n v="2471"/>
    <n v="166"/>
    <n v="320"/>
    <n v="48254"/>
    <n v="46900"/>
    <n v="111"/>
    <x v="2"/>
    <s v="IndieWave"/>
  </r>
  <r>
    <s v="SP267"/>
    <s v="YouTube"/>
    <d v="2024-11-08T00:00:00"/>
    <s v="Text"/>
    <s v="Top trending tracks updated daily!"/>
    <n v="2471"/>
    <n v="166"/>
    <n v="320"/>
    <n v="48254"/>
    <n v="46900"/>
    <n v="111"/>
    <x v="4"/>
    <s v="IndieWave"/>
  </r>
  <r>
    <s v="SP268"/>
    <s v="YouTube"/>
    <d v="2024-03-17T00:00:00"/>
    <s v="Reel"/>
    <s v="Explore the latest podcasts now."/>
    <n v="2692"/>
    <n v="446"/>
    <n v="216"/>
    <n v="45818"/>
    <n v="62723"/>
    <n v="85"/>
    <x v="2"/>
    <s v="SummerBeats"/>
  </r>
  <r>
    <s v="SP268"/>
    <s v="YouTube"/>
    <d v="2024-03-17T00:00:00"/>
    <s v="Reel"/>
    <s v="Explore the latest podcasts now."/>
    <n v="2692"/>
    <n v="446"/>
    <n v="216"/>
    <n v="45818"/>
    <n v="62723"/>
    <n v="85"/>
    <x v="0"/>
    <s v="SummerBeats"/>
  </r>
  <r>
    <s v="SP269"/>
    <s v="YouTube"/>
    <d v="2024-06-21T00:00:00"/>
    <s v="Reel"/>
    <s v="Music that moves you-only on Spotify."/>
    <n v="4621"/>
    <n v="374"/>
    <n v="298"/>
    <n v="56979"/>
    <n v="24098"/>
    <n v="205"/>
    <x v="2"/>
    <s v="SummerBeats"/>
  </r>
  <r>
    <s v="SP269"/>
    <s v="YouTube"/>
    <d v="2024-06-21T00:00:00"/>
    <s v="Reel"/>
    <s v="Music that moves you-only on Spotify."/>
    <n v="4621"/>
    <n v="374"/>
    <n v="298"/>
    <n v="56979"/>
    <n v="24098"/>
    <n v="205"/>
    <x v="0"/>
    <s v="SummerBeats"/>
  </r>
  <r>
    <s v="SP270"/>
    <s v="Twitter"/>
    <d v="2024-11-13T00:00:00"/>
    <s v="Story"/>
    <s v="New music just dropped. Hit play!"/>
    <n v="1409"/>
    <n v="466"/>
    <n v="105"/>
    <n v="58923"/>
    <n v="38753"/>
    <n v="265"/>
    <x v="2"/>
    <s v="ChillVibes"/>
  </r>
  <r>
    <s v="SP270"/>
    <s v="Twitter"/>
    <d v="2024-11-13T00:00:00"/>
    <s v="Story"/>
    <s v="New music just dropped. Hit play!"/>
    <n v="1409"/>
    <n v="466"/>
    <n v="105"/>
    <n v="58923"/>
    <n v="38753"/>
    <n v="265"/>
    <x v="3"/>
    <s v="ChillVibes"/>
  </r>
  <r>
    <s v="SP271"/>
    <s v="Twitter"/>
    <d v="2025-02-05T00:00:00"/>
    <s v="Story"/>
    <s v="Discover fresh beats on Spotify!"/>
    <n v="3029"/>
    <n v="440"/>
    <n v="66"/>
    <n v="23815"/>
    <n v="47895"/>
    <n v="210"/>
    <x v="2"/>
    <s v="ChillVibes"/>
  </r>
  <r>
    <s v="SP271"/>
    <s v="Twitter"/>
    <d v="2025-02-05T00:00:00"/>
    <s v="Story"/>
    <s v="Discover fresh beats on Spotify!"/>
    <n v="3029"/>
    <n v="440"/>
    <n v="66"/>
    <n v="23815"/>
    <n v="47895"/>
    <n v="210"/>
    <x v="3"/>
    <s v="ChillVibes"/>
  </r>
  <r>
    <s v="SP272"/>
    <s v="Twitter"/>
    <d v="2024-11-07T00:00:00"/>
    <s v="Text"/>
    <s v="Explore the latest podcasts now."/>
    <n v="2229"/>
    <n v="395"/>
    <n v="328"/>
    <n v="56921"/>
    <n v="37176"/>
    <n v="126"/>
    <x v="0"/>
    <s v="IndieWave"/>
  </r>
  <r>
    <s v="SP273"/>
    <s v="Twitter"/>
    <d v="2024-02-12T00:00:00"/>
    <s v="Text"/>
    <s v="Explore the latest podcasts now."/>
    <n v="2691"/>
    <n v="486"/>
    <n v="206"/>
    <n v="51133"/>
    <n v="44583"/>
    <n v="276"/>
    <x v="1"/>
    <s v="ChillVibes"/>
  </r>
  <r>
    <s v="SP274"/>
    <s v="Instagram"/>
    <d v="2024-10-08T00:00:00"/>
    <s v="Text"/>
    <s v="Explore the latest podcasts now."/>
    <n v="2110"/>
    <n v="384"/>
    <n v="236"/>
    <n v="49965"/>
    <n v="61555"/>
    <n v="195"/>
    <x v="2"/>
    <s v="IndieWave"/>
  </r>
  <r>
    <s v="SP275"/>
    <s v="Instagram"/>
    <d v="2024-02-19T00:00:00"/>
    <s v="Text"/>
    <s v="Wrapped is here! Relive your top tracks 🎧"/>
    <n v="4752"/>
    <n v="449"/>
    <n v="309"/>
    <n v="58530"/>
    <n v="26630"/>
    <n v="234"/>
    <x v="2"/>
    <s v="IndieWave"/>
  </r>
  <r>
    <s v="SP276"/>
    <s v="Twitter"/>
    <d v="2025-03-04T00:00:00"/>
    <s v="Text"/>
    <s v="Discover fresh beats on Spotify!"/>
    <n v="2177"/>
    <n v="258"/>
    <n v="292"/>
    <n v="47276"/>
    <n v="51324"/>
    <n v="143"/>
    <x v="1"/>
    <s v="ChillVibes"/>
  </r>
  <r>
    <s v="SP277"/>
    <s v="Instagram"/>
    <d v="2025-02-03T00:00:00"/>
    <s v="Story"/>
    <s v="New music just dropped. Hit play!"/>
    <n v="1205"/>
    <n v="486"/>
    <n v="269"/>
    <n v="23341"/>
    <n v="42411"/>
    <n v="184"/>
    <x v="1"/>
    <s v="Wrapped2024"/>
  </r>
  <r>
    <s v="SP278"/>
    <s v="Instagram"/>
    <d v="2024-12-02T00:00:00"/>
    <s v="Text"/>
    <s v="Top trending tracks updated daily!"/>
    <n v="3194"/>
    <n v="292"/>
    <n v="245"/>
    <n v="56371"/>
    <n v="65597"/>
    <n v="163"/>
    <x v="0"/>
    <s v="ChillVibes"/>
  </r>
  <r>
    <s v="SP278"/>
    <s v="Instagram"/>
    <d v="2024-12-02T00:00:00"/>
    <s v="Text"/>
    <s v="Top trending tracks updated daily!"/>
    <n v="3194"/>
    <n v="292"/>
    <n v="245"/>
    <n v="56371"/>
    <n v="65597"/>
    <n v="163"/>
    <x v="1"/>
    <s v="ChillVibes"/>
  </r>
  <r>
    <s v="SP279"/>
    <s v="Twitter"/>
    <d v="2025-01-19T00:00:00"/>
    <s v="Story"/>
    <s v="New music just dropped. Hit play!"/>
    <n v="3507"/>
    <n v="295"/>
    <n v="371"/>
    <n v="20410"/>
    <n v="53965"/>
    <n v="212"/>
    <x v="0"/>
    <s v="ChillVibes"/>
  </r>
  <r>
    <s v="SP279"/>
    <s v="Twitter"/>
    <d v="2025-01-19T00:00:00"/>
    <s v="Story"/>
    <s v="New music just dropped. Hit play!"/>
    <n v="3507"/>
    <n v="295"/>
    <n v="371"/>
    <n v="20410"/>
    <n v="53965"/>
    <n v="212"/>
    <x v="1"/>
    <s v="ChillVibes"/>
  </r>
  <r>
    <s v="SP280"/>
    <s v="Twitter"/>
    <d v="2024-09-28T00:00:00"/>
    <s v="Story"/>
    <s v="Wrapped is here! Relive your top tracks 🎧"/>
    <n v="4471"/>
    <n v="317"/>
    <n v="249"/>
    <n v="44862"/>
    <n v="33365"/>
    <n v="184"/>
    <x v="2"/>
    <s v="ChillVibes"/>
  </r>
  <r>
    <s v="SP280"/>
    <s v="Twitter"/>
    <d v="2024-09-28T00:00:00"/>
    <s v="Story"/>
    <s v="Wrapped is here! Relive your top tracks 🎧"/>
    <n v="4471"/>
    <n v="317"/>
    <n v="249"/>
    <n v="44862"/>
    <n v="33365"/>
    <n v="184"/>
    <x v="3"/>
    <s v="ChillVibes"/>
  </r>
  <r>
    <s v="SP281"/>
    <s v="Instagram"/>
    <d v="2024-01-07T00:00:00"/>
    <s v="Text"/>
    <s v="Top trending tracks updated daily!"/>
    <n v="4931"/>
    <n v="469"/>
    <n v="193"/>
    <n v="56701"/>
    <n v="69437"/>
    <n v="291"/>
    <x v="0"/>
    <s v="ChillVibes"/>
  </r>
  <r>
    <s v="SP281"/>
    <s v="Instagram"/>
    <d v="2024-01-07T00:00:00"/>
    <s v="Text"/>
    <s v="Top trending tracks updated daily!"/>
    <n v="4931"/>
    <n v="469"/>
    <n v="193"/>
    <n v="56701"/>
    <n v="69437"/>
    <n v="291"/>
    <x v="1"/>
    <s v="ChillVibes"/>
  </r>
  <r>
    <s v="SP282"/>
    <s v="Twitter"/>
    <d v="2024-02-21T00:00:00"/>
    <s v="Story"/>
    <s v="Get into the groove with our new drop!"/>
    <n v="2604"/>
    <n v="439"/>
    <n v="148"/>
    <n v="58468"/>
    <n v="39629"/>
    <n v="163"/>
    <x v="3"/>
    <s v="ChillVibes"/>
  </r>
  <r>
    <s v="SP282"/>
    <s v="Twitter"/>
    <d v="2024-02-21T00:00:00"/>
    <s v="Story"/>
    <s v="Get into the groove with our new drop!"/>
    <n v="2604"/>
    <n v="439"/>
    <n v="148"/>
    <n v="58468"/>
    <n v="39629"/>
    <n v="163"/>
    <x v="1"/>
    <s v="ChillVibes"/>
  </r>
  <r>
    <s v="SP283"/>
    <s v="Instagram"/>
    <d v="2024-08-27T00:00:00"/>
    <s v="Text"/>
    <s v="Music that moves you-only on Spotify."/>
    <n v="4197"/>
    <n v="359"/>
    <n v="280"/>
    <n v="56048"/>
    <n v="70930"/>
    <n v="295"/>
    <x v="2"/>
    <s v="IndieWave"/>
  </r>
  <r>
    <s v="SP284"/>
    <s v="Instagram"/>
    <d v="2024-10-24T00:00:00"/>
    <s v="Story"/>
    <s v="Top trending tracks updated daily!"/>
    <n v="1914"/>
    <n v="255"/>
    <n v="156"/>
    <n v="27660"/>
    <n v="47776"/>
    <n v="111"/>
    <x v="1"/>
    <s v="Wrapped2024"/>
  </r>
  <r>
    <s v="SP285"/>
    <s v="YouTube"/>
    <d v="2025-01-29T00:00:00"/>
    <s v="Text"/>
    <s v="New music just dropped. Hit play!"/>
    <n v="1334"/>
    <n v="357"/>
    <n v="257"/>
    <n v="56910"/>
    <n v="70606"/>
    <n v="228"/>
    <x v="2"/>
    <s v="IndieWave"/>
  </r>
  <r>
    <s v="SP285"/>
    <s v="YouTube"/>
    <d v="2025-01-29T00:00:00"/>
    <s v="Text"/>
    <s v="New music just dropped. Hit play!"/>
    <n v="1334"/>
    <n v="357"/>
    <n v="257"/>
    <n v="56910"/>
    <n v="70606"/>
    <n v="228"/>
    <x v="4"/>
    <s v="IndieWave"/>
  </r>
  <r>
    <s v="SP286"/>
    <s v="Instagram"/>
    <d v="2024-05-01T00:00:00"/>
    <s v="Text"/>
    <s v="Get into the groove with our new drop!"/>
    <n v="3359"/>
    <n v="137"/>
    <n v="387"/>
    <n v="33861"/>
    <n v="47257"/>
    <n v="198"/>
    <x v="2"/>
    <s v="IndieWave"/>
  </r>
  <r>
    <s v="SP287"/>
    <s v="YouTube"/>
    <d v="2024-06-25T00:00:00"/>
    <s v="Text"/>
    <s v="Your weekend playlist is waiting."/>
    <n v="2172"/>
    <n v="338"/>
    <n v="70"/>
    <n v="30515"/>
    <n v="57853"/>
    <n v="156"/>
    <x v="2"/>
    <s v="IndieWave"/>
  </r>
  <r>
    <s v="SP287"/>
    <s v="YouTube"/>
    <d v="2024-06-25T00:00:00"/>
    <s v="Text"/>
    <s v="Your weekend playlist is waiting."/>
    <n v="2172"/>
    <n v="338"/>
    <n v="70"/>
    <n v="30515"/>
    <n v="57853"/>
    <n v="156"/>
    <x v="4"/>
    <s v="IndieWave"/>
  </r>
  <r>
    <s v="SP288"/>
    <s v="Twitter"/>
    <d v="2024-08-09T00:00:00"/>
    <s v="Story"/>
    <s v="From pop to podcasts, it's all here."/>
    <n v="4877"/>
    <n v="442"/>
    <n v="236"/>
    <n v="52673"/>
    <n v="48241"/>
    <n v="114"/>
    <x v="2"/>
    <s v="ChillVibes"/>
  </r>
  <r>
    <s v="SP288"/>
    <s v="Twitter"/>
    <d v="2024-08-09T00:00:00"/>
    <s v="Story"/>
    <s v="From pop to podcasts, it's all here."/>
    <n v="4877"/>
    <n v="442"/>
    <n v="236"/>
    <n v="52673"/>
    <n v="48241"/>
    <n v="114"/>
    <x v="3"/>
    <s v="ChillVibes"/>
  </r>
  <r>
    <s v="SP289"/>
    <s v="Instagram"/>
    <d v="2025-01-21T00:00:00"/>
    <s v="Story"/>
    <s v="New music just dropped. Hit play!"/>
    <n v="4918"/>
    <n v="440"/>
    <n v="149"/>
    <n v="53269"/>
    <n v="64370"/>
    <n v="269"/>
    <x v="1"/>
    <s v="Wrapped2024"/>
  </r>
  <r>
    <s v="SP290"/>
    <s v="Twitter"/>
    <d v="2024-08-13T00:00:00"/>
    <s v="Text"/>
    <s v="Explore the latest podcasts now."/>
    <n v="3418"/>
    <n v="107"/>
    <n v="221"/>
    <n v="23927"/>
    <n v="26182"/>
    <n v="155"/>
    <x v="0"/>
    <s v="IndieWave"/>
  </r>
  <r>
    <s v="SP291"/>
    <s v="Instagram"/>
    <d v="2024-06-29T00:00:00"/>
    <s v="Text"/>
    <s v="Your weekend playlist is waiting."/>
    <n v="2088"/>
    <n v="490"/>
    <n v="124"/>
    <n v="46544"/>
    <n v="69346"/>
    <n v="178"/>
    <x v="0"/>
    <s v="ChillVibes"/>
  </r>
  <r>
    <s v="SP291"/>
    <s v="Instagram"/>
    <d v="2024-06-29T00:00:00"/>
    <s v="Text"/>
    <s v="Your weekend playlist is waiting."/>
    <n v="2088"/>
    <n v="490"/>
    <n v="124"/>
    <n v="46544"/>
    <n v="69346"/>
    <n v="178"/>
    <x v="1"/>
    <s v="ChillVibes"/>
  </r>
  <r>
    <s v="SP292"/>
    <s v="Twitter"/>
    <d v="2024-11-03T00:00:00"/>
    <s v="Story"/>
    <s v="Explore the latest podcasts now."/>
    <n v="3061"/>
    <n v="320"/>
    <n v="76"/>
    <n v="26640"/>
    <n v="24306"/>
    <n v="112"/>
    <x v="3"/>
    <s v="ChillVibes"/>
  </r>
  <r>
    <s v="SP292"/>
    <s v="Twitter"/>
    <d v="2024-11-03T00:00:00"/>
    <s v="Story"/>
    <s v="Explore the latest podcasts now."/>
    <n v="3061"/>
    <n v="320"/>
    <n v="76"/>
    <n v="26640"/>
    <n v="24306"/>
    <n v="112"/>
    <x v="1"/>
    <s v="ChillVibes"/>
  </r>
  <r>
    <s v="SP293"/>
    <s v="YouTube"/>
    <d v="2025-04-18T00:00:00"/>
    <s v="Reel"/>
    <s v="Your weekend playlist is waiting."/>
    <n v="1265"/>
    <n v="230"/>
    <n v="364"/>
    <n v="41312"/>
    <n v="50382"/>
    <n v="106"/>
    <x v="2"/>
    <s v="SummerBeats"/>
  </r>
  <r>
    <s v="SP293"/>
    <s v="YouTube"/>
    <d v="2025-04-18T00:00:00"/>
    <s v="Reel"/>
    <s v="Your weekend playlist is waiting."/>
    <n v="1265"/>
    <n v="230"/>
    <n v="364"/>
    <n v="41312"/>
    <n v="50382"/>
    <n v="106"/>
    <x v="0"/>
    <s v="SummerBeats"/>
  </r>
  <r>
    <s v="SP294"/>
    <s v="Instagram"/>
    <d v="2024-12-27T00:00:00"/>
    <s v="Text"/>
    <s v="From pop to podcasts, it's all here."/>
    <n v="1436"/>
    <n v="219"/>
    <n v="229"/>
    <n v="58488"/>
    <n v="24314"/>
    <n v="147"/>
    <x v="2"/>
    <s v="IndieWave"/>
  </r>
  <r>
    <s v="SP295"/>
    <s v="Instagram"/>
    <d v="2025-03-08T00:00:00"/>
    <s v="Story"/>
    <s v="Top trending tracks updated daily!"/>
    <n v="2244"/>
    <n v="392"/>
    <n v="231"/>
    <n v="25834"/>
    <n v="50906"/>
    <n v="165"/>
    <x v="1"/>
    <s v="Wrapped2024"/>
  </r>
  <r>
    <s v="SP296"/>
    <s v="Twitter"/>
    <d v="2025-03-20T00:00:00"/>
    <s v="Story"/>
    <s v="Your weekend playlist is waiting."/>
    <n v="3393"/>
    <n v="104"/>
    <n v="79"/>
    <n v="30025"/>
    <n v="21593"/>
    <n v="165"/>
    <x v="3"/>
    <s v="ChillVibes"/>
  </r>
  <r>
    <s v="SP296"/>
    <s v="Twitter"/>
    <d v="2025-03-20T00:00:00"/>
    <s v="Story"/>
    <s v="Your weekend playlist is waiting."/>
    <n v="3393"/>
    <n v="104"/>
    <n v="79"/>
    <n v="30025"/>
    <n v="21593"/>
    <n v="165"/>
    <x v="1"/>
    <s v="ChillVibes"/>
  </r>
  <r>
    <s v="SP297"/>
    <s v="Twitter"/>
    <d v="2024-11-16T00:00:00"/>
    <s v="Text"/>
    <s v="Explore the latest podcasts now."/>
    <n v="2901"/>
    <n v="108"/>
    <n v="86"/>
    <n v="51777"/>
    <n v="23773"/>
    <n v="160"/>
    <x v="0"/>
    <s v="IndieWave"/>
  </r>
  <r>
    <s v="SP298"/>
    <s v="Twitter"/>
    <d v="2025-06-30T00:00:00"/>
    <s v="Text"/>
    <s v="What's your vibe today? #SpotifyHits"/>
    <n v="2275"/>
    <n v="285"/>
    <n v="125"/>
    <n v="43970"/>
    <n v="74761"/>
    <n v="83"/>
    <x v="1"/>
    <s v="ChillVibes"/>
  </r>
  <r>
    <s v="SP299"/>
    <s v="Twitter"/>
    <d v="2024-01-12T00:00:00"/>
    <s v="Story"/>
    <s v="Wrapped is here! Relive your top tracks 🎧"/>
    <n v="2227"/>
    <n v="494"/>
    <n v="161"/>
    <n v="51651"/>
    <n v="68074"/>
    <n v="240"/>
    <x v="2"/>
    <s v="ChillVibes"/>
  </r>
  <r>
    <s v="SP299"/>
    <s v="Twitter"/>
    <d v="2024-01-12T00:00:00"/>
    <s v="Story"/>
    <s v="Wrapped is here! Relive your top tracks 🎧"/>
    <n v="2227"/>
    <n v="494"/>
    <n v="161"/>
    <n v="51651"/>
    <n v="68074"/>
    <n v="240"/>
    <x v="3"/>
    <s v="ChillVibes"/>
  </r>
  <r>
    <s v="SP300"/>
    <s v="Instagram"/>
    <d v="2024-02-07T00:00:00"/>
    <s v="Text"/>
    <s v="Music that moves you-only on Spotify."/>
    <n v="1883"/>
    <n v="432"/>
    <n v="397"/>
    <n v="28759"/>
    <n v="18691"/>
    <n v="270"/>
    <x v="0"/>
    <s v="ChillVibes"/>
  </r>
  <r>
    <s v="SP300"/>
    <s v="Instagram"/>
    <d v="2024-02-07T00:00:00"/>
    <s v="Text"/>
    <s v="Music that moves you-only on Spotify."/>
    <n v="1883"/>
    <n v="432"/>
    <n v="397"/>
    <n v="28759"/>
    <n v="18691"/>
    <n v="270"/>
    <x v="1"/>
    <s v="ChillVib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60CCE6-9A6B-4AFE-B164-5BB5D5C99615}" name="PivotTable9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Hashtags">
  <location ref="A10:B15" firstHeaderRow="1" firstDataRow="1" firstDataCol="1"/>
  <pivotFields count="13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sortType="descending">
      <items count="6">
        <item x="2"/>
        <item x="3"/>
        <item x="1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1"/>
  </rowFields>
  <rowItems count="5">
    <i>
      <x v="4"/>
    </i>
    <i>
      <x/>
    </i>
    <i>
      <x v="3"/>
    </i>
    <i>
      <x v="2"/>
    </i>
    <i>
      <x v="1"/>
    </i>
  </rowItems>
  <colItems count="1">
    <i/>
  </colItems>
  <dataFields count="1">
    <dataField name="Average of Clicks" fld="10" subtotal="average" baseField="11" baseItem="0" numFmtId="2"/>
  </dataFields>
  <formats count="5">
    <format dxfId="22">
      <pivotArea type="all" dataOnly="0" outline="0" fieldPosition="0"/>
    </format>
    <format dxfId="21">
      <pivotArea outline="0" collapsedLevelsAreSubtotals="1" fieldPosition="0"/>
    </format>
    <format dxfId="20">
      <pivotArea field="11" type="button" dataOnly="0" labelOnly="1" outline="0" axis="axisRow" fieldPosition="0"/>
    </format>
    <format dxfId="19">
      <pivotArea dataOnly="0" labelOnly="1" fieldPosition="0">
        <references count="1">
          <reference field="11" count="0"/>
        </references>
      </pivotArea>
    </format>
    <format dxfId="1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D0631A-6931-4C96-BAC1-66CBAD341882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E18:I25" firstHeaderRow="0" firstDataRow="1" firstDataCol="2"/>
  <pivotFields count="14">
    <pivotField compact="0" outline="0" showAll="0" defaultSubtotal="0"/>
    <pivotField axis="axisRow" compact="0" outline="0" showAll="0" defaultSubtotal="0">
      <items count="3">
        <item x="0"/>
        <item x="1"/>
        <item x="2"/>
      </items>
    </pivotField>
    <pivotField compact="0" numFmtId="14" outline="0" showAll="0" defaultSubtotal="0"/>
    <pivotField axis="axisRow" compact="0" outline="0" showAll="0" defaultSubtotal="0">
      <items count="3">
        <item x="2"/>
        <item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1"/>
    <field x="3"/>
  </rowFields>
  <rowItems count="7">
    <i>
      <x/>
      <x v="1"/>
    </i>
    <i r="1">
      <x v="2"/>
    </i>
    <i>
      <x v="1"/>
      <x v="1"/>
    </i>
    <i r="1">
      <x v="2"/>
    </i>
    <i>
      <x v="2"/>
      <x/>
    </i>
    <i r="1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Likes" fld="5" baseField="0" baseItem="0"/>
    <dataField name="Total Shares" fld="6" baseField="0" baseItem="0"/>
    <dataField name="Total Comments" fld="7" baseField="0" baseItem="0"/>
  </dataFields>
  <formats count="11"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1" type="button" dataOnly="0" labelOnly="1" outline="0" axis="axisRow" fieldPosition="0"/>
    </format>
    <format dxfId="30">
      <pivotArea field="3" type="button" dataOnly="0" labelOnly="1" outline="0" axis="axisRow" fieldPosition="1"/>
    </format>
    <format dxfId="29">
      <pivotArea dataOnly="0" labelOnly="1" outline="0" fieldPosition="0">
        <references count="1">
          <reference field="1" count="0"/>
        </references>
      </pivotArea>
    </format>
    <format dxfId="28">
      <pivotArea dataOnly="0" labelOnly="1" grandRow="1" outline="0" fieldPosition="0"/>
    </format>
    <format dxfId="27">
      <pivotArea dataOnly="0" labelOnly="1" outline="0" fieldPosition="0">
        <references count="2">
          <reference field="1" count="1" selected="0">
            <x v="0"/>
          </reference>
          <reference field="3" count="2">
            <x v="1"/>
            <x v="2"/>
          </reference>
        </references>
      </pivotArea>
    </format>
    <format dxfId="26">
      <pivotArea dataOnly="0" labelOnly="1" outline="0" fieldPosition="0">
        <references count="2">
          <reference field="1" count="1" selected="0">
            <x v="1"/>
          </reference>
          <reference field="3" count="2">
            <x v="1"/>
            <x v="2"/>
          </reference>
        </references>
      </pivotArea>
    </format>
    <format dxfId="25">
      <pivotArea dataOnly="0" labelOnly="1" outline="0" fieldPosition="0">
        <references count="2">
          <reference field="1" count="1" selected="0">
            <x v="2"/>
          </reference>
          <reference field="3" count="2">
            <x v="0"/>
            <x v="2"/>
          </reference>
        </references>
      </pivotArea>
    </format>
    <format dxfId="2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3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560963-40E6-4807-8C79-5168BB663DFC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Platform">
  <location ref="A4:B7" firstHeaderRow="1" firstDataRow="1" firstDataCol="1"/>
  <pivotFields count="14"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3">
    <i>
      <x v="1"/>
    </i>
    <i>
      <x/>
    </i>
    <i>
      <x v="2"/>
    </i>
  </rowItems>
  <colItems count="1">
    <i/>
  </colItems>
  <dataFields count="1">
    <dataField name=" Engagement Rate" fld="13" subtotal="average" baseField="1" baseItem="1" numFmtId="10"/>
  </dataFields>
  <formats count="9">
    <format dxfId="42">
      <pivotArea field="1" type="button" dataOnly="0" labelOnly="1" outline="0" axis="axisRow" fieldPosition="0"/>
    </format>
    <format dxfId="41">
      <pivotArea dataOnly="0" labelOnly="1" fieldPosition="0">
        <references count="1">
          <reference field="1" count="0"/>
        </references>
      </pivotArea>
    </format>
    <format dxfId="40">
      <pivotArea dataOnly="0" labelOnly="1" outline="0" axis="axisValues" fieldPosition="0"/>
    </format>
    <format dxfId="39">
      <pivotArea outline="0" collapsedLevelsAreSubtotals="1" fieldPosition="0"/>
    </format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1" type="button" dataOnly="0" labelOnly="1" outline="0" axis="axisRow" fieldPosition="0"/>
    </format>
    <format dxfId="35">
      <pivotArea dataOnly="0" labelOnly="1" fieldPosition="0">
        <references count="1">
          <reference field="1" count="0"/>
        </references>
      </pivotArea>
    </format>
    <format dxfId="3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1A6A26-BEFF-4BD1-9921-772E84B437C4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E4:G14" firstHeaderRow="1" firstDataRow="1" firstDataCol="2"/>
  <pivotFields count="14">
    <pivotField axis="axisRow" compact="0" outline="0" showAll="0" measureFilter="1" sortType="descending" defaultSubtotal="0">
      <items count="3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compact="0" numFmtId="14" outline="0" showAll="0" defaultSubtotal="0"/>
    <pivotField compact="0" outline="0" showAll="0" defaultSubtotal="0"/>
    <pivotField axis="axisRow" compact="0" outline="0" showAll="0" defaultSubtotal="0">
      <items count="10">
        <item x="0"/>
        <item x="1"/>
        <item x="8"/>
        <item x="6"/>
        <item x="4"/>
        <item x="2"/>
        <item x="7"/>
        <item x="5"/>
        <item x="3"/>
        <item x="9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</pivotFields>
  <rowFields count="2">
    <field x="0"/>
    <field x="4"/>
  </rowFields>
  <rowItems count="10">
    <i>
      <x v="6"/>
      <x v="3"/>
    </i>
    <i>
      <x v="105"/>
      <x v="5"/>
    </i>
    <i>
      <x v="185"/>
      <x v="1"/>
    </i>
    <i>
      <x v="278"/>
      <x v="5"/>
    </i>
    <i>
      <x v="49"/>
      <x/>
    </i>
    <i>
      <x v="21"/>
      <x v="7"/>
    </i>
    <i>
      <x v="156"/>
      <x v="2"/>
    </i>
    <i>
      <x v="247"/>
      <x v="8"/>
    </i>
    <i>
      <x v="135"/>
      <x v="6"/>
    </i>
    <i>
      <x v="67"/>
      <x v="4"/>
    </i>
  </rowItems>
  <colItems count="1">
    <i/>
  </colItems>
  <dataFields count="1">
    <dataField name="Engagement Rates" fld="13" subtotal="average" baseField="4" baseItem="7" numFmtId="10"/>
  </dataFields>
  <formats count="16">
    <format dxfId="58">
      <pivotArea type="all" dataOnly="0" outline="0" fieldPosition="0"/>
    </format>
    <format dxfId="57">
      <pivotArea outline="0" collapsedLevelsAreSubtotals="1" fieldPosition="0"/>
    </format>
    <format dxfId="56">
      <pivotArea field="0" type="button" dataOnly="0" labelOnly="1" outline="0" axis="axisRow" fieldPosition="0"/>
    </format>
    <format dxfId="55">
      <pivotArea field="4" type="button" dataOnly="0" labelOnly="1" outline="0" axis="axisRow" fieldPosition="1"/>
    </format>
    <format dxfId="54">
      <pivotArea dataOnly="0" labelOnly="1" outline="0" fieldPosition="0">
        <references count="1">
          <reference field="0" count="10">
            <x v="6"/>
            <x v="21"/>
            <x v="49"/>
            <x v="67"/>
            <x v="105"/>
            <x v="135"/>
            <x v="156"/>
            <x v="185"/>
            <x v="247"/>
            <x v="278"/>
          </reference>
        </references>
      </pivotArea>
    </format>
    <format dxfId="53">
      <pivotArea dataOnly="0" labelOnly="1" outline="0" fieldPosition="0">
        <references count="2">
          <reference field="0" count="1" selected="0">
            <x v="6"/>
          </reference>
          <reference field="4" count="1">
            <x v="3"/>
          </reference>
        </references>
      </pivotArea>
    </format>
    <format dxfId="52">
      <pivotArea dataOnly="0" labelOnly="1" outline="0" fieldPosition="0">
        <references count="2">
          <reference field="0" count="1" selected="0">
            <x v="105"/>
          </reference>
          <reference field="4" count="1">
            <x v="5"/>
          </reference>
        </references>
      </pivotArea>
    </format>
    <format dxfId="51">
      <pivotArea dataOnly="0" labelOnly="1" outline="0" fieldPosition="0">
        <references count="2">
          <reference field="0" count="1" selected="0">
            <x v="185"/>
          </reference>
          <reference field="4" count="1">
            <x v="1"/>
          </reference>
        </references>
      </pivotArea>
    </format>
    <format dxfId="50">
      <pivotArea dataOnly="0" labelOnly="1" outline="0" fieldPosition="0">
        <references count="2">
          <reference field="0" count="1" selected="0">
            <x v="278"/>
          </reference>
          <reference field="4" count="1">
            <x v="5"/>
          </reference>
        </references>
      </pivotArea>
    </format>
    <format dxfId="49">
      <pivotArea dataOnly="0" labelOnly="1" outline="0" fieldPosition="0">
        <references count="2">
          <reference field="0" count="1" selected="0">
            <x v="49"/>
          </reference>
          <reference field="4" count="1">
            <x v="0"/>
          </reference>
        </references>
      </pivotArea>
    </format>
    <format dxfId="48">
      <pivotArea dataOnly="0" labelOnly="1" outline="0" fieldPosition="0">
        <references count="2">
          <reference field="0" count="1" selected="0">
            <x v="21"/>
          </reference>
          <reference field="4" count="1">
            <x v="7"/>
          </reference>
        </references>
      </pivotArea>
    </format>
    <format dxfId="47">
      <pivotArea dataOnly="0" labelOnly="1" outline="0" fieldPosition="0">
        <references count="2">
          <reference field="0" count="1" selected="0">
            <x v="156"/>
          </reference>
          <reference field="4" count="1">
            <x v="2"/>
          </reference>
        </references>
      </pivotArea>
    </format>
    <format dxfId="46">
      <pivotArea dataOnly="0" labelOnly="1" outline="0" fieldPosition="0">
        <references count="2">
          <reference field="0" count="1" selected="0">
            <x v="247"/>
          </reference>
          <reference field="4" count="1">
            <x v="8"/>
          </reference>
        </references>
      </pivotArea>
    </format>
    <format dxfId="45">
      <pivotArea dataOnly="0" labelOnly="1" outline="0" fieldPosition="0">
        <references count="2">
          <reference field="0" count="1" selected="0">
            <x v="135"/>
          </reference>
          <reference field="4" count="1">
            <x v="6"/>
          </reference>
        </references>
      </pivotArea>
    </format>
    <format dxfId="44">
      <pivotArea dataOnly="0" labelOnly="1" outline="0" fieldPosition="0">
        <references count="2">
          <reference field="0" count="1" selected="0">
            <x v="67"/>
          </reference>
          <reference field="4" count="1">
            <x v="4"/>
          </reference>
        </references>
      </pivotArea>
    </format>
    <format dxfId="43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7AD13B52-9B4A-4F4C-A720-61B295373825}" autoFormatId="16" applyNumberFormats="0" applyBorderFormats="0" applyFontFormats="0" applyPatternFormats="0" applyAlignmentFormats="0" applyWidthHeightFormats="0">
  <queryTableRefresh nextId="15" unboundColumnsRight="1">
    <queryTableFields count="14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Hashtags Used" tableColumnId="12"/>
      <queryTableField id="13" name="Campaign_Name" tableColumnId="13"/>
      <queryTableField id="14" dataBound="0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719977A-A68C-4218-85E7-8AF3E0B219F0}" autoFormatId="16" applyNumberFormats="0" applyBorderFormats="0" applyFontFormats="0" applyPatternFormats="0" applyAlignmentFormats="0" applyWidthHeightFormats="0">
  <queryTableRefresh nextId="14">
    <queryTableFields count="13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Hashtags Used" tableColumnId="12"/>
      <queryTableField id="13" name="Campaign_Name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245A1B-FA99-4851-865E-300E2FEA30EA}" name="Posts__2" displayName="Posts__2" ref="A1:N301" tableType="queryTable" totalsRowShown="0">
  <autoFilter ref="A1:N301" xr:uid="{9CA85776-EDB0-4F04-8E61-2BD2D3F21066}"/>
  <tableColumns count="14">
    <tableColumn id="1" xr3:uid="{093FB289-2FE9-46F3-ADFC-DC38BC3FD81B}" uniqueName="1" name="Post ID" queryTableFieldId="1" dataDxfId="17"/>
    <tableColumn id="2" xr3:uid="{BDDC6C11-0C37-43E7-9771-85B8E0A875F4}" uniqueName="2" name="Platform" queryTableFieldId="2" dataDxfId="16"/>
    <tableColumn id="3" xr3:uid="{329DA94C-0491-4424-A2F3-E55D616841CA}" uniqueName="3" name="Date" queryTableFieldId="3" dataDxfId="15"/>
    <tableColumn id="4" xr3:uid="{58162B81-2AE1-4D6C-9D0C-2E7832620AAD}" uniqueName="4" name="Content Type" queryTableFieldId="4" dataDxfId="14"/>
    <tableColumn id="5" xr3:uid="{34CC3669-6618-4018-A141-C8A6A14EEAEA}" uniqueName="5" name="Post Text" queryTableFieldId="5" dataDxfId="13"/>
    <tableColumn id="6" xr3:uid="{ABB55617-D13E-43B9-86BD-86C4B17188E2}" uniqueName="6" name="Likes" queryTableFieldId="6"/>
    <tableColumn id="7" xr3:uid="{4B599920-6211-43F3-B76A-E6D7AF9DD89D}" uniqueName="7" name="Shares" queryTableFieldId="7"/>
    <tableColumn id="8" xr3:uid="{F39A82A7-2693-46DA-BAC5-4AB3079DCCD3}" uniqueName="8" name="Comments" queryTableFieldId="8"/>
    <tableColumn id="9" xr3:uid="{363D0B2E-3515-4A4F-B212-1EFFB05AF3AE}" uniqueName="9" name="Impressions" queryTableFieldId="9"/>
    <tableColumn id="10" xr3:uid="{3DC9EECB-0236-460D-B2FA-933A1007D5BF}" uniqueName="10" name="Reach" queryTableFieldId="10"/>
    <tableColumn id="11" xr3:uid="{6AAF0534-AFC6-47D1-8BB6-1BE195D1ED11}" uniqueName="11" name="Clicks" queryTableFieldId="11"/>
    <tableColumn id="12" xr3:uid="{FE0B443E-7292-420E-8AE0-5C5407106877}" uniqueName="12" name="Hashtags Used" queryTableFieldId="12" dataDxfId="12"/>
    <tableColumn id="13" xr3:uid="{781F860F-F582-4EB4-A147-40611EC981E3}" uniqueName="13" name="Campaign_Name" queryTableFieldId="13" dataDxfId="11"/>
    <tableColumn id="14" xr3:uid="{B2B91E0D-3EFA-4952-B41B-F288CCF72C41}" uniqueName="14" name="Engagement Rate" queryTableFieldId="14" dataDxfId="10">
      <calculatedColumnFormula>(  Posts__2[[#This Row],[Likes]]+Posts__2[[#This Row],[Comments]]+Posts__2[[#This Row],[Shares]] ) / Posts__2[[#This Row],[Impressions]]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DAD198-0435-421C-995A-8DBB964DFDDD}" name="Posts" displayName="Posts" ref="A1:M484" tableType="queryTable" totalsRowShown="0" headerRowDxfId="9">
  <autoFilter ref="A1:M484" xr:uid="{8D265A54-827F-44B5-9527-23BC4B075F4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3FC9AE4A-0F8A-4695-87EA-BA62B55CF860}" uniqueName="1" name="Post ID" queryTableFieldId="1" dataDxfId="8"/>
    <tableColumn id="2" xr3:uid="{5D63676E-3743-4616-BFBF-25A423C9BF14}" uniqueName="2" name="Platform" queryTableFieldId="2" dataDxfId="7"/>
    <tableColumn id="3" xr3:uid="{3200C1A5-0C50-42B4-8AB8-A366BAA2FEA5}" uniqueName="3" name="Date" queryTableFieldId="3" dataDxfId="6"/>
    <tableColumn id="4" xr3:uid="{3A6AA0BB-50F3-4D3C-B07B-69490743E14E}" uniqueName="4" name="Content Type" queryTableFieldId="4" dataDxfId="5"/>
    <tableColumn id="5" xr3:uid="{64663153-442D-48FD-AFCB-191931588454}" uniqueName="5" name="Post Text" queryTableFieldId="5" dataDxfId="4"/>
    <tableColumn id="6" xr3:uid="{BB8E5890-B76B-4B13-BB15-85DAC2A343AB}" uniqueName="6" name="Likes" queryTableFieldId="6"/>
    <tableColumn id="7" xr3:uid="{32ED3A5E-7FAB-4F6F-8604-E8D13272ACE6}" uniqueName="7" name="Shares" queryTableFieldId="7"/>
    <tableColumn id="8" xr3:uid="{12B8E05B-0A3F-4BB5-9E99-362130DFB796}" uniqueName="8" name="Comments" queryTableFieldId="8"/>
    <tableColumn id="9" xr3:uid="{7D0AC311-F075-425F-B5C1-71A012E6DEB4}" uniqueName="9" name="Impressions" queryTableFieldId="9"/>
    <tableColumn id="10" xr3:uid="{491A4B15-F50C-4492-B8D6-9E36F4A16635}" uniqueName="10" name="Reach" queryTableFieldId="10"/>
    <tableColumn id="11" xr3:uid="{42879C8A-EC4D-4981-ADA1-89379BAA0EDC}" uniqueName="11" name="Clicks" queryTableFieldId="11"/>
    <tableColumn id="12" xr3:uid="{B30BCF8A-F403-425A-B5D9-54C2BF5DD34B}" uniqueName="12" name="Hashtags Used" queryTableFieldId="12" dataDxfId="3"/>
    <tableColumn id="13" xr3:uid="{81A8894A-0496-4FFA-90DE-48DCCFF3D88D}" uniqueName="13" name="Campaign_Name" queryTableFieldId="13" dataDxfId="2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557FF-CA8A-4413-B64E-770E9B3D603D}">
  <dimension ref="A1:I25"/>
  <sheetViews>
    <sheetView tabSelected="1" workbookViewId="0">
      <selection activeCell="I3" sqref="I3"/>
    </sheetView>
  </sheetViews>
  <sheetFormatPr defaultRowHeight="14.4" x14ac:dyDescent="0.3"/>
  <cols>
    <col min="1" max="1" width="17.21875" bestFit="1" customWidth="1"/>
    <col min="2" max="2" width="18.5546875" customWidth="1"/>
    <col min="3" max="3" width="11.5546875" customWidth="1"/>
    <col min="4" max="4" width="9.88671875" customWidth="1"/>
    <col min="5" max="5" width="11.44140625" bestFit="1" customWidth="1"/>
    <col min="6" max="6" width="36.77734375" bestFit="1" customWidth="1"/>
    <col min="7" max="7" width="16.33203125" customWidth="1"/>
    <col min="8" max="8" width="13.109375" bestFit="1" customWidth="1"/>
    <col min="9" max="9" width="16.6640625" bestFit="1" customWidth="1"/>
    <col min="10" max="10" width="25.77734375" bestFit="1" customWidth="1"/>
  </cols>
  <sheetData>
    <row r="1" spans="1:8" ht="25.8" x14ac:dyDescent="0.6">
      <c r="C1" s="21" t="s">
        <v>358</v>
      </c>
      <c r="D1" s="21"/>
      <c r="E1" s="21"/>
      <c r="F1" s="21"/>
    </row>
    <row r="2" spans="1:8" x14ac:dyDescent="0.3">
      <c r="H2" s="22"/>
    </row>
    <row r="3" spans="1:8" x14ac:dyDescent="0.3">
      <c r="A3" s="16" t="s">
        <v>0</v>
      </c>
      <c r="B3" s="17"/>
      <c r="E3" s="16" t="s">
        <v>1</v>
      </c>
      <c r="F3" s="18"/>
      <c r="G3" s="18"/>
    </row>
    <row r="4" spans="1:8" x14ac:dyDescent="0.3">
      <c r="A4" s="1" t="s">
        <v>2</v>
      </c>
      <c r="B4" s="2" t="s">
        <v>3</v>
      </c>
      <c r="E4" s="3" t="s">
        <v>4</v>
      </c>
      <c r="F4" s="3" t="s">
        <v>5</v>
      </c>
      <c r="G4" s="3" t="s">
        <v>6</v>
      </c>
    </row>
    <row r="5" spans="1:8" x14ac:dyDescent="0.3">
      <c r="A5" s="1" t="s">
        <v>7</v>
      </c>
      <c r="B5" s="4">
        <v>9.6034606364774039E-2</v>
      </c>
      <c r="C5" s="23"/>
      <c r="E5" s="3" t="s">
        <v>8</v>
      </c>
      <c r="F5" s="3" t="s">
        <v>9</v>
      </c>
      <c r="G5" s="5">
        <v>0.26064752360763155</v>
      </c>
    </row>
    <row r="6" spans="1:8" x14ac:dyDescent="0.3">
      <c r="A6" s="1" t="s">
        <v>10</v>
      </c>
      <c r="B6" s="4">
        <v>9.0794830422286865E-2</v>
      </c>
      <c r="C6" s="24"/>
      <c r="E6" s="3" t="s">
        <v>11</v>
      </c>
      <c r="F6" s="3" t="s">
        <v>12</v>
      </c>
      <c r="G6" s="5">
        <v>0.23193025217961938</v>
      </c>
    </row>
    <row r="7" spans="1:8" x14ac:dyDescent="0.3">
      <c r="A7" s="1" t="s">
        <v>13</v>
      </c>
      <c r="B7" s="4">
        <v>8.8108118547634104E-2</v>
      </c>
      <c r="E7" s="3" t="s">
        <v>14</v>
      </c>
      <c r="F7" s="3" t="s">
        <v>15</v>
      </c>
      <c r="G7" s="5">
        <v>0.22967524699836073</v>
      </c>
    </row>
    <row r="8" spans="1:8" x14ac:dyDescent="0.3">
      <c r="E8" s="3" t="s">
        <v>16</v>
      </c>
      <c r="F8" s="3" t="s">
        <v>12</v>
      </c>
      <c r="G8" s="5">
        <v>0.20445859872611466</v>
      </c>
    </row>
    <row r="9" spans="1:8" x14ac:dyDescent="0.3">
      <c r="A9" s="19" t="s">
        <v>17</v>
      </c>
      <c r="B9" s="19"/>
      <c r="E9" s="3" t="s">
        <v>18</v>
      </c>
      <c r="F9" s="3" t="s">
        <v>19</v>
      </c>
      <c r="G9" s="5">
        <v>0.20241060666934513</v>
      </c>
    </row>
    <row r="10" spans="1:8" x14ac:dyDescent="0.3">
      <c r="A10" s="3" t="s">
        <v>20</v>
      </c>
      <c r="B10" s="3" t="s">
        <v>21</v>
      </c>
      <c r="E10" s="3" t="s">
        <v>22</v>
      </c>
      <c r="F10" s="3" t="s">
        <v>23</v>
      </c>
      <c r="G10" s="5">
        <v>0.19548583208133888</v>
      </c>
    </row>
    <row r="11" spans="1:8" x14ac:dyDescent="0.3">
      <c r="A11" s="1" t="s">
        <v>24</v>
      </c>
      <c r="B11" s="6">
        <v>208.47058823529412</v>
      </c>
      <c r="E11" s="3" t="s">
        <v>25</v>
      </c>
      <c r="F11" s="3" t="s">
        <v>26</v>
      </c>
      <c r="G11" s="5">
        <v>0.19390491670052823</v>
      </c>
    </row>
    <row r="12" spans="1:8" x14ac:dyDescent="0.3">
      <c r="A12" s="1" t="s">
        <v>27</v>
      </c>
      <c r="B12" s="6">
        <v>197.16923076923078</v>
      </c>
      <c r="E12" s="3" t="s">
        <v>28</v>
      </c>
      <c r="F12" s="3" t="s">
        <v>29</v>
      </c>
      <c r="G12" s="5">
        <v>0.19261223173659131</v>
      </c>
    </row>
    <row r="13" spans="1:8" x14ac:dyDescent="0.3">
      <c r="A13" s="1" t="s">
        <v>30</v>
      </c>
      <c r="B13" s="6">
        <v>192.45871559633028</v>
      </c>
      <c r="E13" s="3" t="s">
        <v>31</v>
      </c>
      <c r="F13" s="3" t="s">
        <v>32</v>
      </c>
      <c r="G13" s="5">
        <v>0.18723441538528934</v>
      </c>
    </row>
    <row r="14" spans="1:8" x14ac:dyDescent="0.3">
      <c r="A14" s="1" t="s">
        <v>33</v>
      </c>
      <c r="B14" s="6">
        <v>186.72027972027973</v>
      </c>
      <c r="E14" s="3" t="s">
        <v>34</v>
      </c>
      <c r="F14" s="3" t="s">
        <v>35</v>
      </c>
      <c r="G14" s="5">
        <v>0.18517978620019437</v>
      </c>
    </row>
    <row r="15" spans="1:8" x14ac:dyDescent="0.3">
      <c r="A15" s="1" t="s">
        <v>36</v>
      </c>
      <c r="B15" s="6">
        <v>183.47761194029852</v>
      </c>
      <c r="G15" s="7"/>
    </row>
    <row r="17" spans="1:9" x14ac:dyDescent="0.3">
      <c r="A17" s="19" t="s">
        <v>37</v>
      </c>
      <c r="B17" s="20"/>
      <c r="C17" s="20"/>
      <c r="D17" s="8"/>
      <c r="E17" s="16" t="s">
        <v>38</v>
      </c>
      <c r="F17" s="16"/>
      <c r="G17" s="16"/>
      <c r="H17" s="16"/>
      <c r="I17" s="16"/>
    </row>
    <row r="18" spans="1:9" x14ac:dyDescent="0.3">
      <c r="A18" s="9" t="s">
        <v>20</v>
      </c>
      <c r="B18" s="9" t="s">
        <v>21</v>
      </c>
      <c r="C18" s="10" t="s">
        <v>39</v>
      </c>
      <c r="E18" s="3" t="s">
        <v>2</v>
      </c>
      <c r="F18" s="3" t="s">
        <v>40</v>
      </c>
      <c r="G18" s="1" t="s">
        <v>41</v>
      </c>
      <c r="H18" s="3" t="s">
        <v>42</v>
      </c>
      <c r="I18" s="3" t="s">
        <v>43</v>
      </c>
    </row>
    <row r="19" spans="1:9" x14ac:dyDescent="0.3">
      <c r="A19" s="11" t="s">
        <v>24</v>
      </c>
      <c r="B19" s="6">
        <v>208.47058823529412</v>
      </c>
      <c r="C19" s="3">
        <f>_xlfn.RANK.EQ(B19,$B$19:$B$23,0)</f>
        <v>1</v>
      </c>
      <c r="E19" s="3" t="s">
        <v>10</v>
      </c>
      <c r="F19" s="3" t="s">
        <v>44</v>
      </c>
      <c r="G19" s="3">
        <v>61815</v>
      </c>
      <c r="H19" s="3">
        <v>7993</v>
      </c>
      <c r="I19" s="3">
        <v>5656</v>
      </c>
    </row>
    <row r="20" spans="1:9" x14ac:dyDescent="0.3">
      <c r="A20" s="3" t="s">
        <v>27</v>
      </c>
      <c r="B20" s="6">
        <v>197.16923076923078</v>
      </c>
      <c r="C20" s="3">
        <f t="shared" ref="C20:C23" si="0">_xlfn.RANK.EQ(B20,$B$19:$B$23,0)</f>
        <v>2</v>
      </c>
      <c r="E20" s="3"/>
      <c r="F20" s="3" t="s">
        <v>45</v>
      </c>
      <c r="G20" s="3">
        <v>189658</v>
      </c>
      <c r="H20" s="3">
        <v>21292</v>
      </c>
      <c r="I20" s="3">
        <v>15162</v>
      </c>
    </row>
    <row r="21" spans="1:9" x14ac:dyDescent="0.3">
      <c r="A21" s="3" t="s">
        <v>30</v>
      </c>
      <c r="B21" s="6">
        <v>192.45871559633028</v>
      </c>
      <c r="C21" s="3">
        <f t="shared" si="0"/>
        <v>3</v>
      </c>
      <c r="E21" s="3" t="s">
        <v>7</v>
      </c>
      <c r="F21" s="3" t="s">
        <v>44</v>
      </c>
      <c r="G21" s="3">
        <v>272103</v>
      </c>
      <c r="H21" s="3">
        <v>26494</v>
      </c>
      <c r="I21" s="3">
        <v>18442</v>
      </c>
    </row>
    <row r="22" spans="1:9" x14ac:dyDescent="0.3">
      <c r="A22" s="3" t="s">
        <v>33</v>
      </c>
      <c r="B22" s="6">
        <v>186.72027972027973</v>
      </c>
      <c r="C22" s="3">
        <f t="shared" si="0"/>
        <v>4</v>
      </c>
      <c r="E22" s="3"/>
      <c r="F22" s="3" t="s">
        <v>45</v>
      </c>
      <c r="G22" s="3">
        <v>178192</v>
      </c>
      <c r="H22" s="3">
        <v>19004</v>
      </c>
      <c r="I22" s="3">
        <v>13135</v>
      </c>
    </row>
    <row r="23" spans="1:9" x14ac:dyDescent="0.3">
      <c r="A23" s="3" t="s">
        <v>36</v>
      </c>
      <c r="B23" s="6">
        <v>183.47761194029852</v>
      </c>
      <c r="C23" s="3">
        <f t="shared" si="0"/>
        <v>5</v>
      </c>
      <c r="E23" s="3" t="s">
        <v>13</v>
      </c>
      <c r="F23" s="3" t="s">
        <v>46</v>
      </c>
      <c r="G23" s="3">
        <v>89871</v>
      </c>
      <c r="H23" s="3">
        <v>9086</v>
      </c>
      <c r="I23" s="3">
        <v>6826</v>
      </c>
    </row>
    <row r="24" spans="1:9" x14ac:dyDescent="0.3">
      <c r="E24" s="3"/>
      <c r="F24" s="3" t="s">
        <v>45</v>
      </c>
      <c r="G24" s="3">
        <v>105536</v>
      </c>
      <c r="H24" s="3">
        <v>9532</v>
      </c>
      <c r="I24" s="3">
        <v>7845</v>
      </c>
    </row>
    <row r="25" spans="1:9" x14ac:dyDescent="0.3">
      <c r="E25" s="3" t="s">
        <v>47</v>
      </c>
      <c r="F25" s="3"/>
      <c r="G25" s="3">
        <v>897175</v>
      </c>
      <c r="H25" s="3">
        <v>93401</v>
      </c>
      <c r="I25" s="3">
        <v>67066</v>
      </c>
    </row>
  </sheetData>
  <mergeCells count="6">
    <mergeCell ref="C1:F1"/>
    <mergeCell ref="A3:B3"/>
    <mergeCell ref="E3:G3"/>
    <mergeCell ref="A9:B9"/>
    <mergeCell ref="A17:C17"/>
    <mergeCell ref="E17:I17"/>
  </mergeCells>
  <conditionalFormatting sqref="A19:A23">
    <cfRule type="expression" dxfId="1" priority="1">
      <formula>$C19&lt;=5</formula>
    </cfRule>
  </conditionalFormatting>
  <conditionalFormatting sqref="C18">
    <cfRule type="top10" dxfId="0" priority="2" rank="5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B09FE-F4DA-4578-8CC1-F7098E463DE9}">
  <dimension ref="A1:N301"/>
  <sheetViews>
    <sheetView workbookViewId="0">
      <selection activeCell="N2" sqref="N2"/>
    </sheetView>
  </sheetViews>
  <sheetFormatPr defaultRowHeight="14.4" x14ac:dyDescent="0.3"/>
  <cols>
    <col min="1" max="1" width="9.109375" bestFit="1" customWidth="1"/>
    <col min="2" max="2" width="10.5546875" bestFit="1" customWidth="1"/>
    <col min="3" max="3" width="10.33203125" bestFit="1" customWidth="1"/>
    <col min="4" max="4" width="14.5546875" bestFit="1" customWidth="1"/>
    <col min="5" max="5" width="36.77734375" bestFit="1" customWidth="1"/>
    <col min="6" max="6" width="7.33203125" bestFit="1" customWidth="1"/>
    <col min="7" max="7" width="8.77734375" bestFit="1" customWidth="1"/>
    <col min="8" max="8" width="12.33203125" bestFit="1" customWidth="1"/>
    <col min="9" max="9" width="13.21875" bestFit="1" customWidth="1"/>
    <col min="10" max="10" width="8.33203125" bestFit="1" customWidth="1"/>
    <col min="11" max="11" width="7.88671875" bestFit="1" customWidth="1"/>
    <col min="12" max="12" width="32" bestFit="1" customWidth="1"/>
    <col min="13" max="13" width="17.77734375" bestFit="1" customWidth="1"/>
    <col min="14" max="14" width="15.88671875" bestFit="1" customWidth="1"/>
  </cols>
  <sheetData>
    <row r="1" spans="1:14" x14ac:dyDescent="0.3">
      <c r="A1" t="s">
        <v>4</v>
      </c>
      <c r="B1" t="s">
        <v>2</v>
      </c>
      <c r="C1" t="s">
        <v>48</v>
      </c>
      <c r="D1" t="s">
        <v>40</v>
      </c>
      <c r="E1" t="s">
        <v>5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</row>
    <row r="2" spans="1:14" x14ac:dyDescent="0.3">
      <c r="A2" t="s">
        <v>58</v>
      </c>
      <c r="B2" t="s">
        <v>10</v>
      </c>
      <c r="C2" s="12">
        <v>45781</v>
      </c>
      <c r="D2" t="s">
        <v>45</v>
      </c>
      <c r="E2" t="s">
        <v>19</v>
      </c>
      <c r="F2">
        <v>2414</v>
      </c>
      <c r="G2">
        <v>245</v>
      </c>
      <c r="H2">
        <v>137</v>
      </c>
      <c r="I2">
        <v>21181</v>
      </c>
      <c r="J2">
        <v>45292</v>
      </c>
      <c r="K2">
        <v>133</v>
      </c>
      <c r="L2" t="s">
        <v>59</v>
      </c>
      <c r="M2" t="s">
        <v>60</v>
      </c>
      <c r="N2">
        <f>(  Posts__2[[#This Row],[Likes]]+Posts__2[[#This Row],[Comments]]+Posts__2[[#This Row],[Shares]] ) / Posts__2[[#This Row],[Impressions]]</f>
        <v>0.13200509890939993</v>
      </c>
    </row>
    <row r="3" spans="1:14" x14ac:dyDescent="0.3">
      <c r="A3" t="s">
        <v>61</v>
      </c>
      <c r="B3" t="s">
        <v>10</v>
      </c>
      <c r="C3" s="12">
        <v>45689</v>
      </c>
      <c r="D3" t="s">
        <v>45</v>
      </c>
      <c r="E3" t="s">
        <v>15</v>
      </c>
      <c r="F3">
        <v>1934</v>
      </c>
      <c r="G3">
        <v>210</v>
      </c>
      <c r="H3">
        <v>393</v>
      </c>
      <c r="I3">
        <v>29129</v>
      </c>
      <c r="J3">
        <v>73287</v>
      </c>
      <c r="K3">
        <v>273</v>
      </c>
      <c r="L3" t="s">
        <v>27</v>
      </c>
      <c r="M3" t="s">
        <v>62</v>
      </c>
      <c r="N3">
        <f>(  Posts__2[[#This Row],[Likes]]+Posts__2[[#This Row],[Comments]]+Posts__2[[#This Row],[Shares]] ) / Posts__2[[#This Row],[Impressions]]</f>
        <v>8.7095334546328396E-2</v>
      </c>
    </row>
    <row r="4" spans="1:14" x14ac:dyDescent="0.3">
      <c r="A4" t="s">
        <v>63</v>
      </c>
      <c r="B4" t="s">
        <v>7</v>
      </c>
      <c r="C4" s="12">
        <v>45629</v>
      </c>
      <c r="D4" t="s">
        <v>44</v>
      </c>
      <c r="E4" t="s">
        <v>12</v>
      </c>
      <c r="F4">
        <v>3092</v>
      </c>
      <c r="G4">
        <v>177</v>
      </c>
      <c r="H4">
        <v>81</v>
      </c>
      <c r="I4">
        <v>47533</v>
      </c>
      <c r="J4">
        <v>29220</v>
      </c>
      <c r="K4">
        <v>121</v>
      </c>
      <c r="L4" t="s">
        <v>64</v>
      </c>
      <c r="M4" t="s">
        <v>60</v>
      </c>
      <c r="N4">
        <f>(  Posts__2[[#This Row],[Likes]]+Posts__2[[#This Row],[Comments]]+Posts__2[[#This Row],[Shares]] ) / Posts__2[[#This Row],[Impressions]]</f>
        <v>7.0477352576105018E-2</v>
      </c>
    </row>
    <row r="5" spans="1:14" x14ac:dyDescent="0.3">
      <c r="A5" t="s">
        <v>65</v>
      </c>
      <c r="B5" t="s">
        <v>10</v>
      </c>
      <c r="C5" s="12">
        <v>45629</v>
      </c>
      <c r="D5" t="s">
        <v>45</v>
      </c>
      <c r="E5" t="s">
        <v>29</v>
      </c>
      <c r="F5">
        <v>3173</v>
      </c>
      <c r="G5">
        <v>229</v>
      </c>
      <c r="H5">
        <v>197</v>
      </c>
      <c r="I5">
        <v>29604</v>
      </c>
      <c r="J5">
        <v>21809</v>
      </c>
      <c r="K5">
        <v>272</v>
      </c>
      <c r="L5" t="s">
        <v>59</v>
      </c>
      <c r="M5" t="s">
        <v>60</v>
      </c>
      <c r="N5">
        <f>(  Posts__2[[#This Row],[Likes]]+Posts__2[[#This Row],[Comments]]+Posts__2[[#This Row],[Shares]] ) / Posts__2[[#This Row],[Impressions]]</f>
        <v>0.1215714092690177</v>
      </c>
    </row>
    <row r="6" spans="1:14" x14ac:dyDescent="0.3">
      <c r="A6" t="s">
        <v>66</v>
      </c>
      <c r="B6" t="s">
        <v>13</v>
      </c>
      <c r="C6" s="12">
        <v>45388</v>
      </c>
      <c r="D6" t="s">
        <v>45</v>
      </c>
      <c r="E6" t="s">
        <v>35</v>
      </c>
      <c r="F6">
        <v>2748</v>
      </c>
      <c r="G6">
        <v>145</v>
      </c>
      <c r="H6">
        <v>315</v>
      </c>
      <c r="I6">
        <v>24401</v>
      </c>
      <c r="J6">
        <v>61182</v>
      </c>
      <c r="K6">
        <v>200</v>
      </c>
      <c r="L6" t="s">
        <v>67</v>
      </c>
      <c r="M6" t="s">
        <v>62</v>
      </c>
      <c r="N6">
        <f>(  Posts__2[[#This Row],[Likes]]+Posts__2[[#This Row],[Comments]]+Posts__2[[#This Row],[Shares]] ) / Posts__2[[#This Row],[Impressions]]</f>
        <v>0.1314700217204213</v>
      </c>
    </row>
    <row r="7" spans="1:14" x14ac:dyDescent="0.3">
      <c r="A7" t="s">
        <v>68</v>
      </c>
      <c r="B7" t="s">
        <v>13</v>
      </c>
      <c r="C7" s="12">
        <v>45456</v>
      </c>
      <c r="D7" t="s">
        <v>45</v>
      </c>
      <c r="E7" t="s">
        <v>23</v>
      </c>
      <c r="F7">
        <v>3882</v>
      </c>
      <c r="G7">
        <v>239</v>
      </c>
      <c r="H7">
        <v>275</v>
      </c>
      <c r="I7">
        <v>58748</v>
      </c>
      <c r="J7">
        <v>44646</v>
      </c>
      <c r="K7">
        <v>149</v>
      </c>
      <c r="L7" t="s">
        <v>67</v>
      </c>
      <c r="M7" t="s">
        <v>62</v>
      </c>
      <c r="N7">
        <f>(  Posts__2[[#This Row],[Likes]]+Posts__2[[#This Row],[Comments]]+Posts__2[[#This Row],[Shares]] ) / Posts__2[[#This Row],[Impressions]]</f>
        <v>7.4828079253761837E-2</v>
      </c>
    </row>
    <row r="8" spans="1:14" x14ac:dyDescent="0.3">
      <c r="A8" t="s">
        <v>8</v>
      </c>
      <c r="B8" t="s">
        <v>7</v>
      </c>
      <c r="C8" s="12">
        <v>45645</v>
      </c>
      <c r="D8" t="s">
        <v>44</v>
      </c>
      <c r="E8" t="s">
        <v>9</v>
      </c>
      <c r="F8">
        <v>4674</v>
      </c>
      <c r="G8">
        <v>409</v>
      </c>
      <c r="H8">
        <v>327</v>
      </c>
      <c r="I8">
        <v>20756</v>
      </c>
      <c r="J8">
        <v>63599</v>
      </c>
      <c r="K8">
        <v>212</v>
      </c>
      <c r="L8" t="s">
        <v>59</v>
      </c>
      <c r="M8" t="s">
        <v>60</v>
      </c>
      <c r="N8">
        <f>(  Posts__2[[#This Row],[Likes]]+Posts__2[[#This Row],[Comments]]+Posts__2[[#This Row],[Shares]] ) / Posts__2[[#This Row],[Impressions]]</f>
        <v>0.26064752360763155</v>
      </c>
    </row>
    <row r="9" spans="1:14" x14ac:dyDescent="0.3">
      <c r="A9" t="s">
        <v>69</v>
      </c>
      <c r="B9" t="s">
        <v>7</v>
      </c>
      <c r="C9" s="12">
        <v>45421</v>
      </c>
      <c r="D9" t="s">
        <v>44</v>
      </c>
      <c r="E9" t="s">
        <v>29</v>
      </c>
      <c r="F9">
        <v>1428</v>
      </c>
      <c r="G9">
        <v>347</v>
      </c>
      <c r="H9">
        <v>67</v>
      </c>
      <c r="I9">
        <v>21148</v>
      </c>
      <c r="J9">
        <v>19712</v>
      </c>
      <c r="K9">
        <v>120</v>
      </c>
      <c r="L9" t="s">
        <v>70</v>
      </c>
      <c r="M9" t="s">
        <v>60</v>
      </c>
      <c r="N9">
        <f>(  Posts__2[[#This Row],[Likes]]+Posts__2[[#This Row],[Comments]]+Posts__2[[#This Row],[Shares]] ) / Posts__2[[#This Row],[Impressions]]</f>
        <v>8.7100435029317191E-2</v>
      </c>
    </row>
    <row r="10" spans="1:14" x14ac:dyDescent="0.3">
      <c r="A10" t="s">
        <v>71</v>
      </c>
      <c r="B10" t="s">
        <v>7</v>
      </c>
      <c r="C10" s="12">
        <v>45823</v>
      </c>
      <c r="D10" t="s">
        <v>45</v>
      </c>
      <c r="E10" t="s">
        <v>32</v>
      </c>
      <c r="F10">
        <v>4432</v>
      </c>
      <c r="G10">
        <v>223</v>
      </c>
      <c r="H10">
        <v>299</v>
      </c>
      <c r="I10">
        <v>59016</v>
      </c>
      <c r="J10">
        <v>21742</v>
      </c>
      <c r="K10">
        <v>171</v>
      </c>
      <c r="L10" t="s">
        <v>33</v>
      </c>
      <c r="M10" t="s">
        <v>60</v>
      </c>
      <c r="N10">
        <f>(  Posts__2[[#This Row],[Likes]]+Posts__2[[#This Row],[Comments]]+Posts__2[[#This Row],[Shares]] ) / Posts__2[[#This Row],[Impressions]]</f>
        <v>8.3943337400027115E-2</v>
      </c>
    </row>
    <row r="11" spans="1:14" x14ac:dyDescent="0.3">
      <c r="A11" t="s">
        <v>72</v>
      </c>
      <c r="B11" t="s">
        <v>7</v>
      </c>
      <c r="C11" s="12">
        <v>45630</v>
      </c>
      <c r="D11" t="s">
        <v>45</v>
      </c>
      <c r="E11" t="s">
        <v>29</v>
      </c>
      <c r="F11">
        <v>2357</v>
      </c>
      <c r="G11">
        <v>274</v>
      </c>
      <c r="H11">
        <v>172</v>
      </c>
      <c r="I11">
        <v>21566</v>
      </c>
      <c r="J11">
        <v>66829</v>
      </c>
      <c r="K11">
        <v>284</v>
      </c>
      <c r="L11" t="s">
        <v>33</v>
      </c>
      <c r="M11" t="s">
        <v>60</v>
      </c>
      <c r="N11">
        <f>(  Posts__2[[#This Row],[Likes]]+Posts__2[[#This Row],[Comments]]+Posts__2[[#This Row],[Shares]] ) / Posts__2[[#This Row],[Impressions]]</f>
        <v>0.12997310581470833</v>
      </c>
    </row>
    <row r="12" spans="1:14" x14ac:dyDescent="0.3">
      <c r="A12" t="s">
        <v>73</v>
      </c>
      <c r="B12" t="s">
        <v>7</v>
      </c>
      <c r="C12" s="12">
        <v>45357</v>
      </c>
      <c r="D12" t="s">
        <v>45</v>
      </c>
      <c r="E12" t="s">
        <v>19</v>
      </c>
      <c r="F12">
        <v>1971</v>
      </c>
      <c r="G12">
        <v>370</v>
      </c>
      <c r="H12">
        <v>306</v>
      </c>
      <c r="I12">
        <v>31316</v>
      </c>
      <c r="J12">
        <v>27897</v>
      </c>
      <c r="K12">
        <v>88</v>
      </c>
      <c r="L12" t="s">
        <v>30</v>
      </c>
      <c r="M12" t="s">
        <v>62</v>
      </c>
      <c r="N12">
        <f>(  Posts__2[[#This Row],[Likes]]+Posts__2[[#This Row],[Comments]]+Posts__2[[#This Row],[Shares]] ) / Posts__2[[#This Row],[Impressions]]</f>
        <v>8.4525482181632389E-2</v>
      </c>
    </row>
    <row r="13" spans="1:14" x14ac:dyDescent="0.3">
      <c r="A13" t="s">
        <v>74</v>
      </c>
      <c r="B13" t="s">
        <v>10</v>
      </c>
      <c r="C13" s="12">
        <v>45426</v>
      </c>
      <c r="D13" t="s">
        <v>45</v>
      </c>
      <c r="E13" t="s">
        <v>19</v>
      </c>
      <c r="F13">
        <v>1485</v>
      </c>
      <c r="G13">
        <v>353</v>
      </c>
      <c r="H13">
        <v>244</v>
      </c>
      <c r="I13">
        <v>38419</v>
      </c>
      <c r="J13">
        <v>38556</v>
      </c>
      <c r="K13">
        <v>86</v>
      </c>
      <c r="L13" t="s">
        <v>59</v>
      </c>
      <c r="M13" t="s">
        <v>60</v>
      </c>
      <c r="N13">
        <f>(  Posts__2[[#This Row],[Likes]]+Posts__2[[#This Row],[Comments]]+Posts__2[[#This Row],[Shares]] ) / Posts__2[[#This Row],[Impressions]]</f>
        <v>5.4191936281527367E-2</v>
      </c>
    </row>
    <row r="14" spans="1:14" x14ac:dyDescent="0.3">
      <c r="A14" t="s">
        <v>75</v>
      </c>
      <c r="B14" t="s">
        <v>7</v>
      </c>
      <c r="C14" s="12">
        <v>45826</v>
      </c>
      <c r="D14" t="s">
        <v>44</v>
      </c>
      <c r="E14" t="s">
        <v>19</v>
      </c>
      <c r="F14">
        <v>3956</v>
      </c>
      <c r="G14">
        <v>319</v>
      </c>
      <c r="H14">
        <v>61</v>
      </c>
      <c r="I14">
        <v>58162</v>
      </c>
      <c r="J14">
        <v>28720</v>
      </c>
      <c r="K14">
        <v>213</v>
      </c>
      <c r="L14" t="s">
        <v>64</v>
      </c>
      <c r="M14" t="s">
        <v>60</v>
      </c>
      <c r="N14">
        <f>(  Posts__2[[#This Row],[Likes]]+Posts__2[[#This Row],[Comments]]+Posts__2[[#This Row],[Shares]] ) / Posts__2[[#This Row],[Impressions]]</f>
        <v>7.4550393727863554E-2</v>
      </c>
    </row>
    <row r="15" spans="1:14" x14ac:dyDescent="0.3">
      <c r="A15" t="s">
        <v>76</v>
      </c>
      <c r="B15" t="s">
        <v>7</v>
      </c>
      <c r="C15" s="12">
        <v>45573</v>
      </c>
      <c r="D15" t="s">
        <v>45</v>
      </c>
      <c r="E15" t="s">
        <v>26</v>
      </c>
      <c r="F15">
        <v>2460</v>
      </c>
      <c r="G15">
        <v>409</v>
      </c>
      <c r="H15">
        <v>253</v>
      </c>
      <c r="I15">
        <v>36702</v>
      </c>
      <c r="J15">
        <v>46122</v>
      </c>
      <c r="K15">
        <v>264</v>
      </c>
      <c r="L15" t="s">
        <v>33</v>
      </c>
      <c r="M15" t="s">
        <v>60</v>
      </c>
      <c r="N15">
        <f>(  Posts__2[[#This Row],[Likes]]+Posts__2[[#This Row],[Comments]]+Posts__2[[#This Row],[Shares]] ) / Posts__2[[#This Row],[Impressions]]</f>
        <v>8.5063484278785892E-2</v>
      </c>
    </row>
    <row r="16" spans="1:14" x14ac:dyDescent="0.3">
      <c r="A16" t="s">
        <v>77</v>
      </c>
      <c r="B16" t="s">
        <v>7</v>
      </c>
      <c r="C16" s="12">
        <v>45418</v>
      </c>
      <c r="D16" t="s">
        <v>45</v>
      </c>
      <c r="E16" t="s">
        <v>78</v>
      </c>
      <c r="F16">
        <v>3476</v>
      </c>
      <c r="G16">
        <v>355</v>
      </c>
      <c r="H16">
        <v>396</v>
      </c>
      <c r="I16">
        <v>37492</v>
      </c>
      <c r="J16">
        <v>27285</v>
      </c>
      <c r="K16">
        <v>179</v>
      </c>
      <c r="L16" t="s">
        <v>33</v>
      </c>
      <c r="M16" t="s">
        <v>60</v>
      </c>
      <c r="N16">
        <f>(  Posts__2[[#This Row],[Likes]]+Posts__2[[#This Row],[Comments]]+Posts__2[[#This Row],[Shares]] ) / Posts__2[[#This Row],[Impressions]]</f>
        <v>0.11274405206444041</v>
      </c>
    </row>
    <row r="17" spans="1:14" x14ac:dyDescent="0.3">
      <c r="A17" t="s">
        <v>79</v>
      </c>
      <c r="B17" t="s">
        <v>7</v>
      </c>
      <c r="C17" s="12">
        <v>45655</v>
      </c>
      <c r="D17" t="s">
        <v>44</v>
      </c>
      <c r="E17" t="s">
        <v>12</v>
      </c>
      <c r="F17">
        <v>4049</v>
      </c>
      <c r="G17">
        <v>377</v>
      </c>
      <c r="H17">
        <v>94</v>
      </c>
      <c r="I17">
        <v>48182</v>
      </c>
      <c r="J17">
        <v>42875</v>
      </c>
      <c r="K17">
        <v>172</v>
      </c>
      <c r="L17" t="s">
        <v>64</v>
      </c>
      <c r="M17" t="s">
        <v>60</v>
      </c>
      <c r="N17">
        <f>(  Posts__2[[#This Row],[Likes]]+Posts__2[[#This Row],[Comments]]+Posts__2[[#This Row],[Shares]] ) / Posts__2[[#This Row],[Impressions]]</f>
        <v>9.3810966751068869E-2</v>
      </c>
    </row>
    <row r="18" spans="1:14" x14ac:dyDescent="0.3">
      <c r="A18" t="s">
        <v>80</v>
      </c>
      <c r="B18" t="s">
        <v>7</v>
      </c>
      <c r="C18" s="12">
        <v>45453</v>
      </c>
      <c r="D18" t="s">
        <v>45</v>
      </c>
      <c r="E18" t="s">
        <v>23</v>
      </c>
      <c r="F18">
        <v>1514</v>
      </c>
      <c r="G18">
        <v>164</v>
      </c>
      <c r="H18">
        <v>275</v>
      </c>
      <c r="I18">
        <v>41364</v>
      </c>
      <c r="J18">
        <v>44389</v>
      </c>
      <c r="K18">
        <v>83</v>
      </c>
      <c r="L18" t="s">
        <v>33</v>
      </c>
      <c r="M18" t="s">
        <v>60</v>
      </c>
      <c r="N18">
        <f>(  Posts__2[[#This Row],[Likes]]+Posts__2[[#This Row],[Comments]]+Posts__2[[#This Row],[Shares]] ) / Posts__2[[#This Row],[Impressions]]</f>
        <v>4.7214969538729328E-2</v>
      </c>
    </row>
    <row r="19" spans="1:14" x14ac:dyDescent="0.3">
      <c r="A19" t="s">
        <v>81</v>
      </c>
      <c r="B19" t="s">
        <v>10</v>
      </c>
      <c r="C19" s="12">
        <v>45325</v>
      </c>
      <c r="D19" t="s">
        <v>44</v>
      </c>
      <c r="E19" t="s">
        <v>35</v>
      </c>
      <c r="F19">
        <v>4281</v>
      </c>
      <c r="G19">
        <v>101</v>
      </c>
      <c r="H19">
        <v>163</v>
      </c>
      <c r="I19">
        <v>32278</v>
      </c>
      <c r="J19">
        <v>53382</v>
      </c>
      <c r="K19">
        <v>235</v>
      </c>
      <c r="L19" t="s">
        <v>33</v>
      </c>
      <c r="M19" t="s">
        <v>82</v>
      </c>
      <c r="N19">
        <f>(  Posts__2[[#This Row],[Likes]]+Posts__2[[#This Row],[Comments]]+Posts__2[[#This Row],[Shares]] ) / Posts__2[[#This Row],[Impressions]]</f>
        <v>0.1408079806679472</v>
      </c>
    </row>
    <row r="20" spans="1:14" x14ac:dyDescent="0.3">
      <c r="A20" t="s">
        <v>83</v>
      </c>
      <c r="B20" t="s">
        <v>13</v>
      </c>
      <c r="C20" s="12">
        <v>45458</v>
      </c>
      <c r="D20" t="s">
        <v>46</v>
      </c>
      <c r="E20" t="s">
        <v>9</v>
      </c>
      <c r="F20">
        <v>1751</v>
      </c>
      <c r="G20">
        <v>143</v>
      </c>
      <c r="H20">
        <v>151</v>
      </c>
      <c r="I20">
        <v>31826</v>
      </c>
      <c r="J20">
        <v>47729</v>
      </c>
      <c r="K20">
        <v>95</v>
      </c>
      <c r="L20" t="s">
        <v>84</v>
      </c>
      <c r="M20" t="s">
        <v>85</v>
      </c>
      <c r="N20">
        <f>(  Posts__2[[#This Row],[Likes]]+Posts__2[[#This Row],[Comments]]+Posts__2[[#This Row],[Shares]] ) / Posts__2[[#This Row],[Impressions]]</f>
        <v>6.4255640042732362E-2</v>
      </c>
    </row>
    <row r="21" spans="1:14" x14ac:dyDescent="0.3">
      <c r="A21" t="s">
        <v>86</v>
      </c>
      <c r="B21" t="s">
        <v>10</v>
      </c>
      <c r="C21" s="12">
        <v>45478</v>
      </c>
      <c r="D21" t="s">
        <v>45</v>
      </c>
      <c r="E21" t="s">
        <v>78</v>
      </c>
      <c r="F21">
        <v>3753</v>
      </c>
      <c r="G21">
        <v>411</v>
      </c>
      <c r="H21">
        <v>308</v>
      </c>
      <c r="I21">
        <v>29138</v>
      </c>
      <c r="J21">
        <v>27678</v>
      </c>
      <c r="K21">
        <v>90</v>
      </c>
      <c r="L21" t="s">
        <v>27</v>
      </c>
      <c r="M21" t="s">
        <v>62</v>
      </c>
      <c r="N21">
        <f>(  Posts__2[[#This Row],[Likes]]+Posts__2[[#This Row],[Comments]]+Posts__2[[#This Row],[Shares]] ) / Posts__2[[#This Row],[Impressions]]</f>
        <v>0.15347655981879332</v>
      </c>
    </row>
    <row r="22" spans="1:14" x14ac:dyDescent="0.3">
      <c r="A22" t="s">
        <v>87</v>
      </c>
      <c r="B22" t="s">
        <v>10</v>
      </c>
      <c r="C22" s="12">
        <v>45603</v>
      </c>
      <c r="D22" t="s">
        <v>44</v>
      </c>
      <c r="E22" t="s">
        <v>29</v>
      </c>
      <c r="F22">
        <v>1678</v>
      </c>
      <c r="G22">
        <v>423</v>
      </c>
      <c r="H22">
        <v>323</v>
      </c>
      <c r="I22">
        <v>55668</v>
      </c>
      <c r="J22">
        <v>37945</v>
      </c>
      <c r="K22">
        <v>230</v>
      </c>
      <c r="L22" t="s">
        <v>33</v>
      </c>
      <c r="M22" t="s">
        <v>82</v>
      </c>
      <c r="N22">
        <f>(  Posts__2[[#This Row],[Likes]]+Posts__2[[#This Row],[Comments]]+Posts__2[[#This Row],[Shares]] ) / Posts__2[[#This Row],[Impressions]]</f>
        <v>4.3543867212761371E-2</v>
      </c>
    </row>
    <row r="23" spans="1:14" x14ac:dyDescent="0.3">
      <c r="A23" t="s">
        <v>22</v>
      </c>
      <c r="B23" t="s">
        <v>10</v>
      </c>
      <c r="C23" s="12">
        <v>45823</v>
      </c>
      <c r="D23" t="s">
        <v>45</v>
      </c>
      <c r="E23" t="s">
        <v>23</v>
      </c>
      <c r="F23">
        <v>4896</v>
      </c>
      <c r="G23">
        <v>466</v>
      </c>
      <c r="H23">
        <v>233</v>
      </c>
      <c r="I23">
        <v>28621</v>
      </c>
      <c r="J23">
        <v>34270</v>
      </c>
      <c r="K23">
        <v>84</v>
      </c>
      <c r="L23" t="s">
        <v>59</v>
      </c>
      <c r="M23" t="s">
        <v>60</v>
      </c>
      <c r="N23">
        <f>(  Posts__2[[#This Row],[Likes]]+Posts__2[[#This Row],[Comments]]+Posts__2[[#This Row],[Shares]] ) / Posts__2[[#This Row],[Impressions]]</f>
        <v>0.19548583208133888</v>
      </c>
    </row>
    <row r="24" spans="1:14" x14ac:dyDescent="0.3">
      <c r="A24" t="s">
        <v>88</v>
      </c>
      <c r="B24" t="s">
        <v>13</v>
      </c>
      <c r="C24" s="12">
        <v>45452</v>
      </c>
      <c r="D24" t="s">
        <v>46</v>
      </c>
      <c r="E24" t="s">
        <v>26</v>
      </c>
      <c r="F24">
        <v>2786</v>
      </c>
      <c r="G24">
        <v>368</v>
      </c>
      <c r="H24">
        <v>208</v>
      </c>
      <c r="I24">
        <v>42000</v>
      </c>
      <c r="J24">
        <v>39967</v>
      </c>
      <c r="K24">
        <v>103</v>
      </c>
      <c r="L24" t="s">
        <v>84</v>
      </c>
      <c r="M24" t="s">
        <v>85</v>
      </c>
      <c r="N24">
        <f>(  Posts__2[[#This Row],[Likes]]+Posts__2[[#This Row],[Comments]]+Posts__2[[#This Row],[Shares]] ) / Posts__2[[#This Row],[Impressions]]</f>
        <v>8.0047619047619048E-2</v>
      </c>
    </row>
    <row r="25" spans="1:14" x14ac:dyDescent="0.3">
      <c r="A25" t="s">
        <v>89</v>
      </c>
      <c r="B25" t="s">
        <v>7</v>
      </c>
      <c r="C25" s="12">
        <v>45583</v>
      </c>
      <c r="D25" t="s">
        <v>45</v>
      </c>
      <c r="E25" t="s">
        <v>12</v>
      </c>
      <c r="F25">
        <v>2607</v>
      </c>
      <c r="G25">
        <v>379</v>
      </c>
      <c r="H25">
        <v>180</v>
      </c>
      <c r="I25">
        <v>28712</v>
      </c>
      <c r="J25">
        <v>61620</v>
      </c>
      <c r="K25">
        <v>174</v>
      </c>
      <c r="L25" t="s">
        <v>30</v>
      </c>
      <c r="M25" t="s">
        <v>62</v>
      </c>
      <c r="N25">
        <f>(  Posts__2[[#This Row],[Likes]]+Posts__2[[#This Row],[Comments]]+Posts__2[[#This Row],[Shares]] ) / Posts__2[[#This Row],[Impressions]]</f>
        <v>0.11026748397882419</v>
      </c>
    </row>
    <row r="26" spans="1:14" x14ac:dyDescent="0.3">
      <c r="A26" t="s">
        <v>90</v>
      </c>
      <c r="B26" t="s">
        <v>13</v>
      </c>
      <c r="C26" s="12">
        <v>45575</v>
      </c>
      <c r="D26" t="s">
        <v>46</v>
      </c>
      <c r="E26" t="s">
        <v>26</v>
      </c>
      <c r="F26">
        <v>4013</v>
      </c>
      <c r="G26">
        <v>320</v>
      </c>
      <c r="H26">
        <v>92</v>
      </c>
      <c r="I26">
        <v>54605</v>
      </c>
      <c r="J26">
        <v>60169</v>
      </c>
      <c r="K26">
        <v>232</v>
      </c>
      <c r="L26" t="s">
        <v>84</v>
      </c>
      <c r="M26" t="s">
        <v>85</v>
      </c>
      <c r="N26">
        <f>(  Posts__2[[#This Row],[Likes]]+Posts__2[[#This Row],[Comments]]+Posts__2[[#This Row],[Shares]] ) / Posts__2[[#This Row],[Impressions]]</f>
        <v>8.1036535115831879E-2</v>
      </c>
    </row>
    <row r="27" spans="1:14" x14ac:dyDescent="0.3">
      <c r="A27" t="s">
        <v>91</v>
      </c>
      <c r="B27" t="s">
        <v>7</v>
      </c>
      <c r="C27" s="12">
        <v>45791</v>
      </c>
      <c r="D27" t="s">
        <v>44</v>
      </c>
      <c r="E27" t="s">
        <v>26</v>
      </c>
      <c r="F27">
        <v>2707</v>
      </c>
      <c r="G27">
        <v>103</v>
      </c>
      <c r="H27">
        <v>51</v>
      </c>
      <c r="I27">
        <v>55302</v>
      </c>
      <c r="J27">
        <v>18801</v>
      </c>
      <c r="K27">
        <v>147</v>
      </c>
      <c r="L27" t="s">
        <v>70</v>
      </c>
      <c r="M27" t="s">
        <v>60</v>
      </c>
      <c r="N27">
        <f>(  Posts__2[[#This Row],[Likes]]+Posts__2[[#This Row],[Comments]]+Posts__2[[#This Row],[Shares]] ) / Posts__2[[#This Row],[Impressions]]</f>
        <v>5.173411449857148E-2</v>
      </c>
    </row>
    <row r="28" spans="1:14" x14ac:dyDescent="0.3">
      <c r="A28" t="s">
        <v>92</v>
      </c>
      <c r="B28" t="s">
        <v>10</v>
      </c>
      <c r="C28" s="12">
        <v>45625</v>
      </c>
      <c r="D28" t="s">
        <v>45</v>
      </c>
      <c r="E28" t="s">
        <v>23</v>
      </c>
      <c r="F28">
        <v>2824</v>
      </c>
      <c r="G28">
        <v>425</v>
      </c>
      <c r="H28">
        <v>274</v>
      </c>
      <c r="I28">
        <v>31004</v>
      </c>
      <c r="J28">
        <v>53488</v>
      </c>
      <c r="K28">
        <v>268</v>
      </c>
      <c r="L28" t="s">
        <v>59</v>
      </c>
      <c r="M28" t="s">
        <v>60</v>
      </c>
      <c r="N28">
        <f>(  Posts__2[[#This Row],[Likes]]+Posts__2[[#This Row],[Comments]]+Posts__2[[#This Row],[Shares]] ) / Posts__2[[#This Row],[Impressions]]</f>
        <v>0.11363049929041415</v>
      </c>
    </row>
    <row r="29" spans="1:14" x14ac:dyDescent="0.3">
      <c r="A29" t="s">
        <v>93</v>
      </c>
      <c r="B29" t="s">
        <v>13</v>
      </c>
      <c r="C29" s="12">
        <v>45356</v>
      </c>
      <c r="D29" t="s">
        <v>46</v>
      </c>
      <c r="E29" t="s">
        <v>15</v>
      </c>
      <c r="F29">
        <v>3558</v>
      </c>
      <c r="G29">
        <v>314</v>
      </c>
      <c r="H29">
        <v>199</v>
      </c>
      <c r="I29">
        <v>49612</v>
      </c>
      <c r="J29">
        <v>53929</v>
      </c>
      <c r="K29">
        <v>206</v>
      </c>
      <c r="L29" t="s">
        <v>84</v>
      </c>
      <c r="M29" t="s">
        <v>85</v>
      </c>
      <c r="N29">
        <f>(  Posts__2[[#This Row],[Likes]]+Posts__2[[#This Row],[Comments]]+Posts__2[[#This Row],[Shares]] ) / Posts__2[[#This Row],[Impressions]]</f>
        <v>8.205676046117874E-2</v>
      </c>
    </row>
    <row r="30" spans="1:14" x14ac:dyDescent="0.3">
      <c r="A30" t="s">
        <v>94</v>
      </c>
      <c r="B30" t="s">
        <v>7</v>
      </c>
      <c r="C30" s="12">
        <v>45734</v>
      </c>
      <c r="D30" t="s">
        <v>44</v>
      </c>
      <c r="E30" t="s">
        <v>15</v>
      </c>
      <c r="F30">
        <v>3418</v>
      </c>
      <c r="G30">
        <v>188</v>
      </c>
      <c r="H30">
        <v>387</v>
      </c>
      <c r="I30">
        <v>57431</v>
      </c>
      <c r="J30">
        <v>36933</v>
      </c>
      <c r="K30">
        <v>202</v>
      </c>
      <c r="L30" t="s">
        <v>64</v>
      </c>
      <c r="M30" t="s">
        <v>60</v>
      </c>
      <c r="N30">
        <f>(  Posts__2[[#This Row],[Likes]]+Posts__2[[#This Row],[Comments]]+Posts__2[[#This Row],[Shares]] ) / Posts__2[[#This Row],[Impressions]]</f>
        <v>6.9526910553533799E-2</v>
      </c>
    </row>
    <row r="31" spans="1:14" x14ac:dyDescent="0.3">
      <c r="A31" t="s">
        <v>95</v>
      </c>
      <c r="B31" t="s">
        <v>7</v>
      </c>
      <c r="C31" s="12">
        <v>45773</v>
      </c>
      <c r="D31" t="s">
        <v>45</v>
      </c>
      <c r="E31" t="s">
        <v>19</v>
      </c>
      <c r="F31">
        <v>2411</v>
      </c>
      <c r="G31">
        <v>194</v>
      </c>
      <c r="H31">
        <v>168</v>
      </c>
      <c r="I31">
        <v>26665</v>
      </c>
      <c r="J31">
        <v>71699</v>
      </c>
      <c r="K31">
        <v>197</v>
      </c>
      <c r="L31" t="s">
        <v>33</v>
      </c>
      <c r="M31" t="s">
        <v>60</v>
      </c>
      <c r="N31">
        <f>(  Posts__2[[#This Row],[Likes]]+Posts__2[[#This Row],[Comments]]+Posts__2[[#This Row],[Shares]] ) / Posts__2[[#This Row],[Impressions]]</f>
        <v>0.10399399962497656</v>
      </c>
    </row>
    <row r="32" spans="1:14" x14ac:dyDescent="0.3">
      <c r="A32" t="s">
        <v>96</v>
      </c>
      <c r="B32" t="s">
        <v>10</v>
      </c>
      <c r="C32" s="12">
        <v>45658</v>
      </c>
      <c r="D32" t="s">
        <v>45</v>
      </c>
      <c r="E32" t="s">
        <v>12</v>
      </c>
      <c r="F32">
        <v>4036</v>
      </c>
      <c r="G32">
        <v>112</v>
      </c>
      <c r="H32">
        <v>382</v>
      </c>
      <c r="I32">
        <v>56284</v>
      </c>
      <c r="J32">
        <v>29440</v>
      </c>
      <c r="K32">
        <v>279</v>
      </c>
      <c r="L32" t="s">
        <v>59</v>
      </c>
      <c r="M32" t="s">
        <v>60</v>
      </c>
      <c r="N32">
        <f>(  Posts__2[[#This Row],[Likes]]+Posts__2[[#This Row],[Comments]]+Posts__2[[#This Row],[Shares]] ) / Posts__2[[#This Row],[Impressions]]</f>
        <v>8.0484684812735408E-2</v>
      </c>
    </row>
    <row r="33" spans="1:14" x14ac:dyDescent="0.3">
      <c r="A33" t="s">
        <v>97</v>
      </c>
      <c r="B33" t="s">
        <v>7</v>
      </c>
      <c r="C33" s="12">
        <v>45419</v>
      </c>
      <c r="D33" t="s">
        <v>44</v>
      </c>
      <c r="E33" t="s">
        <v>15</v>
      </c>
      <c r="F33">
        <v>2776</v>
      </c>
      <c r="G33">
        <v>307</v>
      </c>
      <c r="H33">
        <v>178</v>
      </c>
      <c r="I33">
        <v>43365</v>
      </c>
      <c r="J33">
        <v>48408</v>
      </c>
      <c r="K33">
        <v>138</v>
      </c>
      <c r="L33" t="s">
        <v>59</v>
      </c>
      <c r="M33" t="s">
        <v>60</v>
      </c>
      <c r="N33">
        <f>(  Posts__2[[#This Row],[Likes]]+Posts__2[[#This Row],[Comments]]+Posts__2[[#This Row],[Shares]] ) / Posts__2[[#This Row],[Impressions]]</f>
        <v>7.519889311656866E-2</v>
      </c>
    </row>
    <row r="34" spans="1:14" x14ac:dyDescent="0.3">
      <c r="A34" t="s">
        <v>98</v>
      </c>
      <c r="B34" t="s">
        <v>7</v>
      </c>
      <c r="C34" s="12">
        <v>45574</v>
      </c>
      <c r="D34" t="s">
        <v>44</v>
      </c>
      <c r="E34" t="s">
        <v>19</v>
      </c>
      <c r="F34">
        <v>4929</v>
      </c>
      <c r="G34">
        <v>182</v>
      </c>
      <c r="H34">
        <v>95</v>
      </c>
      <c r="I34">
        <v>32181</v>
      </c>
      <c r="J34">
        <v>31084</v>
      </c>
      <c r="K34">
        <v>289</v>
      </c>
      <c r="L34" t="s">
        <v>70</v>
      </c>
      <c r="M34" t="s">
        <v>60</v>
      </c>
      <c r="N34">
        <f>(  Posts__2[[#This Row],[Likes]]+Posts__2[[#This Row],[Comments]]+Posts__2[[#This Row],[Shares]] ) / Posts__2[[#This Row],[Impressions]]</f>
        <v>0.16177247444144061</v>
      </c>
    </row>
    <row r="35" spans="1:14" x14ac:dyDescent="0.3">
      <c r="A35" t="s">
        <v>99</v>
      </c>
      <c r="B35" t="s">
        <v>10</v>
      </c>
      <c r="C35" s="12">
        <v>45666</v>
      </c>
      <c r="D35" t="s">
        <v>45</v>
      </c>
      <c r="E35" t="s">
        <v>12</v>
      </c>
      <c r="F35">
        <v>1015</v>
      </c>
      <c r="G35">
        <v>366</v>
      </c>
      <c r="H35">
        <v>308</v>
      </c>
      <c r="I35">
        <v>38127</v>
      </c>
      <c r="J35">
        <v>63790</v>
      </c>
      <c r="K35">
        <v>287</v>
      </c>
      <c r="L35" t="s">
        <v>59</v>
      </c>
      <c r="M35" t="s">
        <v>60</v>
      </c>
      <c r="N35">
        <f>(  Posts__2[[#This Row],[Likes]]+Posts__2[[#This Row],[Comments]]+Posts__2[[#This Row],[Shares]] ) / Posts__2[[#This Row],[Impressions]]</f>
        <v>4.4299315445747112E-2</v>
      </c>
    </row>
    <row r="36" spans="1:14" x14ac:dyDescent="0.3">
      <c r="A36" t="s">
        <v>100</v>
      </c>
      <c r="B36" t="s">
        <v>7</v>
      </c>
      <c r="C36" s="12">
        <v>45785</v>
      </c>
      <c r="D36" t="s">
        <v>44</v>
      </c>
      <c r="E36" t="s">
        <v>78</v>
      </c>
      <c r="F36">
        <v>3316</v>
      </c>
      <c r="G36">
        <v>332</v>
      </c>
      <c r="H36">
        <v>268</v>
      </c>
      <c r="I36">
        <v>40095</v>
      </c>
      <c r="J36">
        <v>36913</v>
      </c>
      <c r="K36">
        <v>265</v>
      </c>
      <c r="L36" t="s">
        <v>64</v>
      </c>
      <c r="M36" t="s">
        <v>60</v>
      </c>
      <c r="N36">
        <f>(  Posts__2[[#This Row],[Likes]]+Posts__2[[#This Row],[Comments]]+Posts__2[[#This Row],[Shares]] ) / Posts__2[[#This Row],[Impressions]]</f>
        <v>9.7668038408779148E-2</v>
      </c>
    </row>
    <row r="37" spans="1:14" x14ac:dyDescent="0.3">
      <c r="A37" t="s">
        <v>101</v>
      </c>
      <c r="B37" t="s">
        <v>10</v>
      </c>
      <c r="C37" s="12">
        <v>45416</v>
      </c>
      <c r="D37" t="s">
        <v>45</v>
      </c>
      <c r="E37" t="s">
        <v>29</v>
      </c>
      <c r="F37">
        <v>2274</v>
      </c>
      <c r="G37">
        <v>243</v>
      </c>
      <c r="H37">
        <v>222</v>
      </c>
      <c r="I37">
        <v>43066</v>
      </c>
      <c r="J37">
        <v>59174</v>
      </c>
      <c r="K37">
        <v>80</v>
      </c>
      <c r="L37" t="s">
        <v>27</v>
      </c>
      <c r="M37" t="s">
        <v>62</v>
      </c>
      <c r="N37">
        <f>(  Posts__2[[#This Row],[Likes]]+Posts__2[[#This Row],[Comments]]+Posts__2[[#This Row],[Shares]] ) / Posts__2[[#This Row],[Impressions]]</f>
        <v>6.3600055728416843E-2</v>
      </c>
    </row>
    <row r="38" spans="1:14" x14ac:dyDescent="0.3">
      <c r="A38" t="s">
        <v>102</v>
      </c>
      <c r="B38" t="s">
        <v>7</v>
      </c>
      <c r="C38" s="12">
        <v>45804</v>
      </c>
      <c r="D38" t="s">
        <v>44</v>
      </c>
      <c r="E38" t="s">
        <v>15</v>
      </c>
      <c r="F38">
        <v>4095</v>
      </c>
      <c r="G38">
        <v>385</v>
      </c>
      <c r="H38">
        <v>400</v>
      </c>
      <c r="I38">
        <v>45300</v>
      </c>
      <c r="J38">
        <v>31795</v>
      </c>
      <c r="K38">
        <v>80</v>
      </c>
      <c r="L38" t="s">
        <v>64</v>
      </c>
      <c r="M38" t="s">
        <v>60</v>
      </c>
      <c r="N38">
        <f>(  Posts__2[[#This Row],[Likes]]+Posts__2[[#This Row],[Comments]]+Posts__2[[#This Row],[Shares]] ) / Posts__2[[#This Row],[Impressions]]</f>
        <v>0.10772626931567329</v>
      </c>
    </row>
    <row r="39" spans="1:14" x14ac:dyDescent="0.3">
      <c r="A39" t="s">
        <v>103</v>
      </c>
      <c r="B39" t="s">
        <v>10</v>
      </c>
      <c r="C39" s="12">
        <v>45545</v>
      </c>
      <c r="D39" t="s">
        <v>44</v>
      </c>
      <c r="E39" t="s">
        <v>12</v>
      </c>
      <c r="F39">
        <v>1230</v>
      </c>
      <c r="G39">
        <v>309</v>
      </c>
      <c r="H39">
        <v>207</v>
      </c>
      <c r="I39">
        <v>44629</v>
      </c>
      <c r="J39">
        <v>40699</v>
      </c>
      <c r="K39">
        <v>195</v>
      </c>
      <c r="L39" t="s">
        <v>33</v>
      </c>
      <c r="M39" t="s">
        <v>82</v>
      </c>
      <c r="N39">
        <f>(  Posts__2[[#This Row],[Likes]]+Posts__2[[#This Row],[Comments]]+Posts__2[[#This Row],[Shares]] ) / Posts__2[[#This Row],[Impressions]]</f>
        <v>3.9122543637545096E-2</v>
      </c>
    </row>
    <row r="40" spans="1:14" x14ac:dyDescent="0.3">
      <c r="A40" t="s">
        <v>104</v>
      </c>
      <c r="B40" t="s">
        <v>10</v>
      </c>
      <c r="C40" s="12">
        <v>45621</v>
      </c>
      <c r="D40" t="s">
        <v>45</v>
      </c>
      <c r="E40" t="s">
        <v>26</v>
      </c>
      <c r="F40">
        <v>1341</v>
      </c>
      <c r="G40">
        <v>472</v>
      </c>
      <c r="H40">
        <v>238</v>
      </c>
      <c r="I40">
        <v>51386</v>
      </c>
      <c r="J40">
        <v>51706</v>
      </c>
      <c r="K40">
        <v>133</v>
      </c>
      <c r="L40" t="s">
        <v>27</v>
      </c>
      <c r="M40" t="s">
        <v>62</v>
      </c>
      <c r="N40">
        <f>(  Posts__2[[#This Row],[Likes]]+Posts__2[[#This Row],[Comments]]+Posts__2[[#This Row],[Shares]] ) / Posts__2[[#This Row],[Impressions]]</f>
        <v>3.9913595142645857E-2</v>
      </c>
    </row>
    <row r="41" spans="1:14" x14ac:dyDescent="0.3">
      <c r="A41" t="s">
        <v>105</v>
      </c>
      <c r="B41" t="s">
        <v>7</v>
      </c>
      <c r="C41" s="12">
        <v>45818</v>
      </c>
      <c r="D41" t="s">
        <v>45</v>
      </c>
      <c r="E41" t="s">
        <v>15</v>
      </c>
      <c r="F41">
        <v>3615</v>
      </c>
      <c r="G41">
        <v>192</v>
      </c>
      <c r="H41">
        <v>162</v>
      </c>
      <c r="I41">
        <v>27492</v>
      </c>
      <c r="J41">
        <v>35341</v>
      </c>
      <c r="K41">
        <v>125</v>
      </c>
      <c r="L41" t="s">
        <v>33</v>
      </c>
      <c r="M41" t="s">
        <v>60</v>
      </c>
      <c r="N41">
        <f>(  Posts__2[[#This Row],[Likes]]+Posts__2[[#This Row],[Comments]]+Posts__2[[#This Row],[Shares]] ) / Posts__2[[#This Row],[Impressions]]</f>
        <v>0.14436927106067218</v>
      </c>
    </row>
    <row r="42" spans="1:14" x14ac:dyDescent="0.3">
      <c r="A42" t="s">
        <v>106</v>
      </c>
      <c r="B42" t="s">
        <v>10</v>
      </c>
      <c r="C42" s="12">
        <v>45401</v>
      </c>
      <c r="D42" t="s">
        <v>45</v>
      </c>
      <c r="E42" t="s">
        <v>12</v>
      </c>
      <c r="F42">
        <v>4001</v>
      </c>
      <c r="G42">
        <v>353</v>
      </c>
      <c r="H42">
        <v>129</v>
      </c>
      <c r="I42">
        <v>41265</v>
      </c>
      <c r="J42">
        <v>37279</v>
      </c>
      <c r="K42">
        <v>275</v>
      </c>
      <c r="L42" t="s">
        <v>59</v>
      </c>
      <c r="M42" t="s">
        <v>60</v>
      </c>
      <c r="N42">
        <f>(  Posts__2[[#This Row],[Likes]]+Posts__2[[#This Row],[Comments]]+Posts__2[[#This Row],[Shares]] ) / Posts__2[[#This Row],[Impressions]]</f>
        <v>0.10863928268508422</v>
      </c>
    </row>
    <row r="43" spans="1:14" x14ac:dyDescent="0.3">
      <c r="A43" t="s">
        <v>107</v>
      </c>
      <c r="B43" t="s">
        <v>10</v>
      </c>
      <c r="C43" s="12">
        <v>45683</v>
      </c>
      <c r="D43" t="s">
        <v>44</v>
      </c>
      <c r="E43" t="s">
        <v>23</v>
      </c>
      <c r="F43">
        <v>3451</v>
      </c>
      <c r="G43">
        <v>363</v>
      </c>
      <c r="H43">
        <v>393</v>
      </c>
      <c r="I43">
        <v>44853</v>
      </c>
      <c r="J43">
        <v>69032</v>
      </c>
      <c r="K43">
        <v>211</v>
      </c>
      <c r="L43" t="s">
        <v>33</v>
      </c>
      <c r="M43" t="s">
        <v>82</v>
      </c>
      <c r="N43">
        <f>(  Posts__2[[#This Row],[Likes]]+Posts__2[[#This Row],[Comments]]+Posts__2[[#This Row],[Shares]] ) / Posts__2[[#This Row],[Impressions]]</f>
        <v>9.379528682585335E-2</v>
      </c>
    </row>
    <row r="44" spans="1:14" x14ac:dyDescent="0.3">
      <c r="A44" t="s">
        <v>108</v>
      </c>
      <c r="B44" t="s">
        <v>10</v>
      </c>
      <c r="C44" s="12">
        <v>45702</v>
      </c>
      <c r="D44" t="s">
        <v>45</v>
      </c>
      <c r="E44" t="s">
        <v>32</v>
      </c>
      <c r="F44">
        <v>4891</v>
      </c>
      <c r="G44">
        <v>450</v>
      </c>
      <c r="H44">
        <v>387</v>
      </c>
      <c r="I44">
        <v>48746</v>
      </c>
      <c r="J44">
        <v>37312</v>
      </c>
      <c r="K44">
        <v>154</v>
      </c>
      <c r="L44" t="s">
        <v>59</v>
      </c>
      <c r="M44" t="s">
        <v>60</v>
      </c>
      <c r="N44">
        <f>(  Posts__2[[#This Row],[Likes]]+Posts__2[[#This Row],[Comments]]+Posts__2[[#This Row],[Shares]] ) / Posts__2[[#This Row],[Impressions]]</f>
        <v>0.11750707750379519</v>
      </c>
    </row>
    <row r="45" spans="1:14" x14ac:dyDescent="0.3">
      <c r="A45" t="s">
        <v>109</v>
      </c>
      <c r="B45" t="s">
        <v>10</v>
      </c>
      <c r="C45" s="12">
        <v>45541</v>
      </c>
      <c r="D45" t="s">
        <v>45</v>
      </c>
      <c r="E45" t="s">
        <v>12</v>
      </c>
      <c r="F45">
        <v>1452</v>
      </c>
      <c r="G45">
        <v>281</v>
      </c>
      <c r="H45">
        <v>326</v>
      </c>
      <c r="I45">
        <v>51556</v>
      </c>
      <c r="J45">
        <v>62599</v>
      </c>
      <c r="K45">
        <v>290</v>
      </c>
      <c r="L45" t="s">
        <v>27</v>
      </c>
      <c r="M45" t="s">
        <v>62</v>
      </c>
      <c r="N45">
        <f>(  Posts__2[[#This Row],[Likes]]+Posts__2[[#This Row],[Comments]]+Posts__2[[#This Row],[Shares]] ) / Posts__2[[#This Row],[Impressions]]</f>
        <v>3.9937155714174881E-2</v>
      </c>
    </row>
    <row r="46" spans="1:14" x14ac:dyDescent="0.3">
      <c r="A46" t="s">
        <v>110</v>
      </c>
      <c r="B46" t="s">
        <v>13</v>
      </c>
      <c r="C46" s="12">
        <v>45487</v>
      </c>
      <c r="D46" t="s">
        <v>45</v>
      </c>
      <c r="E46" t="s">
        <v>78</v>
      </c>
      <c r="F46">
        <v>3806</v>
      </c>
      <c r="G46">
        <v>114</v>
      </c>
      <c r="H46">
        <v>278</v>
      </c>
      <c r="I46">
        <v>36148</v>
      </c>
      <c r="J46">
        <v>24209</v>
      </c>
      <c r="K46">
        <v>201</v>
      </c>
      <c r="L46" t="s">
        <v>67</v>
      </c>
      <c r="M46" t="s">
        <v>62</v>
      </c>
      <c r="N46">
        <f>(  Posts__2[[#This Row],[Likes]]+Posts__2[[#This Row],[Comments]]+Posts__2[[#This Row],[Shares]] ) / Posts__2[[#This Row],[Impressions]]</f>
        <v>0.11613367267898639</v>
      </c>
    </row>
    <row r="47" spans="1:14" x14ac:dyDescent="0.3">
      <c r="A47" t="s">
        <v>111</v>
      </c>
      <c r="B47" t="s">
        <v>10</v>
      </c>
      <c r="C47" s="12">
        <v>45334</v>
      </c>
      <c r="D47" t="s">
        <v>45</v>
      </c>
      <c r="E47" t="s">
        <v>15</v>
      </c>
      <c r="F47">
        <v>2923</v>
      </c>
      <c r="G47">
        <v>330</v>
      </c>
      <c r="H47">
        <v>250</v>
      </c>
      <c r="I47">
        <v>23993</v>
      </c>
      <c r="J47">
        <v>74590</v>
      </c>
      <c r="K47">
        <v>92</v>
      </c>
      <c r="L47" t="s">
        <v>27</v>
      </c>
      <c r="M47" t="s">
        <v>62</v>
      </c>
      <c r="N47">
        <f>(  Posts__2[[#This Row],[Likes]]+Posts__2[[#This Row],[Comments]]+Posts__2[[#This Row],[Shares]] ) / Posts__2[[#This Row],[Impressions]]</f>
        <v>0.14600091693410577</v>
      </c>
    </row>
    <row r="48" spans="1:14" x14ac:dyDescent="0.3">
      <c r="A48" t="s">
        <v>112</v>
      </c>
      <c r="B48" t="s">
        <v>13</v>
      </c>
      <c r="C48" s="12">
        <v>45365</v>
      </c>
      <c r="D48" t="s">
        <v>46</v>
      </c>
      <c r="E48" t="s">
        <v>26</v>
      </c>
      <c r="F48">
        <v>3361</v>
      </c>
      <c r="G48">
        <v>188</v>
      </c>
      <c r="H48">
        <v>358</v>
      </c>
      <c r="I48">
        <v>39838</v>
      </c>
      <c r="J48">
        <v>24536</v>
      </c>
      <c r="K48">
        <v>120</v>
      </c>
      <c r="L48" t="s">
        <v>84</v>
      </c>
      <c r="M48" t="s">
        <v>85</v>
      </c>
      <c r="N48">
        <f>(  Posts__2[[#This Row],[Likes]]+Posts__2[[#This Row],[Comments]]+Posts__2[[#This Row],[Shares]] ) / Posts__2[[#This Row],[Impressions]]</f>
        <v>9.8072192379135503E-2</v>
      </c>
    </row>
    <row r="49" spans="1:14" x14ac:dyDescent="0.3">
      <c r="A49" t="s">
        <v>113</v>
      </c>
      <c r="B49" t="s">
        <v>10</v>
      </c>
      <c r="C49" s="12">
        <v>45693</v>
      </c>
      <c r="D49" t="s">
        <v>44</v>
      </c>
      <c r="E49" t="s">
        <v>35</v>
      </c>
      <c r="F49">
        <v>3074</v>
      </c>
      <c r="G49">
        <v>371</v>
      </c>
      <c r="H49">
        <v>348</v>
      </c>
      <c r="I49">
        <v>24104</v>
      </c>
      <c r="J49">
        <v>57803</v>
      </c>
      <c r="K49">
        <v>213</v>
      </c>
      <c r="L49" t="s">
        <v>33</v>
      </c>
      <c r="M49" t="s">
        <v>82</v>
      </c>
      <c r="N49">
        <f>(  Posts__2[[#This Row],[Likes]]+Posts__2[[#This Row],[Comments]]+Posts__2[[#This Row],[Shares]] ) / Posts__2[[#This Row],[Impressions]]</f>
        <v>0.15735977431131762</v>
      </c>
    </row>
    <row r="50" spans="1:14" x14ac:dyDescent="0.3">
      <c r="A50" t="s">
        <v>114</v>
      </c>
      <c r="B50" t="s">
        <v>7</v>
      </c>
      <c r="C50" s="12">
        <v>45533</v>
      </c>
      <c r="D50" t="s">
        <v>44</v>
      </c>
      <c r="E50" t="s">
        <v>9</v>
      </c>
      <c r="F50">
        <v>4276</v>
      </c>
      <c r="G50">
        <v>227</v>
      </c>
      <c r="H50">
        <v>223</v>
      </c>
      <c r="I50">
        <v>43443</v>
      </c>
      <c r="J50">
        <v>41005</v>
      </c>
      <c r="K50">
        <v>191</v>
      </c>
      <c r="L50" t="s">
        <v>70</v>
      </c>
      <c r="M50" t="s">
        <v>60</v>
      </c>
      <c r="N50">
        <f>(  Posts__2[[#This Row],[Likes]]+Posts__2[[#This Row],[Comments]]+Posts__2[[#This Row],[Shares]] ) / Posts__2[[#This Row],[Impressions]]</f>
        <v>0.1087862256289851</v>
      </c>
    </row>
    <row r="51" spans="1:14" x14ac:dyDescent="0.3">
      <c r="A51" t="s">
        <v>18</v>
      </c>
      <c r="B51" t="s">
        <v>7</v>
      </c>
      <c r="C51" s="12">
        <v>45769</v>
      </c>
      <c r="D51" t="s">
        <v>45</v>
      </c>
      <c r="E51" t="s">
        <v>19</v>
      </c>
      <c r="F51">
        <v>4401</v>
      </c>
      <c r="G51">
        <v>421</v>
      </c>
      <c r="H51">
        <v>216</v>
      </c>
      <c r="I51">
        <v>24890</v>
      </c>
      <c r="J51">
        <v>54361</v>
      </c>
      <c r="K51">
        <v>148</v>
      </c>
      <c r="L51" t="s">
        <v>33</v>
      </c>
      <c r="M51" t="s">
        <v>60</v>
      </c>
      <c r="N51">
        <f>(  Posts__2[[#This Row],[Likes]]+Posts__2[[#This Row],[Comments]]+Posts__2[[#This Row],[Shares]] ) / Posts__2[[#This Row],[Impressions]]</f>
        <v>0.20241060666934513</v>
      </c>
    </row>
    <row r="52" spans="1:14" x14ac:dyDescent="0.3">
      <c r="A52" t="s">
        <v>115</v>
      </c>
      <c r="B52" t="s">
        <v>13</v>
      </c>
      <c r="C52" s="12">
        <v>45425</v>
      </c>
      <c r="D52" t="s">
        <v>46</v>
      </c>
      <c r="E52" t="s">
        <v>15</v>
      </c>
      <c r="F52">
        <v>4161</v>
      </c>
      <c r="G52">
        <v>481</v>
      </c>
      <c r="H52">
        <v>61</v>
      </c>
      <c r="I52">
        <v>45884</v>
      </c>
      <c r="J52">
        <v>48955</v>
      </c>
      <c r="K52">
        <v>215</v>
      </c>
      <c r="L52" t="s">
        <v>84</v>
      </c>
      <c r="M52" t="s">
        <v>85</v>
      </c>
      <c r="N52">
        <f>(  Posts__2[[#This Row],[Likes]]+Posts__2[[#This Row],[Comments]]+Posts__2[[#This Row],[Shares]] ) / Posts__2[[#This Row],[Impressions]]</f>
        <v>0.10249760265016128</v>
      </c>
    </row>
    <row r="53" spans="1:14" x14ac:dyDescent="0.3">
      <c r="A53" t="s">
        <v>116</v>
      </c>
      <c r="B53" t="s">
        <v>7</v>
      </c>
      <c r="C53" s="12">
        <v>45539</v>
      </c>
      <c r="D53" t="s">
        <v>44</v>
      </c>
      <c r="E53" t="s">
        <v>12</v>
      </c>
      <c r="F53">
        <v>2613</v>
      </c>
      <c r="G53">
        <v>455</v>
      </c>
      <c r="H53">
        <v>228</v>
      </c>
      <c r="I53">
        <v>21645</v>
      </c>
      <c r="J53">
        <v>61334</v>
      </c>
      <c r="K53">
        <v>261</v>
      </c>
      <c r="L53" t="s">
        <v>70</v>
      </c>
      <c r="M53" t="s">
        <v>60</v>
      </c>
      <c r="N53">
        <f>(  Posts__2[[#This Row],[Likes]]+Posts__2[[#This Row],[Comments]]+Posts__2[[#This Row],[Shares]] ) / Posts__2[[#This Row],[Impressions]]</f>
        <v>0.15227535227535227</v>
      </c>
    </row>
    <row r="54" spans="1:14" x14ac:dyDescent="0.3">
      <c r="A54" t="s">
        <v>117</v>
      </c>
      <c r="B54" t="s">
        <v>7</v>
      </c>
      <c r="C54" s="12">
        <v>45516</v>
      </c>
      <c r="D54" t="s">
        <v>44</v>
      </c>
      <c r="E54" t="s">
        <v>23</v>
      </c>
      <c r="F54">
        <v>2842</v>
      </c>
      <c r="G54">
        <v>213</v>
      </c>
      <c r="H54">
        <v>331</v>
      </c>
      <c r="I54">
        <v>57660</v>
      </c>
      <c r="J54">
        <v>68606</v>
      </c>
      <c r="K54">
        <v>87</v>
      </c>
      <c r="L54" t="s">
        <v>64</v>
      </c>
      <c r="M54" t="s">
        <v>60</v>
      </c>
      <c r="N54">
        <f>(  Posts__2[[#This Row],[Likes]]+Posts__2[[#This Row],[Comments]]+Posts__2[[#This Row],[Shares]] ) / Posts__2[[#This Row],[Impressions]]</f>
        <v>5.8723551855705859E-2</v>
      </c>
    </row>
    <row r="55" spans="1:14" x14ac:dyDescent="0.3">
      <c r="A55" t="s">
        <v>118</v>
      </c>
      <c r="B55" t="s">
        <v>10</v>
      </c>
      <c r="C55" s="12">
        <v>45722</v>
      </c>
      <c r="D55" t="s">
        <v>45</v>
      </c>
      <c r="E55" t="s">
        <v>9</v>
      </c>
      <c r="F55">
        <v>4851</v>
      </c>
      <c r="G55">
        <v>460</v>
      </c>
      <c r="H55">
        <v>212</v>
      </c>
      <c r="I55">
        <v>58075</v>
      </c>
      <c r="J55">
        <v>59574</v>
      </c>
      <c r="K55">
        <v>239</v>
      </c>
      <c r="L55" t="s">
        <v>27</v>
      </c>
      <c r="M55" t="s">
        <v>62</v>
      </c>
      <c r="N55">
        <f>(  Posts__2[[#This Row],[Likes]]+Posts__2[[#This Row],[Comments]]+Posts__2[[#This Row],[Shares]] ) / Posts__2[[#This Row],[Impressions]]</f>
        <v>9.5101162290142052E-2</v>
      </c>
    </row>
    <row r="56" spans="1:14" x14ac:dyDescent="0.3">
      <c r="A56" t="s">
        <v>119</v>
      </c>
      <c r="B56" t="s">
        <v>7</v>
      </c>
      <c r="C56" s="12">
        <v>45420</v>
      </c>
      <c r="D56" t="s">
        <v>45</v>
      </c>
      <c r="E56" t="s">
        <v>15</v>
      </c>
      <c r="F56">
        <v>1828</v>
      </c>
      <c r="G56">
        <v>450</v>
      </c>
      <c r="H56">
        <v>214</v>
      </c>
      <c r="I56">
        <v>52115</v>
      </c>
      <c r="J56">
        <v>19166</v>
      </c>
      <c r="K56">
        <v>190</v>
      </c>
      <c r="L56" t="s">
        <v>33</v>
      </c>
      <c r="M56" t="s">
        <v>60</v>
      </c>
      <c r="N56">
        <f>(  Posts__2[[#This Row],[Likes]]+Posts__2[[#This Row],[Comments]]+Posts__2[[#This Row],[Shares]] ) / Posts__2[[#This Row],[Impressions]]</f>
        <v>4.781732706514439E-2</v>
      </c>
    </row>
    <row r="57" spans="1:14" x14ac:dyDescent="0.3">
      <c r="A57" t="s">
        <v>120</v>
      </c>
      <c r="B57" t="s">
        <v>10</v>
      </c>
      <c r="C57" s="12">
        <v>45707</v>
      </c>
      <c r="D57" t="s">
        <v>44</v>
      </c>
      <c r="E57" t="s">
        <v>26</v>
      </c>
      <c r="F57">
        <v>2422</v>
      </c>
      <c r="G57">
        <v>455</v>
      </c>
      <c r="H57">
        <v>376</v>
      </c>
      <c r="I57">
        <v>23428</v>
      </c>
      <c r="J57">
        <v>46775</v>
      </c>
      <c r="K57">
        <v>259</v>
      </c>
      <c r="L57" t="s">
        <v>33</v>
      </c>
      <c r="M57" t="s">
        <v>82</v>
      </c>
      <c r="N57">
        <f>(  Posts__2[[#This Row],[Likes]]+Posts__2[[#This Row],[Comments]]+Posts__2[[#This Row],[Shares]] ) / Posts__2[[#This Row],[Impressions]]</f>
        <v>0.13885094758408742</v>
      </c>
    </row>
    <row r="58" spans="1:14" x14ac:dyDescent="0.3">
      <c r="A58" t="s">
        <v>121</v>
      </c>
      <c r="B58" t="s">
        <v>10</v>
      </c>
      <c r="C58" s="12">
        <v>45299</v>
      </c>
      <c r="D58" t="s">
        <v>45</v>
      </c>
      <c r="E58" t="s">
        <v>32</v>
      </c>
      <c r="F58">
        <v>2683</v>
      </c>
      <c r="G58">
        <v>405</v>
      </c>
      <c r="H58">
        <v>223</v>
      </c>
      <c r="I58">
        <v>31233</v>
      </c>
      <c r="J58">
        <v>58106</v>
      </c>
      <c r="K58">
        <v>291</v>
      </c>
      <c r="L58" t="s">
        <v>27</v>
      </c>
      <c r="M58" t="s">
        <v>62</v>
      </c>
      <c r="N58">
        <f>(  Posts__2[[#This Row],[Likes]]+Posts__2[[#This Row],[Comments]]+Posts__2[[#This Row],[Shares]] ) / Posts__2[[#This Row],[Impressions]]</f>
        <v>0.10600966926007749</v>
      </c>
    </row>
    <row r="59" spans="1:14" x14ac:dyDescent="0.3">
      <c r="A59" t="s">
        <v>122</v>
      </c>
      <c r="B59" t="s">
        <v>13</v>
      </c>
      <c r="C59" s="12">
        <v>45490</v>
      </c>
      <c r="D59" t="s">
        <v>45</v>
      </c>
      <c r="E59" t="s">
        <v>32</v>
      </c>
      <c r="F59">
        <v>3135</v>
      </c>
      <c r="G59">
        <v>110</v>
      </c>
      <c r="H59">
        <v>215</v>
      </c>
      <c r="I59">
        <v>39192</v>
      </c>
      <c r="J59">
        <v>24744</v>
      </c>
      <c r="K59">
        <v>177</v>
      </c>
      <c r="L59" t="s">
        <v>67</v>
      </c>
      <c r="M59" t="s">
        <v>62</v>
      </c>
      <c r="N59">
        <f>(  Posts__2[[#This Row],[Likes]]+Posts__2[[#This Row],[Comments]]+Posts__2[[#This Row],[Shares]] ) / Posts__2[[#This Row],[Impressions]]</f>
        <v>8.8283323127168814E-2</v>
      </c>
    </row>
    <row r="60" spans="1:14" x14ac:dyDescent="0.3">
      <c r="A60" t="s">
        <v>123</v>
      </c>
      <c r="B60" t="s">
        <v>13</v>
      </c>
      <c r="C60" s="12">
        <v>45514</v>
      </c>
      <c r="D60" t="s">
        <v>45</v>
      </c>
      <c r="E60" t="s">
        <v>26</v>
      </c>
      <c r="F60">
        <v>1105</v>
      </c>
      <c r="G60">
        <v>181</v>
      </c>
      <c r="H60">
        <v>55</v>
      </c>
      <c r="I60">
        <v>53581</v>
      </c>
      <c r="J60">
        <v>74048</v>
      </c>
      <c r="K60">
        <v>220</v>
      </c>
      <c r="L60" t="s">
        <v>67</v>
      </c>
      <c r="M60" t="s">
        <v>62</v>
      </c>
      <c r="N60">
        <f>(  Posts__2[[#This Row],[Likes]]+Posts__2[[#This Row],[Comments]]+Posts__2[[#This Row],[Shares]] ) / Posts__2[[#This Row],[Impressions]]</f>
        <v>2.50275284149232E-2</v>
      </c>
    </row>
    <row r="61" spans="1:14" x14ac:dyDescent="0.3">
      <c r="A61" t="s">
        <v>124</v>
      </c>
      <c r="B61" t="s">
        <v>13</v>
      </c>
      <c r="C61" s="12">
        <v>45398</v>
      </c>
      <c r="D61" t="s">
        <v>45</v>
      </c>
      <c r="E61" t="s">
        <v>19</v>
      </c>
      <c r="F61">
        <v>4674</v>
      </c>
      <c r="G61">
        <v>326</v>
      </c>
      <c r="H61">
        <v>62</v>
      </c>
      <c r="I61">
        <v>45503</v>
      </c>
      <c r="J61">
        <v>46814</v>
      </c>
      <c r="K61">
        <v>116</v>
      </c>
      <c r="L61" t="s">
        <v>67</v>
      </c>
      <c r="M61" t="s">
        <v>62</v>
      </c>
      <c r="N61">
        <f>(  Posts__2[[#This Row],[Likes]]+Posts__2[[#This Row],[Comments]]+Posts__2[[#This Row],[Shares]] ) / Posts__2[[#This Row],[Impressions]]</f>
        <v>0.11124541239039185</v>
      </c>
    </row>
    <row r="62" spans="1:14" x14ac:dyDescent="0.3">
      <c r="A62" t="s">
        <v>125</v>
      </c>
      <c r="B62" t="s">
        <v>13</v>
      </c>
      <c r="C62" s="12">
        <v>45292</v>
      </c>
      <c r="D62" t="s">
        <v>46</v>
      </c>
      <c r="E62" t="s">
        <v>15</v>
      </c>
      <c r="F62">
        <v>3437</v>
      </c>
      <c r="G62">
        <v>129</v>
      </c>
      <c r="H62">
        <v>359</v>
      </c>
      <c r="I62">
        <v>44558</v>
      </c>
      <c r="J62">
        <v>30854</v>
      </c>
      <c r="K62">
        <v>171</v>
      </c>
      <c r="L62" t="s">
        <v>84</v>
      </c>
      <c r="M62" t="s">
        <v>85</v>
      </c>
      <c r="N62">
        <f>(  Posts__2[[#This Row],[Likes]]+Posts__2[[#This Row],[Comments]]+Posts__2[[#This Row],[Shares]] ) / Posts__2[[#This Row],[Impressions]]</f>
        <v>8.8087436599488311E-2</v>
      </c>
    </row>
    <row r="63" spans="1:14" x14ac:dyDescent="0.3">
      <c r="A63" t="s">
        <v>126</v>
      </c>
      <c r="B63" t="s">
        <v>7</v>
      </c>
      <c r="C63" s="12">
        <v>45599</v>
      </c>
      <c r="D63" t="s">
        <v>44</v>
      </c>
      <c r="E63" t="s">
        <v>29</v>
      </c>
      <c r="F63">
        <v>1959</v>
      </c>
      <c r="G63">
        <v>316</v>
      </c>
      <c r="H63">
        <v>82</v>
      </c>
      <c r="I63">
        <v>54036</v>
      </c>
      <c r="J63">
        <v>69015</v>
      </c>
      <c r="K63">
        <v>182</v>
      </c>
      <c r="L63" t="s">
        <v>64</v>
      </c>
      <c r="M63" t="s">
        <v>60</v>
      </c>
      <c r="N63">
        <f>(  Posts__2[[#This Row],[Likes]]+Posts__2[[#This Row],[Comments]]+Posts__2[[#This Row],[Shares]] ) / Posts__2[[#This Row],[Impressions]]</f>
        <v>4.3619068768968837E-2</v>
      </c>
    </row>
    <row r="64" spans="1:14" x14ac:dyDescent="0.3">
      <c r="A64" t="s">
        <v>127</v>
      </c>
      <c r="B64" t="s">
        <v>7</v>
      </c>
      <c r="C64" s="12">
        <v>45480</v>
      </c>
      <c r="D64" t="s">
        <v>45</v>
      </c>
      <c r="E64" t="s">
        <v>12</v>
      </c>
      <c r="F64">
        <v>1035</v>
      </c>
      <c r="G64">
        <v>137</v>
      </c>
      <c r="H64">
        <v>184</v>
      </c>
      <c r="I64">
        <v>37302</v>
      </c>
      <c r="J64">
        <v>68953</v>
      </c>
      <c r="K64">
        <v>237</v>
      </c>
      <c r="L64" t="s">
        <v>30</v>
      </c>
      <c r="M64" t="s">
        <v>62</v>
      </c>
      <c r="N64">
        <f>(  Posts__2[[#This Row],[Likes]]+Posts__2[[#This Row],[Comments]]+Posts__2[[#This Row],[Shares]] ) / Posts__2[[#This Row],[Impressions]]</f>
        <v>3.6351938233874857E-2</v>
      </c>
    </row>
    <row r="65" spans="1:14" x14ac:dyDescent="0.3">
      <c r="A65" t="s">
        <v>128</v>
      </c>
      <c r="B65" t="s">
        <v>7</v>
      </c>
      <c r="C65" s="12">
        <v>45679</v>
      </c>
      <c r="D65" t="s">
        <v>44</v>
      </c>
      <c r="E65" t="s">
        <v>12</v>
      </c>
      <c r="F65">
        <v>4478</v>
      </c>
      <c r="G65">
        <v>101</v>
      </c>
      <c r="H65">
        <v>121</v>
      </c>
      <c r="I65">
        <v>51035</v>
      </c>
      <c r="J65">
        <v>58207</v>
      </c>
      <c r="K65">
        <v>205</v>
      </c>
      <c r="L65" t="s">
        <v>64</v>
      </c>
      <c r="M65" t="s">
        <v>60</v>
      </c>
      <c r="N65">
        <f>(  Posts__2[[#This Row],[Likes]]+Posts__2[[#This Row],[Comments]]+Posts__2[[#This Row],[Shares]] ) / Posts__2[[#This Row],[Impressions]]</f>
        <v>9.2093661212893113E-2</v>
      </c>
    </row>
    <row r="66" spans="1:14" x14ac:dyDescent="0.3">
      <c r="A66" t="s">
        <v>129</v>
      </c>
      <c r="B66" t="s">
        <v>13</v>
      </c>
      <c r="C66" s="12">
        <v>45438</v>
      </c>
      <c r="D66" t="s">
        <v>45</v>
      </c>
      <c r="E66" t="s">
        <v>26</v>
      </c>
      <c r="F66">
        <v>1488</v>
      </c>
      <c r="G66">
        <v>327</v>
      </c>
      <c r="H66">
        <v>110</v>
      </c>
      <c r="I66">
        <v>53805</v>
      </c>
      <c r="J66">
        <v>30239</v>
      </c>
      <c r="K66">
        <v>109</v>
      </c>
      <c r="L66" t="s">
        <v>67</v>
      </c>
      <c r="M66" t="s">
        <v>62</v>
      </c>
      <c r="N66">
        <f>(  Posts__2[[#This Row],[Likes]]+Posts__2[[#This Row],[Comments]]+Posts__2[[#This Row],[Shares]] ) / Posts__2[[#This Row],[Impressions]]</f>
        <v>3.5777344113000653E-2</v>
      </c>
    </row>
    <row r="67" spans="1:14" x14ac:dyDescent="0.3">
      <c r="A67" t="s">
        <v>130</v>
      </c>
      <c r="B67" t="s">
        <v>10</v>
      </c>
      <c r="C67" s="12">
        <v>45763</v>
      </c>
      <c r="D67" t="s">
        <v>45</v>
      </c>
      <c r="E67" t="s">
        <v>29</v>
      </c>
      <c r="F67">
        <v>4836</v>
      </c>
      <c r="G67">
        <v>331</v>
      </c>
      <c r="H67">
        <v>140</v>
      </c>
      <c r="I67">
        <v>58792</v>
      </c>
      <c r="J67">
        <v>47711</v>
      </c>
      <c r="K67">
        <v>227</v>
      </c>
      <c r="L67" t="s">
        <v>59</v>
      </c>
      <c r="M67" t="s">
        <v>60</v>
      </c>
      <c r="N67">
        <f>(  Posts__2[[#This Row],[Likes]]+Posts__2[[#This Row],[Comments]]+Posts__2[[#This Row],[Shares]] ) / Posts__2[[#This Row],[Impressions]]</f>
        <v>9.0267383317458164E-2</v>
      </c>
    </row>
    <row r="68" spans="1:14" x14ac:dyDescent="0.3">
      <c r="A68" t="s">
        <v>131</v>
      </c>
      <c r="B68" t="s">
        <v>13</v>
      </c>
      <c r="C68" s="12">
        <v>45384</v>
      </c>
      <c r="D68" t="s">
        <v>46</v>
      </c>
      <c r="E68" t="s">
        <v>78</v>
      </c>
      <c r="F68">
        <v>4563</v>
      </c>
      <c r="G68">
        <v>488</v>
      </c>
      <c r="H68">
        <v>356</v>
      </c>
      <c r="I68">
        <v>30619</v>
      </c>
      <c r="J68">
        <v>23328</v>
      </c>
      <c r="K68">
        <v>267</v>
      </c>
      <c r="L68" t="s">
        <v>84</v>
      </c>
      <c r="M68" t="s">
        <v>85</v>
      </c>
      <c r="N68">
        <f>(  Posts__2[[#This Row],[Likes]]+Posts__2[[#This Row],[Comments]]+Posts__2[[#This Row],[Shares]] ) / Posts__2[[#This Row],[Impressions]]</f>
        <v>0.17658969920637513</v>
      </c>
    </row>
    <row r="69" spans="1:14" x14ac:dyDescent="0.3">
      <c r="A69" t="s">
        <v>34</v>
      </c>
      <c r="B69" t="s">
        <v>7</v>
      </c>
      <c r="C69" s="12">
        <v>45379</v>
      </c>
      <c r="D69" t="s">
        <v>45</v>
      </c>
      <c r="E69" t="s">
        <v>35</v>
      </c>
      <c r="F69">
        <v>3276</v>
      </c>
      <c r="G69">
        <v>421</v>
      </c>
      <c r="H69">
        <v>114</v>
      </c>
      <c r="I69">
        <v>20580</v>
      </c>
      <c r="J69">
        <v>30324</v>
      </c>
      <c r="K69">
        <v>221</v>
      </c>
      <c r="L69" t="s">
        <v>30</v>
      </c>
      <c r="M69" t="s">
        <v>62</v>
      </c>
      <c r="N69">
        <f>(  Posts__2[[#This Row],[Likes]]+Posts__2[[#This Row],[Comments]]+Posts__2[[#This Row],[Shares]] ) / Posts__2[[#This Row],[Impressions]]</f>
        <v>0.18517978620019437</v>
      </c>
    </row>
    <row r="70" spans="1:14" x14ac:dyDescent="0.3">
      <c r="A70" t="s">
        <v>132</v>
      </c>
      <c r="B70" t="s">
        <v>7</v>
      </c>
      <c r="C70" s="12">
        <v>45643</v>
      </c>
      <c r="D70" t="s">
        <v>44</v>
      </c>
      <c r="E70" t="s">
        <v>35</v>
      </c>
      <c r="F70">
        <v>1316</v>
      </c>
      <c r="G70">
        <v>472</v>
      </c>
      <c r="H70">
        <v>286</v>
      </c>
      <c r="I70">
        <v>44692</v>
      </c>
      <c r="J70">
        <v>53343</v>
      </c>
      <c r="K70">
        <v>227</v>
      </c>
      <c r="L70" t="s">
        <v>70</v>
      </c>
      <c r="M70" t="s">
        <v>60</v>
      </c>
      <c r="N70">
        <f>(  Posts__2[[#This Row],[Likes]]+Posts__2[[#This Row],[Comments]]+Posts__2[[#This Row],[Shares]] ) / Posts__2[[#This Row],[Impressions]]</f>
        <v>4.6406515707509172E-2</v>
      </c>
    </row>
    <row r="71" spans="1:14" x14ac:dyDescent="0.3">
      <c r="A71" t="s">
        <v>133</v>
      </c>
      <c r="B71" t="s">
        <v>7</v>
      </c>
      <c r="C71" s="12">
        <v>45662</v>
      </c>
      <c r="D71" t="s">
        <v>45</v>
      </c>
      <c r="E71" t="s">
        <v>29</v>
      </c>
      <c r="F71">
        <v>4811</v>
      </c>
      <c r="G71">
        <v>473</v>
      </c>
      <c r="H71">
        <v>254</v>
      </c>
      <c r="I71">
        <v>51964</v>
      </c>
      <c r="J71">
        <v>68795</v>
      </c>
      <c r="K71">
        <v>107</v>
      </c>
      <c r="L71" t="s">
        <v>33</v>
      </c>
      <c r="M71" t="s">
        <v>60</v>
      </c>
      <c r="N71">
        <f>(  Posts__2[[#This Row],[Likes]]+Posts__2[[#This Row],[Comments]]+Posts__2[[#This Row],[Shares]] ) / Posts__2[[#This Row],[Impressions]]</f>
        <v>0.10657378184897237</v>
      </c>
    </row>
    <row r="72" spans="1:14" x14ac:dyDescent="0.3">
      <c r="A72" t="s">
        <v>134</v>
      </c>
      <c r="B72" t="s">
        <v>7</v>
      </c>
      <c r="C72" s="12">
        <v>45302</v>
      </c>
      <c r="D72" t="s">
        <v>45</v>
      </c>
      <c r="E72" t="s">
        <v>23</v>
      </c>
      <c r="F72">
        <v>4218</v>
      </c>
      <c r="G72">
        <v>247</v>
      </c>
      <c r="H72">
        <v>183</v>
      </c>
      <c r="I72">
        <v>28914</v>
      </c>
      <c r="J72">
        <v>18310</v>
      </c>
      <c r="K72">
        <v>135</v>
      </c>
      <c r="L72" t="s">
        <v>30</v>
      </c>
      <c r="M72" t="s">
        <v>62</v>
      </c>
      <c r="N72">
        <f>(  Posts__2[[#This Row],[Likes]]+Posts__2[[#This Row],[Comments]]+Posts__2[[#This Row],[Shares]] ) / Posts__2[[#This Row],[Impressions]]</f>
        <v>0.1607525766064882</v>
      </c>
    </row>
    <row r="73" spans="1:14" x14ac:dyDescent="0.3">
      <c r="A73" t="s">
        <v>135</v>
      </c>
      <c r="B73" t="s">
        <v>10</v>
      </c>
      <c r="C73" s="12">
        <v>45576</v>
      </c>
      <c r="D73" t="s">
        <v>45</v>
      </c>
      <c r="E73" t="s">
        <v>26</v>
      </c>
      <c r="F73">
        <v>1360</v>
      </c>
      <c r="G73">
        <v>249</v>
      </c>
      <c r="H73">
        <v>52</v>
      </c>
      <c r="I73">
        <v>20368</v>
      </c>
      <c r="J73">
        <v>42152</v>
      </c>
      <c r="K73">
        <v>193</v>
      </c>
      <c r="L73" t="s">
        <v>27</v>
      </c>
      <c r="M73" t="s">
        <v>62</v>
      </c>
      <c r="N73">
        <f>(  Posts__2[[#This Row],[Likes]]+Posts__2[[#This Row],[Comments]]+Posts__2[[#This Row],[Shares]] ) / Posts__2[[#This Row],[Impressions]]</f>
        <v>8.1549489395129612E-2</v>
      </c>
    </row>
    <row r="74" spans="1:14" x14ac:dyDescent="0.3">
      <c r="A74" t="s">
        <v>136</v>
      </c>
      <c r="B74" t="s">
        <v>13</v>
      </c>
      <c r="C74" s="12">
        <v>45783</v>
      </c>
      <c r="D74" t="s">
        <v>46</v>
      </c>
      <c r="E74" t="s">
        <v>19</v>
      </c>
      <c r="F74">
        <v>1085</v>
      </c>
      <c r="G74">
        <v>496</v>
      </c>
      <c r="H74">
        <v>320</v>
      </c>
      <c r="I74">
        <v>36528</v>
      </c>
      <c r="J74">
        <v>38599</v>
      </c>
      <c r="K74">
        <v>270</v>
      </c>
      <c r="L74" t="s">
        <v>84</v>
      </c>
      <c r="M74" t="s">
        <v>85</v>
      </c>
      <c r="N74">
        <f>(  Posts__2[[#This Row],[Likes]]+Posts__2[[#This Row],[Comments]]+Posts__2[[#This Row],[Shares]] ) / Posts__2[[#This Row],[Impressions]]</f>
        <v>5.2042268944371438E-2</v>
      </c>
    </row>
    <row r="75" spans="1:14" x14ac:dyDescent="0.3">
      <c r="A75" t="s">
        <v>137</v>
      </c>
      <c r="B75" t="s">
        <v>7</v>
      </c>
      <c r="C75" s="12">
        <v>45431</v>
      </c>
      <c r="D75" t="s">
        <v>44</v>
      </c>
      <c r="E75" t="s">
        <v>9</v>
      </c>
      <c r="F75">
        <v>1763</v>
      </c>
      <c r="G75">
        <v>206</v>
      </c>
      <c r="H75">
        <v>187</v>
      </c>
      <c r="I75">
        <v>53342</v>
      </c>
      <c r="J75">
        <v>25095</v>
      </c>
      <c r="K75">
        <v>88</v>
      </c>
      <c r="L75" t="s">
        <v>70</v>
      </c>
      <c r="M75" t="s">
        <v>60</v>
      </c>
      <c r="N75">
        <f>(  Posts__2[[#This Row],[Likes]]+Posts__2[[#This Row],[Comments]]+Posts__2[[#This Row],[Shares]] ) / Posts__2[[#This Row],[Impressions]]</f>
        <v>4.0418432004799221E-2</v>
      </c>
    </row>
    <row r="76" spans="1:14" x14ac:dyDescent="0.3">
      <c r="A76" t="s">
        <v>138</v>
      </c>
      <c r="B76" t="s">
        <v>7</v>
      </c>
      <c r="C76" s="12">
        <v>45313</v>
      </c>
      <c r="D76" t="s">
        <v>44</v>
      </c>
      <c r="E76" t="s">
        <v>26</v>
      </c>
      <c r="F76">
        <v>1554</v>
      </c>
      <c r="G76">
        <v>455</v>
      </c>
      <c r="H76">
        <v>158</v>
      </c>
      <c r="I76">
        <v>41947</v>
      </c>
      <c r="J76">
        <v>48578</v>
      </c>
      <c r="K76">
        <v>101</v>
      </c>
      <c r="L76" t="s">
        <v>59</v>
      </c>
      <c r="M76" t="s">
        <v>60</v>
      </c>
      <c r="N76">
        <f>(  Posts__2[[#This Row],[Likes]]+Posts__2[[#This Row],[Comments]]+Posts__2[[#This Row],[Shares]] ) / Posts__2[[#This Row],[Impressions]]</f>
        <v>5.1660428636136076E-2</v>
      </c>
    </row>
    <row r="77" spans="1:14" x14ac:dyDescent="0.3">
      <c r="A77" t="s">
        <v>139</v>
      </c>
      <c r="B77" t="s">
        <v>10</v>
      </c>
      <c r="C77" s="12">
        <v>45487</v>
      </c>
      <c r="D77" t="s">
        <v>45</v>
      </c>
      <c r="E77" t="s">
        <v>29</v>
      </c>
      <c r="F77">
        <v>2464</v>
      </c>
      <c r="G77">
        <v>401</v>
      </c>
      <c r="H77">
        <v>78</v>
      </c>
      <c r="I77">
        <v>38665</v>
      </c>
      <c r="J77">
        <v>73593</v>
      </c>
      <c r="K77">
        <v>207</v>
      </c>
      <c r="L77" t="s">
        <v>27</v>
      </c>
      <c r="M77" t="s">
        <v>62</v>
      </c>
      <c r="N77">
        <f>(  Posts__2[[#This Row],[Likes]]+Posts__2[[#This Row],[Comments]]+Posts__2[[#This Row],[Shares]] ) / Posts__2[[#This Row],[Impressions]]</f>
        <v>7.611534979956032E-2</v>
      </c>
    </row>
    <row r="78" spans="1:14" x14ac:dyDescent="0.3">
      <c r="A78" t="s">
        <v>140</v>
      </c>
      <c r="B78" t="s">
        <v>7</v>
      </c>
      <c r="C78" s="12">
        <v>45805</v>
      </c>
      <c r="D78" t="s">
        <v>45</v>
      </c>
      <c r="E78" t="s">
        <v>26</v>
      </c>
      <c r="F78">
        <v>2418</v>
      </c>
      <c r="G78">
        <v>161</v>
      </c>
      <c r="H78">
        <v>360</v>
      </c>
      <c r="I78">
        <v>30589</v>
      </c>
      <c r="J78">
        <v>41383</v>
      </c>
      <c r="K78">
        <v>88</v>
      </c>
      <c r="L78" t="s">
        <v>33</v>
      </c>
      <c r="M78" t="s">
        <v>60</v>
      </c>
      <c r="N78">
        <f>(  Posts__2[[#This Row],[Likes]]+Posts__2[[#This Row],[Comments]]+Posts__2[[#This Row],[Shares]] ) / Posts__2[[#This Row],[Impressions]]</f>
        <v>9.6080290300434801E-2</v>
      </c>
    </row>
    <row r="79" spans="1:14" x14ac:dyDescent="0.3">
      <c r="A79" t="s">
        <v>141</v>
      </c>
      <c r="B79" t="s">
        <v>7</v>
      </c>
      <c r="C79" s="12">
        <v>45678</v>
      </c>
      <c r="D79" t="s">
        <v>44</v>
      </c>
      <c r="E79" t="s">
        <v>19</v>
      </c>
      <c r="F79">
        <v>2494</v>
      </c>
      <c r="G79">
        <v>494</v>
      </c>
      <c r="H79">
        <v>55</v>
      </c>
      <c r="I79">
        <v>22580</v>
      </c>
      <c r="J79">
        <v>22214</v>
      </c>
      <c r="K79">
        <v>109</v>
      </c>
      <c r="L79" t="s">
        <v>64</v>
      </c>
      <c r="M79" t="s">
        <v>60</v>
      </c>
      <c r="N79">
        <f>(  Posts__2[[#This Row],[Likes]]+Posts__2[[#This Row],[Comments]]+Posts__2[[#This Row],[Shares]] ) / Posts__2[[#This Row],[Impressions]]</f>
        <v>0.13476527900797167</v>
      </c>
    </row>
    <row r="80" spans="1:14" x14ac:dyDescent="0.3">
      <c r="A80" t="s">
        <v>142</v>
      </c>
      <c r="B80" t="s">
        <v>13</v>
      </c>
      <c r="C80" s="12">
        <v>45304</v>
      </c>
      <c r="D80" t="s">
        <v>46</v>
      </c>
      <c r="E80" t="s">
        <v>12</v>
      </c>
      <c r="F80">
        <v>4781</v>
      </c>
      <c r="G80">
        <v>191</v>
      </c>
      <c r="H80">
        <v>122</v>
      </c>
      <c r="I80">
        <v>35535</v>
      </c>
      <c r="J80">
        <v>50777</v>
      </c>
      <c r="K80">
        <v>128</v>
      </c>
      <c r="L80" t="s">
        <v>84</v>
      </c>
      <c r="M80" t="s">
        <v>85</v>
      </c>
      <c r="N80">
        <f>(  Posts__2[[#This Row],[Likes]]+Posts__2[[#This Row],[Comments]]+Posts__2[[#This Row],[Shares]] ) / Posts__2[[#This Row],[Impressions]]</f>
        <v>0.14335162515829464</v>
      </c>
    </row>
    <row r="81" spans="1:14" x14ac:dyDescent="0.3">
      <c r="A81" t="s">
        <v>143</v>
      </c>
      <c r="B81" t="s">
        <v>10</v>
      </c>
      <c r="C81" s="12">
        <v>45825</v>
      </c>
      <c r="D81" t="s">
        <v>45</v>
      </c>
      <c r="E81" t="s">
        <v>35</v>
      </c>
      <c r="F81">
        <v>2284</v>
      </c>
      <c r="G81">
        <v>187</v>
      </c>
      <c r="H81">
        <v>260</v>
      </c>
      <c r="I81">
        <v>37400</v>
      </c>
      <c r="J81">
        <v>65014</v>
      </c>
      <c r="K81">
        <v>157</v>
      </c>
      <c r="L81" t="s">
        <v>59</v>
      </c>
      <c r="M81" t="s">
        <v>60</v>
      </c>
      <c r="N81">
        <f>(  Posts__2[[#This Row],[Likes]]+Posts__2[[#This Row],[Comments]]+Posts__2[[#This Row],[Shares]] ) / Posts__2[[#This Row],[Impressions]]</f>
        <v>7.3021390374331557E-2</v>
      </c>
    </row>
    <row r="82" spans="1:14" x14ac:dyDescent="0.3">
      <c r="A82" t="s">
        <v>144</v>
      </c>
      <c r="B82" t="s">
        <v>7</v>
      </c>
      <c r="C82" s="12">
        <v>45723</v>
      </c>
      <c r="D82" t="s">
        <v>45</v>
      </c>
      <c r="E82" t="s">
        <v>9</v>
      </c>
      <c r="F82">
        <v>4234</v>
      </c>
      <c r="G82">
        <v>486</v>
      </c>
      <c r="H82">
        <v>276</v>
      </c>
      <c r="I82">
        <v>56623</v>
      </c>
      <c r="J82">
        <v>41343</v>
      </c>
      <c r="K82">
        <v>184</v>
      </c>
      <c r="L82" t="s">
        <v>30</v>
      </c>
      <c r="M82" t="s">
        <v>62</v>
      </c>
      <c r="N82">
        <f>(  Posts__2[[#This Row],[Likes]]+Posts__2[[#This Row],[Comments]]+Posts__2[[#This Row],[Shares]] ) / Posts__2[[#This Row],[Impressions]]</f>
        <v>8.8232696960599044E-2</v>
      </c>
    </row>
    <row r="83" spans="1:14" x14ac:dyDescent="0.3">
      <c r="A83" t="s">
        <v>145</v>
      </c>
      <c r="B83" t="s">
        <v>10</v>
      </c>
      <c r="C83" s="12">
        <v>45530</v>
      </c>
      <c r="D83" t="s">
        <v>45</v>
      </c>
      <c r="E83" t="s">
        <v>78</v>
      </c>
      <c r="F83">
        <v>2102</v>
      </c>
      <c r="G83">
        <v>181</v>
      </c>
      <c r="H83">
        <v>306</v>
      </c>
      <c r="I83">
        <v>43650</v>
      </c>
      <c r="J83">
        <v>50079</v>
      </c>
      <c r="K83">
        <v>182</v>
      </c>
      <c r="L83" t="s">
        <v>27</v>
      </c>
      <c r="M83" t="s">
        <v>62</v>
      </c>
      <c r="N83">
        <f>(  Posts__2[[#This Row],[Likes]]+Posts__2[[#This Row],[Comments]]+Posts__2[[#This Row],[Shares]] ) / Posts__2[[#This Row],[Impressions]]</f>
        <v>5.9312714776632303E-2</v>
      </c>
    </row>
    <row r="84" spans="1:14" x14ac:dyDescent="0.3">
      <c r="A84" t="s">
        <v>146</v>
      </c>
      <c r="B84" t="s">
        <v>7</v>
      </c>
      <c r="C84" s="12">
        <v>45660</v>
      </c>
      <c r="D84" t="s">
        <v>44</v>
      </c>
      <c r="E84" t="s">
        <v>9</v>
      </c>
      <c r="F84">
        <v>4845</v>
      </c>
      <c r="G84">
        <v>158</v>
      </c>
      <c r="H84">
        <v>84</v>
      </c>
      <c r="I84">
        <v>34578</v>
      </c>
      <c r="J84">
        <v>51480</v>
      </c>
      <c r="K84">
        <v>180</v>
      </c>
      <c r="L84" t="s">
        <v>59</v>
      </c>
      <c r="M84" t="s">
        <v>60</v>
      </c>
      <c r="N84">
        <f>(  Posts__2[[#This Row],[Likes]]+Posts__2[[#This Row],[Comments]]+Posts__2[[#This Row],[Shares]] ) / Posts__2[[#This Row],[Impressions]]</f>
        <v>0.1471166637746544</v>
      </c>
    </row>
    <row r="85" spans="1:14" x14ac:dyDescent="0.3">
      <c r="A85" t="s">
        <v>147</v>
      </c>
      <c r="B85" t="s">
        <v>7</v>
      </c>
      <c r="C85" s="12">
        <v>45507</v>
      </c>
      <c r="D85" t="s">
        <v>45</v>
      </c>
      <c r="E85" t="s">
        <v>78</v>
      </c>
      <c r="F85">
        <v>4247</v>
      </c>
      <c r="G85">
        <v>390</v>
      </c>
      <c r="H85">
        <v>213</v>
      </c>
      <c r="I85">
        <v>29785</v>
      </c>
      <c r="J85">
        <v>57768</v>
      </c>
      <c r="K85">
        <v>122</v>
      </c>
      <c r="L85" t="s">
        <v>33</v>
      </c>
      <c r="M85" t="s">
        <v>60</v>
      </c>
      <c r="N85">
        <f>(  Posts__2[[#This Row],[Likes]]+Posts__2[[#This Row],[Comments]]+Posts__2[[#This Row],[Shares]] ) / Posts__2[[#This Row],[Impressions]]</f>
        <v>0.16283364109451065</v>
      </c>
    </row>
    <row r="86" spans="1:14" x14ac:dyDescent="0.3">
      <c r="A86" t="s">
        <v>148</v>
      </c>
      <c r="B86" t="s">
        <v>10</v>
      </c>
      <c r="C86" s="12">
        <v>45522</v>
      </c>
      <c r="D86" t="s">
        <v>45</v>
      </c>
      <c r="E86" t="s">
        <v>15</v>
      </c>
      <c r="F86">
        <v>2965</v>
      </c>
      <c r="G86">
        <v>328</v>
      </c>
      <c r="H86">
        <v>171</v>
      </c>
      <c r="I86">
        <v>57685</v>
      </c>
      <c r="J86">
        <v>67536</v>
      </c>
      <c r="K86">
        <v>264</v>
      </c>
      <c r="L86" t="s">
        <v>59</v>
      </c>
      <c r="M86" t="s">
        <v>60</v>
      </c>
      <c r="N86">
        <f>(  Posts__2[[#This Row],[Likes]]+Posts__2[[#This Row],[Comments]]+Posts__2[[#This Row],[Shares]] ) / Posts__2[[#This Row],[Impressions]]</f>
        <v>6.0050273034584378E-2</v>
      </c>
    </row>
    <row r="87" spans="1:14" x14ac:dyDescent="0.3">
      <c r="A87" t="s">
        <v>149</v>
      </c>
      <c r="B87" t="s">
        <v>7</v>
      </c>
      <c r="C87" s="12">
        <v>45791</v>
      </c>
      <c r="D87" t="s">
        <v>44</v>
      </c>
      <c r="E87" t="s">
        <v>29</v>
      </c>
      <c r="F87">
        <v>1371</v>
      </c>
      <c r="G87">
        <v>139</v>
      </c>
      <c r="H87">
        <v>96</v>
      </c>
      <c r="I87">
        <v>36140</v>
      </c>
      <c r="J87">
        <v>39395</v>
      </c>
      <c r="K87">
        <v>169</v>
      </c>
      <c r="L87" t="s">
        <v>59</v>
      </c>
      <c r="M87" t="s">
        <v>60</v>
      </c>
      <c r="N87">
        <f>(  Posts__2[[#This Row],[Likes]]+Posts__2[[#This Row],[Comments]]+Posts__2[[#This Row],[Shares]] ) / Posts__2[[#This Row],[Impressions]]</f>
        <v>4.4438295517432211E-2</v>
      </c>
    </row>
    <row r="88" spans="1:14" x14ac:dyDescent="0.3">
      <c r="A88" t="s">
        <v>150</v>
      </c>
      <c r="B88" t="s">
        <v>7</v>
      </c>
      <c r="C88" s="12">
        <v>45405</v>
      </c>
      <c r="D88" t="s">
        <v>44</v>
      </c>
      <c r="E88" t="s">
        <v>19</v>
      </c>
      <c r="F88">
        <v>2683</v>
      </c>
      <c r="G88">
        <v>496</v>
      </c>
      <c r="H88">
        <v>89</v>
      </c>
      <c r="I88">
        <v>53435</v>
      </c>
      <c r="J88">
        <v>30334</v>
      </c>
      <c r="K88">
        <v>160</v>
      </c>
      <c r="L88" t="s">
        <v>59</v>
      </c>
      <c r="M88" t="s">
        <v>60</v>
      </c>
      <c r="N88">
        <f>(  Posts__2[[#This Row],[Likes]]+Posts__2[[#This Row],[Comments]]+Posts__2[[#This Row],[Shares]] ) / Posts__2[[#This Row],[Impressions]]</f>
        <v>6.1158416768035934E-2</v>
      </c>
    </row>
    <row r="89" spans="1:14" x14ac:dyDescent="0.3">
      <c r="A89" t="s">
        <v>151</v>
      </c>
      <c r="B89" t="s">
        <v>7</v>
      </c>
      <c r="C89" s="12">
        <v>45705</v>
      </c>
      <c r="D89" t="s">
        <v>44</v>
      </c>
      <c r="E89" t="s">
        <v>23</v>
      </c>
      <c r="F89">
        <v>4796</v>
      </c>
      <c r="G89">
        <v>427</v>
      </c>
      <c r="H89">
        <v>339</v>
      </c>
      <c r="I89">
        <v>30752</v>
      </c>
      <c r="J89">
        <v>33870</v>
      </c>
      <c r="K89">
        <v>298</v>
      </c>
      <c r="L89" t="s">
        <v>59</v>
      </c>
      <c r="M89" t="s">
        <v>60</v>
      </c>
      <c r="N89">
        <f>(  Posts__2[[#This Row],[Likes]]+Posts__2[[#This Row],[Comments]]+Posts__2[[#This Row],[Shares]] ) / Posts__2[[#This Row],[Impressions]]</f>
        <v>0.18086628511966701</v>
      </c>
    </row>
    <row r="90" spans="1:14" x14ac:dyDescent="0.3">
      <c r="A90" t="s">
        <v>152</v>
      </c>
      <c r="B90" t="s">
        <v>10</v>
      </c>
      <c r="C90" s="12">
        <v>45630</v>
      </c>
      <c r="D90" t="s">
        <v>45</v>
      </c>
      <c r="E90" t="s">
        <v>29</v>
      </c>
      <c r="F90">
        <v>2601</v>
      </c>
      <c r="G90">
        <v>336</v>
      </c>
      <c r="H90">
        <v>260</v>
      </c>
      <c r="I90">
        <v>32368</v>
      </c>
      <c r="J90">
        <v>49028</v>
      </c>
      <c r="K90">
        <v>120</v>
      </c>
      <c r="L90" t="s">
        <v>59</v>
      </c>
      <c r="M90" t="s">
        <v>60</v>
      </c>
      <c r="N90">
        <f>(  Posts__2[[#This Row],[Likes]]+Posts__2[[#This Row],[Comments]]+Posts__2[[#This Row],[Shares]] ) / Posts__2[[#This Row],[Impressions]]</f>
        <v>9.8770390509144837E-2</v>
      </c>
    </row>
    <row r="91" spans="1:14" x14ac:dyDescent="0.3">
      <c r="A91" t="s">
        <v>153</v>
      </c>
      <c r="B91" t="s">
        <v>7</v>
      </c>
      <c r="C91" s="12">
        <v>45495</v>
      </c>
      <c r="D91" t="s">
        <v>44</v>
      </c>
      <c r="E91" t="s">
        <v>29</v>
      </c>
      <c r="F91">
        <v>3336</v>
      </c>
      <c r="G91">
        <v>229</v>
      </c>
      <c r="H91">
        <v>337</v>
      </c>
      <c r="I91">
        <v>22117</v>
      </c>
      <c r="J91">
        <v>26205</v>
      </c>
      <c r="K91">
        <v>160</v>
      </c>
      <c r="L91" t="s">
        <v>64</v>
      </c>
      <c r="M91" t="s">
        <v>60</v>
      </c>
      <c r="N91">
        <f>(  Posts__2[[#This Row],[Likes]]+Posts__2[[#This Row],[Comments]]+Posts__2[[#This Row],[Shares]] ) / Posts__2[[#This Row],[Impressions]]</f>
        <v>0.17642537414658407</v>
      </c>
    </row>
    <row r="92" spans="1:14" x14ac:dyDescent="0.3">
      <c r="A92" t="s">
        <v>154</v>
      </c>
      <c r="B92" t="s">
        <v>7</v>
      </c>
      <c r="C92" s="12">
        <v>45774</v>
      </c>
      <c r="D92" t="s">
        <v>45</v>
      </c>
      <c r="E92" t="s">
        <v>15</v>
      </c>
      <c r="F92">
        <v>1165</v>
      </c>
      <c r="G92">
        <v>294</v>
      </c>
      <c r="H92">
        <v>163</v>
      </c>
      <c r="I92">
        <v>20659</v>
      </c>
      <c r="J92">
        <v>45926</v>
      </c>
      <c r="K92">
        <v>111</v>
      </c>
      <c r="L92" t="s">
        <v>30</v>
      </c>
      <c r="M92" t="s">
        <v>62</v>
      </c>
      <c r="N92">
        <f>(  Posts__2[[#This Row],[Likes]]+Posts__2[[#This Row],[Comments]]+Posts__2[[#This Row],[Shares]] ) / Posts__2[[#This Row],[Impressions]]</f>
        <v>7.8512996756861422E-2</v>
      </c>
    </row>
    <row r="93" spans="1:14" x14ac:dyDescent="0.3">
      <c r="A93" t="s">
        <v>155</v>
      </c>
      <c r="B93" t="s">
        <v>13</v>
      </c>
      <c r="C93" s="12">
        <v>45376</v>
      </c>
      <c r="D93" t="s">
        <v>46</v>
      </c>
      <c r="E93" t="s">
        <v>15</v>
      </c>
      <c r="F93">
        <v>1948</v>
      </c>
      <c r="G93">
        <v>155</v>
      </c>
      <c r="H93">
        <v>315</v>
      </c>
      <c r="I93">
        <v>30321</v>
      </c>
      <c r="J93">
        <v>57121</v>
      </c>
      <c r="K93">
        <v>82</v>
      </c>
      <c r="L93" t="s">
        <v>84</v>
      </c>
      <c r="M93" t="s">
        <v>85</v>
      </c>
      <c r="N93">
        <f>(  Posts__2[[#This Row],[Likes]]+Posts__2[[#This Row],[Comments]]+Posts__2[[#This Row],[Shares]] ) / Posts__2[[#This Row],[Impressions]]</f>
        <v>7.974671020085089E-2</v>
      </c>
    </row>
    <row r="94" spans="1:14" x14ac:dyDescent="0.3">
      <c r="A94" t="s">
        <v>156</v>
      </c>
      <c r="B94" t="s">
        <v>10</v>
      </c>
      <c r="C94" s="12">
        <v>45351</v>
      </c>
      <c r="D94" t="s">
        <v>45</v>
      </c>
      <c r="E94" t="s">
        <v>26</v>
      </c>
      <c r="F94">
        <v>1100</v>
      </c>
      <c r="G94">
        <v>229</v>
      </c>
      <c r="H94">
        <v>312</v>
      </c>
      <c r="I94">
        <v>25641</v>
      </c>
      <c r="J94">
        <v>34601</v>
      </c>
      <c r="K94">
        <v>169</v>
      </c>
      <c r="L94" t="s">
        <v>27</v>
      </c>
      <c r="M94" t="s">
        <v>62</v>
      </c>
      <c r="N94">
        <f>(  Posts__2[[#This Row],[Likes]]+Posts__2[[#This Row],[Comments]]+Posts__2[[#This Row],[Shares]] ) / Posts__2[[#This Row],[Impressions]]</f>
        <v>6.3999063999063993E-2</v>
      </c>
    </row>
    <row r="95" spans="1:14" x14ac:dyDescent="0.3">
      <c r="A95" t="s">
        <v>157</v>
      </c>
      <c r="B95" t="s">
        <v>7</v>
      </c>
      <c r="C95" s="12">
        <v>45609</v>
      </c>
      <c r="D95" t="s">
        <v>44</v>
      </c>
      <c r="E95" t="s">
        <v>32</v>
      </c>
      <c r="F95">
        <v>4628</v>
      </c>
      <c r="G95">
        <v>257</v>
      </c>
      <c r="H95">
        <v>397</v>
      </c>
      <c r="I95">
        <v>36686</v>
      </c>
      <c r="J95">
        <v>54683</v>
      </c>
      <c r="K95">
        <v>98</v>
      </c>
      <c r="L95" t="s">
        <v>59</v>
      </c>
      <c r="M95" t="s">
        <v>60</v>
      </c>
      <c r="N95">
        <f>(  Posts__2[[#This Row],[Likes]]+Posts__2[[#This Row],[Comments]]+Posts__2[[#This Row],[Shares]] ) / Posts__2[[#This Row],[Impressions]]</f>
        <v>0.1439786294499264</v>
      </c>
    </row>
    <row r="96" spans="1:14" x14ac:dyDescent="0.3">
      <c r="A96" t="s">
        <v>158</v>
      </c>
      <c r="B96" t="s">
        <v>10</v>
      </c>
      <c r="C96" s="12">
        <v>45373</v>
      </c>
      <c r="D96" t="s">
        <v>44</v>
      </c>
      <c r="E96" t="s">
        <v>19</v>
      </c>
      <c r="F96">
        <v>2319</v>
      </c>
      <c r="G96">
        <v>484</v>
      </c>
      <c r="H96">
        <v>193</v>
      </c>
      <c r="I96">
        <v>21202</v>
      </c>
      <c r="J96">
        <v>18091</v>
      </c>
      <c r="K96">
        <v>241</v>
      </c>
      <c r="L96" t="s">
        <v>33</v>
      </c>
      <c r="M96" t="s">
        <v>82</v>
      </c>
      <c r="N96">
        <f>(  Posts__2[[#This Row],[Likes]]+Posts__2[[#This Row],[Comments]]+Posts__2[[#This Row],[Shares]] ) / Posts__2[[#This Row],[Impressions]]</f>
        <v>0.14130742382794076</v>
      </c>
    </row>
    <row r="97" spans="1:14" x14ac:dyDescent="0.3">
      <c r="A97" t="s">
        <v>159</v>
      </c>
      <c r="B97" t="s">
        <v>7</v>
      </c>
      <c r="C97" s="12">
        <v>45367</v>
      </c>
      <c r="D97" t="s">
        <v>44</v>
      </c>
      <c r="E97" t="s">
        <v>29</v>
      </c>
      <c r="F97">
        <v>2895</v>
      </c>
      <c r="G97">
        <v>292</v>
      </c>
      <c r="H97">
        <v>90</v>
      </c>
      <c r="I97">
        <v>24223</v>
      </c>
      <c r="J97">
        <v>54626</v>
      </c>
      <c r="K97">
        <v>114</v>
      </c>
      <c r="L97" t="s">
        <v>59</v>
      </c>
      <c r="M97" t="s">
        <v>60</v>
      </c>
      <c r="N97">
        <f>(  Posts__2[[#This Row],[Likes]]+Posts__2[[#This Row],[Comments]]+Posts__2[[#This Row],[Shares]] ) / Posts__2[[#This Row],[Impressions]]</f>
        <v>0.13528464682326713</v>
      </c>
    </row>
    <row r="98" spans="1:14" x14ac:dyDescent="0.3">
      <c r="A98" t="s">
        <v>160</v>
      </c>
      <c r="B98" t="s">
        <v>10</v>
      </c>
      <c r="C98" s="12">
        <v>45317</v>
      </c>
      <c r="D98" t="s">
        <v>45</v>
      </c>
      <c r="E98" t="s">
        <v>23</v>
      </c>
      <c r="F98">
        <v>3878</v>
      </c>
      <c r="G98">
        <v>431</v>
      </c>
      <c r="H98">
        <v>97</v>
      </c>
      <c r="I98">
        <v>41763</v>
      </c>
      <c r="J98">
        <v>29729</v>
      </c>
      <c r="K98">
        <v>191</v>
      </c>
      <c r="L98" t="s">
        <v>27</v>
      </c>
      <c r="M98" t="s">
        <v>62</v>
      </c>
      <c r="N98">
        <f>(  Posts__2[[#This Row],[Likes]]+Posts__2[[#This Row],[Comments]]+Posts__2[[#This Row],[Shares]] ) / Posts__2[[#This Row],[Impressions]]</f>
        <v>0.10550008380623997</v>
      </c>
    </row>
    <row r="99" spans="1:14" x14ac:dyDescent="0.3">
      <c r="A99" t="s">
        <v>161</v>
      </c>
      <c r="B99" t="s">
        <v>7</v>
      </c>
      <c r="C99" s="12">
        <v>45366</v>
      </c>
      <c r="D99" t="s">
        <v>44</v>
      </c>
      <c r="E99" t="s">
        <v>9</v>
      </c>
      <c r="F99">
        <v>4969</v>
      </c>
      <c r="G99">
        <v>433</v>
      </c>
      <c r="H99">
        <v>237</v>
      </c>
      <c r="I99">
        <v>59552</v>
      </c>
      <c r="J99">
        <v>23885</v>
      </c>
      <c r="K99">
        <v>157</v>
      </c>
      <c r="L99" t="s">
        <v>70</v>
      </c>
      <c r="M99" t="s">
        <v>60</v>
      </c>
      <c r="N99">
        <f>(  Posts__2[[#This Row],[Likes]]+Posts__2[[#This Row],[Comments]]+Posts__2[[#This Row],[Shares]] ) / Posts__2[[#This Row],[Impressions]]</f>
        <v>9.4690354648038683E-2</v>
      </c>
    </row>
    <row r="100" spans="1:14" x14ac:dyDescent="0.3">
      <c r="A100" t="s">
        <v>162</v>
      </c>
      <c r="B100" t="s">
        <v>7</v>
      </c>
      <c r="C100" s="12">
        <v>45580</v>
      </c>
      <c r="D100" t="s">
        <v>45</v>
      </c>
      <c r="E100" t="s">
        <v>29</v>
      </c>
      <c r="F100">
        <v>1984</v>
      </c>
      <c r="G100">
        <v>481</v>
      </c>
      <c r="H100">
        <v>356</v>
      </c>
      <c r="I100">
        <v>40681</v>
      </c>
      <c r="J100">
        <v>63111</v>
      </c>
      <c r="K100">
        <v>258</v>
      </c>
      <c r="L100" t="s">
        <v>33</v>
      </c>
      <c r="M100" t="s">
        <v>60</v>
      </c>
      <c r="N100">
        <f>(  Posts__2[[#This Row],[Likes]]+Posts__2[[#This Row],[Comments]]+Posts__2[[#This Row],[Shares]] ) / Posts__2[[#This Row],[Impressions]]</f>
        <v>6.934441139598338E-2</v>
      </c>
    </row>
    <row r="101" spans="1:14" x14ac:dyDescent="0.3">
      <c r="A101" t="s">
        <v>163</v>
      </c>
      <c r="B101" t="s">
        <v>10</v>
      </c>
      <c r="C101" s="12">
        <v>45494</v>
      </c>
      <c r="D101" t="s">
        <v>45</v>
      </c>
      <c r="E101" t="s">
        <v>19</v>
      </c>
      <c r="F101">
        <v>3004</v>
      </c>
      <c r="G101">
        <v>415</v>
      </c>
      <c r="H101">
        <v>218</v>
      </c>
      <c r="I101">
        <v>36090</v>
      </c>
      <c r="J101">
        <v>37073</v>
      </c>
      <c r="K101">
        <v>181</v>
      </c>
      <c r="L101" t="s">
        <v>27</v>
      </c>
      <c r="M101" t="s">
        <v>62</v>
      </c>
      <c r="N101">
        <f>(  Posts__2[[#This Row],[Likes]]+Posts__2[[#This Row],[Comments]]+Posts__2[[#This Row],[Shares]] ) / Posts__2[[#This Row],[Impressions]]</f>
        <v>0.10077583818232197</v>
      </c>
    </row>
    <row r="102" spans="1:14" x14ac:dyDescent="0.3">
      <c r="A102" t="s">
        <v>164</v>
      </c>
      <c r="B102" t="s">
        <v>7</v>
      </c>
      <c r="C102" s="12">
        <v>45577</v>
      </c>
      <c r="D102" t="s">
        <v>45</v>
      </c>
      <c r="E102" t="s">
        <v>9</v>
      </c>
      <c r="F102">
        <v>3169</v>
      </c>
      <c r="G102">
        <v>386</v>
      </c>
      <c r="H102">
        <v>175</v>
      </c>
      <c r="I102">
        <v>45012</v>
      </c>
      <c r="J102">
        <v>38508</v>
      </c>
      <c r="K102">
        <v>218</v>
      </c>
      <c r="L102" t="s">
        <v>33</v>
      </c>
      <c r="M102" t="s">
        <v>60</v>
      </c>
      <c r="N102">
        <f>(  Posts__2[[#This Row],[Likes]]+Posts__2[[#This Row],[Comments]]+Posts__2[[#This Row],[Shares]] ) / Posts__2[[#This Row],[Impressions]]</f>
        <v>8.2866791077934779E-2</v>
      </c>
    </row>
    <row r="103" spans="1:14" x14ac:dyDescent="0.3">
      <c r="A103" t="s">
        <v>165</v>
      </c>
      <c r="B103" t="s">
        <v>7</v>
      </c>
      <c r="C103" s="12">
        <v>45591</v>
      </c>
      <c r="D103" t="s">
        <v>45</v>
      </c>
      <c r="E103" t="s">
        <v>19</v>
      </c>
      <c r="F103">
        <v>3036</v>
      </c>
      <c r="G103">
        <v>293</v>
      </c>
      <c r="H103">
        <v>115</v>
      </c>
      <c r="I103">
        <v>23776</v>
      </c>
      <c r="J103">
        <v>46386</v>
      </c>
      <c r="K103">
        <v>282</v>
      </c>
      <c r="L103" t="s">
        <v>33</v>
      </c>
      <c r="M103" t="s">
        <v>60</v>
      </c>
      <c r="N103">
        <f>(  Posts__2[[#This Row],[Likes]]+Posts__2[[#This Row],[Comments]]+Posts__2[[#This Row],[Shares]] ) / Posts__2[[#This Row],[Impressions]]</f>
        <v>0.14485195154777927</v>
      </c>
    </row>
    <row r="104" spans="1:14" x14ac:dyDescent="0.3">
      <c r="A104" t="s">
        <v>166</v>
      </c>
      <c r="B104" t="s">
        <v>10</v>
      </c>
      <c r="C104" s="12">
        <v>45336</v>
      </c>
      <c r="D104" t="s">
        <v>45</v>
      </c>
      <c r="E104" t="s">
        <v>35</v>
      </c>
      <c r="F104">
        <v>1830</v>
      </c>
      <c r="G104">
        <v>112</v>
      </c>
      <c r="H104">
        <v>181</v>
      </c>
      <c r="I104">
        <v>31870</v>
      </c>
      <c r="J104">
        <v>55742</v>
      </c>
      <c r="K104">
        <v>263</v>
      </c>
      <c r="L104" t="s">
        <v>59</v>
      </c>
      <c r="M104" t="s">
        <v>60</v>
      </c>
      <c r="N104">
        <f>(  Posts__2[[#This Row],[Likes]]+Posts__2[[#This Row],[Comments]]+Posts__2[[#This Row],[Shares]] ) / Posts__2[[#This Row],[Impressions]]</f>
        <v>6.6614370881706936E-2</v>
      </c>
    </row>
    <row r="105" spans="1:14" x14ac:dyDescent="0.3">
      <c r="A105" t="s">
        <v>167</v>
      </c>
      <c r="B105" t="s">
        <v>7</v>
      </c>
      <c r="C105" s="12">
        <v>45413</v>
      </c>
      <c r="D105" t="s">
        <v>44</v>
      </c>
      <c r="E105" t="s">
        <v>23</v>
      </c>
      <c r="F105">
        <v>2587</v>
      </c>
      <c r="G105">
        <v>447</v>
      </c>
      <c r="H105">
        <v>183</v>
      </c>
      <c r="I105">
        <v>36266</v>
      </c>
      <c r="J105">
        <v>32877</v>
      </c>
      <c r="K105">
        <v>132</v>
      </c>
      <c r="L105" t="s">
        <v>70</v>
      </c>
      <c r="M105" t="s">
        <v>60</v>
      </c>
      <c r="N105">
        <f>(  Posts__2[[#This Row],[Likes]]+Posts__2[[#This Row],[Comments]]+Posts__2[[#This Row],[Shares]] ) / Posts__2[[#This Row],[Impressions]]</f>
        <v>8.8705674736667947E-2</v>
      </c>
    </row>
    <row r="106" spans="1:14" x14ac:dyDescent="0.3">
      <c r="A106" t="s">
        <v>168</v>
      </c>
      <c r="B106" t="s">
        <v>7</v>
      </c>
      <c r="C106" s="12">
        <v>45553</v>
      </c>
      <c r="D106" t="s">
        <v>45</v>
      </c>
      <c r="E106" t="s">
        <v>19</v>
      </c>
      <c r="F106">
        <v>2878</v>
      </c>
      <c r="G106">
        <v>265</v>
      </c>
      <c r="H106">
        <v>91</v>
      </c>
      <c r="I106">
        <v>52090</v>
      </c>
      <c r="J106">
        <v>28924</v>
      </c>
      <c r="K106">
        <v>133</v>
      </c>
      <c r="L106" t="s">
        <v>33</v>
      </c>
      <c r="M106" t="s">
        <v>60</v>
      </c>
      <c r="N106">
        <f>(  Posts__2[[#This Row],[Likes]]+Posts__2[[#This Row],[Comments]]+Posts__2[[#This Row],[Shares]] ) / Posts__2[[#This Row],[Impressions]]</f>
        <v>6.2084853138798232E-2</v>
      </c>
    </row>
    <row r="107" spans="1:14" x14ac:dyDescent="0.3">
      <c r="A107" t="s">
        <v>11</v>
      </c>
      <c r="B107" t="s">
        <v>7</v>
      </c>
      <c r="C107" s="12">
        <v>45677</v>
      </c>
      <c r="D107" t="s">
        <v>44</v>
      </c>
      <c r="E107" t="s">
        <v>12</v>
      </c>
      <c r="F107">
        <v>4619</v>
      </c>
      <c r="G107">
        <v>272</v>
      </c>
      <c r="H107">
        <v>57</v>
      </c>
      <c r="I107">
        <v>21334</v>
      </c>
      <c r="J107">
        <v>46292</v>
      </c>
      <c r="K107">
        <v>91</v>
      </c>
      <c r="L107" t="s">
        <v>59</v>
      </c>
      <c r="M107" t="s">
        <v>60</v>
      </c>
      <c r="N107">
        <f>(  Posts__2[[#This Row],[Likes]]+Posts__2[[#This Row],[Comments]]+Posts__2[[#This Row],[Shares]] ) / Posts__2[[#This Row],[Impressions]]</f>
        <v>0.23193025217961938</v>
      </c>
    </row>
    <row r="108" spans="1:14" x14ac:dyDescent="0.3">
      <c r="A108" t="s">
        <v>169</v>
      </c>
      <c r="B108" t="s">
        <v>7</v>
      </c>
      <c r="C108" s="12">
        <v>45670</v>
      </c>
      <c r="D108" t="s">
        <v>45</v>
      </c>
      <c r="E108" t="s">
        <v>35</v>
      </c>
      <c r="F108">
        <v>4090</v>
      </c>
      <c r="G108">
        <v>209</v>
      </c>
      <c r="H108">
        <v>278</v>
      </c>
      <c r="I108">
        <v>52853</v>
      </c>
      <c r="J108">
        <v>57084</v>
      </c>
      <c r="K108">
        <v>102</v>
      </c>
      <c r="L108" t="s">
        <v>30</v>
      </c>
      <c r="M108" t="s">
        <v>62</v>
      </c>
      <c r="N108">
        <f>(  Posts__2[[#This Row],[Likes]]+Posts__2[[#This Row],[Comments]]+Posts__2[[#This Row],[Shares]] ) / Posts__2[[#This Row],[Impressions]]</f>
        <v>8.6598679355949518E-2</v>
      </c>
    </row>
    <row r="109" spans="1:14" x14ac:dyDescent="0.3">
      <c r="A109" t="s">
        <v>170</v>
      </c>
      <c r="B109" t="s">
        <v>13</v>
      </c>
      <c r="C109" s="12">
        <v>45542</v>
      </c>
      <c r="D109" t="s">
        <v>46</v>
      </c>
      <c r="E109" t="s">
        <v>35</v>
      </c>
      <c r="F109">
        <v>3882</v>
      </c>
      <c r="G109">
        <v>342</v>
      </c>
      <c r="H109">
        <v>374</v>
      </c>
      <c r="I109">
        <v>41991</v>
      </c>
      <c r="J109">
        <v>48554</v>
      </c>
      <c r="K109">
        <v>118</v>
      </c>
      <c r="L109" t="s">
        <v>84</v>
      </c>
      <c r="M109" t="s">
        <v>85</v>
      </c>
      <c r="N109">
        <f>(  Posts__2[[#This Row],[Likes]]+Posts__2[[#This Row],[Comments]]+Posts__2[[#This Row],[Shares]] ) / Posts__2[[#This Row],[Impressions]]</f>
        <v>0.10949965468790931</v>
      </c>
    </row>
    <row r="110" spans="1:14" x14ac:dyDescent="0.3">
      <c r="A110" t="s">
        <v>171</v>
      </c>
      <c r="B110" t="s">
        <v>10</v>
      </c>
      <c r="C110" s="12">
        <v>45617</v>
      </c>
      <c r="D110" t="s">
        <v>45</v>
      </c>
      <c r="E110" t="s">
        <v>35</v>
      </c>
      <c r="F110">
        <v>4581</v>
      </c>
      <c r="G110">
        <v>181</v>
      </c>
      <c r="H110">
        <v>112</v>
      </c>
      <c r="I110">
        <v>35221</v>
      </c>
      <c r="J110">
        <v>28797</v>
      </c>
      <c r="K110">
        <v>164</v>
      </c>
      <c r="L110" t="s">
        <v>59</v>
      </c>
      <c r="M110" t="s">
        <v>60</v>
      </c>
      <c r="N110">
        <f>(  Posts__2[[#This Row],[Likes]]+Posts__2[[#This Row],[Comments]]+Posts__2[[#This Row],[Shares]] ) / Posts__2[[#This Row],[Impressions]]</f>
        <v>0.13838335084182732</v>
      </c>
    </row>
    <row r="111" spans="1:14" x14ac:dyDescent="0.3">
      <c r="A111" t="s">
        <v>172</v>
      </c>
      <c r="B111" t="s">
        <v>10</v>
      </c>
      <c r="C111" s="12">
        <v>45469</v>
      </c>
      <c r="D111" t="s">
        <v>45</v>
      </c>
      <c r="E111" t="s">
        <v>12</v>
      </c>
      <c r="F111">
        <v>3253</v>
      </c>
      <c r="G111">
        <v>483</v>
      </c>
      <c r="H111">
        <v>336</v>
      </c>
      <c r="I111">
        <v>25397</v>
      </c>
      <c r="J111">
        <v>51485</v>
      </c>
      <c r="K111">
        <v>131</v>
      </c>
      <c r="L111" t="s">
        <v>27</v>
      </c>
      <c r="M111" t="s">
        <v>62</v>
      </c>
      <c r="N111">
        <f>(  Posts__2[[#This Row],[Likes]]+Posts__2[[#This Row],[Comments]]+Posts__2[[#This Row],[Shares]] ) / Posts__2[[#This Row],[Impressions]]</f>
        <v>0.16033389770445328</v>
      </c>
    </row>
    <row r="112" spans="1:14" x14ac:dyDescent="0.3">
      <c r="A112" t="s">
        <v>173</v>
      </c>
      <c r="B112" t="s">
        <v>13</v>
      </c>
      <c r="C112" s="12">
        <v>45493</v>
      </c>
      <c r="D112" t="s">
        <v>46</v>
      </c>
      <c r="E112" t="s">
        <v>35</v>
      </c>
      <c r="F112">
        <v>4955</v>
      </c>
      <c r="G112">
        <v>299</v>
      </c>
      <c r="H112">
        <v>345</v>
      </c>
      <c r="I112">
        <v>33644</v>
      </c>
      <c r="J112">
        <v>43547</v>
      </c>
      <c r="K112">
        <v>194</v>
      </c>
      <c r="L112" t="s">
        <v>84</v>
      </c>
      <c r="M112" t="s">
        <v>85</v>
      </c>
      <c r="N112">
        <f>(  Posts__2[[#This Row],[Likes]]+Posts__2[[#This Row],[Comments]]+Posts__2[[#This Row],[Shares]] ) / Posts__2[[#This Row],[Impressions]]</f>
        <v>0.16641897515158721</v>
      </c>
    </row>
    <row r="113" spans="1:14" x14ac:dyDescent="0.3">
      <c r="A113" t="s">
        <v>174</v>
      </c>
      <c r="B113" t="s">
        <v>10</v>
      </c>
      <c r="C113" s="12">
        <v>45704</v>
      </c>
      <c r="D113" t="s">
        <v>45</v>
      </c>
      <c r="E113" t="s">
        <v>78</v>
      </c>
      <c r="F113">
        <v>1333</v>
      </c>
      <c r="G113">
        <v>286</v>
      </c>
      <c r="H113">
        <v>298</v>
      </c>
      <c r="I113">
        <v>36174</v>
      </c>
      <c r="J113">
        <v>34517</v>
      </c>
      <c r="K113">
        <v>170</v>
      </c>
      <c r="L113" t="s">
        <v>59</v>
      </c>
      <c r="M113" t="s">
        <v>60</v>
      </c>
      <c r="N113">
        <f>(  Posts__2[[#This Row],[Likes]]+Posts__2[[#This Row],[Comments]]+Posts__2[[#This Row],[Shares]] ) / Posts__2[[#This Row],[Impressions]]</f>
        <v>5.2993862995521647E-2</v>
      </c>
    </row>
    <row r="114" spans="1:14" x14ac:dyDescent="0.3">
      <c r="A114" t="s">
        <v>175</v>
      </c>
      <c r="B114" t="s">
        <v>10</v>
      </c>
      <c r="C114" s="12">
        <v>45544</v>
      </c>
      <c r="D114" t="s">
        <v>45</v>
      </c>
      <c r="E114" t="s">
        <v>12</v>
      </c>
      <c r="F114">
        <v>1616</v>
      </c>
      <c r="G114">
        <v>360</v>
      </c>
      <c r="H114">
        <v>180</v>
      </c>
      <c r="I114">
        <v>54342</v>
      </c>
      <c r="J114">
        <v>18796</v>
      </c>
      <c r="K114">
        <v>282</v>
      </c>
      <c r="L114" t="s">
        <v>59</v>
      </c>
      <c r="M114" t="s">
        <v>60</v>
      </c>
      <c r="N114">
        <f>(  Posts__2[[#This Row],[Likes]]+Posts__2[[#This Row],[Comments]]+Posts__2[[#This Row],[Shares]] ) / Posts__2[[#This Row],[Impressions]]</f>
        <v>3.9674653122814763E-2</v>
      </c>
    </row>
    <row r="115" spans="1:14" x14ac:dyDescent="0.3">
      <c r="A115" t="s">
        <v>176</v>
      </c>
      <c r="B115" t="s">
        <v>7</v>
      </c>
      <c r="C115" s="12">
        <v>45489</v>
      </c>
      <c r="D115" t="s">
        <v>45</v>
      </c>
      <c r="E115" t="s">
        <v>32</v>
      </c>
      <c r="F115">
        <v>1803</v>
      </c>
      <c r="G115">
        <v>273</v>
      </c>
      <c r="H115">
        <v>287</v>
      </c>
      <c r="I115">
        <v>46176</v>
      </c>
      <c r="J115">
        <v>25488</v>
      </c>
      <c r="K115">
        <v>141</v>
      </c>
      <c r="L115" t="s">
        <v>33</v>
      </c>
      <c r="M115" t="s">
        <v>60</v>
      </c>
      <c r="N115">
        <f>(  Posts__2[[#This Row],[Likes]]+Posts__2[[#This Row],[Comments]]+Posts__2[[#This Row],[Shares]] ) / Posts__2[[#This Row],[Impressions]]</f>
        <v>5.1173769923769923E-2</v>
      </c>
    </row>
    <row r="116" spans="1:14" x14ac:dyDescent="0.3">
      <c r="A116" t="s">
        <v>177</v>
      </c>
      <c r="B116" t="s">
        <v>10</v>
      </c>
      <c r="C116" s="12">
        <v>45762</v>
      </c>
      <c r="D116" t="s">
        <v>45</v>
      </c>
      <c r="E116" t="s">
        <v>15</v>
      </c>
      <c r="F116">
        <v>4177</v>
      </c>
      <c r="G116">
        <v>489</v>
      </c>
      <c r="H116">
        <v>331</v>
      </c>
      <c r="I116">
        <v>57451</v>
      </c>
      <c r="J116">
        <v>73793</v>
      </c>
      <c r="K116">
        <v>251</v>
      </c>
      <c r="L116" t="s">
        <v>27</v>
      </c>
      <c r="M116" t="s">
        <v>62</v>
      </c>
      <c r="N116">
        <f>(  Posts__2[[#This Row],[Likes]]+Posts__2[[#This Row],[Comments]]+Posts__2[[#This Row],[Shares]] ) / Posts__2[[#This Row],[Impressions]]</f>
        <v>8.6978468608031198E-2</v>
      </c>
    </row>
    <row r="117" spans="1:14" x14ac:dyDescent="0.3">
      <c r="A117" t="s">
        <v>178</v>
      </c>
      <c r="B117" t="s">
        <v>10</v>
      </c>
      <c r="C117" s="12">
        <v>45781</v>
      </c>
      <c r="D117" t="s">
        <v>44</v>
      </c>
      <c r="E117" t="s">
        <v>12</v>
      </c>
      <c r="F117">
        <v>1311</v>
      </c>
      <c r="G117">
        <v>181</v>
      </c>
      <c r="H117">
        <v>361</v>
      </c>
      <c r="I117">
        <v>37148</v>
      </c>
      <c r="J117">
        <v>44875</v>
      </c>
      <c r="K117">
        <v>245</v>
      </c>
      <c r="L117" t="s">
        <v>33</v>
      </c>
      <c r="M117" t="s">
        <v>82</v>
      </c>
      <c r="N117">
        <f>(  Posts__2[[#This Row],[Likes]]+Posts__2[[#This Row],[Comments]]+Posts__2[[#This Row],[Shares]] ) / Posts__2[[#This Row],[Impressions]]</f>
        <v>4.9881554861634543E-2</v>
      </c>
    </row>
    <row r="118" spans="1:14" x14ac:dyDescent="0.3">
      <c r="A118" t="s">
        <v>179</v>
      </c>
      <c r="B118" t="s">
        <v>10</v>
      </c>
      <c r="C118" s="12">
        <v>45340</v>
      </c>
      <c r="D118" t="s">
        <v>44</v>
      </c>
      <c r="E118" t="s">
        <v>26</v>
      </c>
      <c r="F118">
        <v>1516</v>
      </c>
      <c r="G118">
        <v>215</v>
      </c>
      <c r="H118">
        <v>332</v>
      </c>
      <c r="I118">
        <v>58981</v>
      </c>
      <c r="J118">
        <v>36118</v>
      </c>
      <c r="K118">
        <v>211</v>
      </c>
      <c r="L118" t="s">
        <v>33</v>
      </c>
      <c r="M118" t="s">
        <v>82</v>
      </c>
      <c r="N118">
        <f>(  Posts__2[[#This Row],[Likes]]+Posts__2[[#This Row],[Comments]]+Posts__2[[#This Row],[Shares]] ) / Posts__2[[#This Row],[Impressions]]</f>
        <v>3.4977365592309385E-2</v>
      </c>
    </row>
    <row r="119" spans="1:14" x14ac:dyDescent="0.3">
      <c r="A119" t="s">
        <v>180</v>
      </c>
      <c r="B119" t="s">
        <v>7</v>
      </c>
      <c r="C119" s="12">
        <v>45428</v>
      </c>
      <c r="D119" t="s">
        <v>44</v>
      </c>
      <c r="E119" t="s">
        <v>35</v>
      </c>
      <c r="F119">
        <v>2023</v>
      </c>
      <c r="G119">
        <v>124</v>
      </c>
      <c r="H119">
        <v>99</v>
      </c>
      <c r="I119">
        <v>54524</v>
      </c>
      <c r="J119">
        <v>34790</v>
      </c>
      <c r="K119">
        <v>195</v>
      </c>
      <c r="L119" t="s">
        <v>70</v>
      </c>
      <c r="M119" t="s">
        <v>60</v>
      </c>
      <c r="N119">
        <f>(  Posts__2[[#This Row],[Likes]]+Posts__2[[#This Row],[Comments]]+Posts__2[[#This Row],[Shares]] ) / Posts__2[[#This Row],[Impressions]]</f>
        <v>4.1192869195216787E-2</v>
      </c>
    </row>
    <row r="120" spans="1:14" x14ac:dyDescent="0.3">
      <c r="A120" t="s">
        <v>181</v>
      </c>
      <c r="B120" t="s">
        <v>7</v>
      </c>
      <c r="C120" s="12">
        <v>45806</v>
      </c>
      <c r="D120" t="s">
        <v>44</v>
      </c>
      <c r="E120" t="s">
        <v>35</v>
      </c>
      <c r="F120">
        <v>2134</v>
      </c>
      <c r="G120">
        <v>322</v>
      </c>
      <c r="H120">
        <v>114</v>
      </c>
      <c r="I120">
        <v>44338</v>
      </c>
      <c r="J120">
        <v>52165</v>
      </c>
      <c r="K120">
        <v>176</v>
      </c>
      <c r="L120" t="s">
        <v>64</v>
      </c>
      <c r="M120" t="s">
        <v>60</v>
      </c>
      <c r="N120">
        <f>(  Posts__2[[#This Row],[Likes]]+Posts__2[[#This Row],[Comments]]+Posts__2[[#This Row],[Shares]] ) / Posts__2[[#This Row],[Impressions]]</f>
        <v>5.7963823356939871E-2</v>
      </c>
    </row>
    <row r="121" spans="1:14" x14ac:dyDescent="0.3">
      <c r="A121" t="s">
        <v>182</v>
      </c>
      <c r="B121" t="s">
        <v>10</v>
      </c>
      <c r="C121" s="12">
        <v>45674</v>
      </c>
      <c r="D121" t="s">
        <v>45</v>
      </c>
      <c r="E121" t="s">
        <v>32</v>
      </c>
      <c r="F121">
        <v>2266</v>
      </c>
      <c r="G121">
        <v>126</v>
      </c>
      <c r="H121">
        <v>140</v>
      </c>
      <c r="I121">
        <v>53759</v>
      </c>
      <c r="J121">
        <v>46834</v>
      </c>
      <c r="K121">
        <v>277</v>
      </c>
      <c r="L121" t="s">
        <v>27</v>
      </c>
      <c r="M121" t="s">
        <v>62</v>
      </c>
      <c r="N121">
        <f>(  Posts__2[[#This Row],[Likes]]+Posts__2[[#This Row],[Comments]]+Posts__2[[#This Row],[Shares]] ) / Posts__2[[#This Row],[Impressions]]</f>
        <v>4.7099090384865788E-2</v>
      </c>
    </row>
    <row r="122" spans="1:14" x14ac:dyDescent="0.3">
      <c r="A122" t="s">
        <v>183</v>
      </c>
      <c r="B122" t="s">
        <v>10</v>
      </c>
      <c r="C122" s="12">
        <v>45777</v>
      </c>
      <c r="D122" t="s">
        <v>44</v>
      </c>
      <c r="E122" t="s">
        <v>12</v>
      </c>
      <c r="F122">
        <v>3916</v>
      </c>
      <c r="G122">
        <v>459</v>
      </c>
      <c r="H122">
        <v>229</v>
      </c>
      <c r="I122">
        <v>48989</v>
      </c>
      <c r="J122">
        <v>39768</v>
      </c>
      <c r="K122">
        <v>200</v>
      </c>
      <c r="L122" t="s">
        <v>33</v>
      </c>
      <c r="M122" t="s">
        <v>82</v>
      </c>
      <c r="N122">
        <f>(  Posts__2[[#This Row],[Likes]]+Posts__2[[#This Row],[Comments]]+Posts__2[[#This Row],[Shares]] ) / Posts__2[[#This Row],[Impressions]]</f>
        <v>9.3980281287635997E-2</v>
      </c>
    </row>
    <row r="123" spans="1:14" x14ac:dyDescent="0.3">
      <c r="A123" t="s">
        <v>184</v>
      </c>
      <c r="B123" t="s">
        <v>7</v>
      </c>
      <c r="C123" s="12">
        <v>45346</v>
      </c>
      <c r="D123" t="s">
        <v>44</v>
      </c>
      <c r="E123" t="s">
        <v>35</v>
      </c>
      <c r="F123">
        <v>1022</v>
      </c>
      <c r="G123">
        <v>463</v>
      </c>
      <c r="H123">
        <v>360</v>
      </c>
      <c r="I123">
        <v>51468</v>
      </c>
      <c r="J123">
        <v>24279</v>
      </c>
      <c r="K123">
        <v>230</v>
      </c>
      <c r="L123" t="s">
        <v>70</v>
      </c>
      <c r="M123" t="s">
        <v>60</v>
      </c>
      <c r="N123">
        <f>(  Posts__2[[#This Row],[Likes]]+Posts__2[[#This Row],[Comments]]+Posts__2[[#This Row],[Shares]] ) / Posts__2[[#This Row],[Impressions]]</f>
        <v>3.5847516903707161E-2</v>
      </c>
    </row>
    <row r="124" spans="1:14" x14ac:dyDescent="0.3">
      <c r="A124" t="s">
        <v>185</v>
      </c>
      <c r="B124" t="s">
        <v>13</v>
      </c>
      <c r="C124" s="12">
        <v>45424</v>
      </c>
      <c r="D124" t="s">
        <v>45</v>
      </c>
      <c r="E124" t="s">
        <v>26</v>
      </c>
      <c r="F124">
        <v>2911</v>
      </c>
      <c r="G124">
        <v>467</v>
      </c>
      <c r="H124">
        <v>94</v>
      </c>
      <c r="I124">
        <v>59083</v>
      </c>
      <c r="J124">
        <v>49762</v>
      </c>
      <c r="K124">
        <v>236</v>
      </c>
      <c r="L124" t="s">
        <v>67</v>
      </c>
      <c r="M124" t="s">
        <v>62</v>
      </c>
      <c r="N124">
        <f>(  Posts__2[[#This Row],[Likes]]+Posts__2[[#This Row],[Comments]]+Posts__2[[#This Row],[Shares]] ) / Posts__2[[#This Row],[Impressions]]</f>
        <v>5.8764788517847777E-2</v>
      </c>
    </row>
    <row r="125" spans="1:14" x14ac:dyDescent="0.3">
      <c r="A125" t="s">
        <v>186</v>
      </c>
      <c r="B125" t="s">
        <v>7</v>
      </c>
      <c r="C125" s="12">
        <v>45421</v>
      </c>
      <c r="D125" t="s">
        <v>44</v>
      </c>
      <c r="E125" t="s">
        <v>12</v>
      </c>
      <c r="F125">
        <v>3277</v>
      </c>
      <c r="G125">
        <v>423</v>
      </c>
      <c r="H125">
        <v>259</v>
      </c>
      <c r="I125">
        <v>46328</v>
      </c>
      <c r="J125">
        <v>44293</v>
      </c>
      <c r="K125">
        <v>299</v>
      </c>
      <c r="L125" t="s">
        <v>59</v>
      </c>
      <c r="M125" t="s">
        <v>60</v>
      </c>
      <c r="N125">
        <f>(  Posts__2[[#This Row],[Likes]]+Posts__2[[#This Row],[Comments]]+Posts__2[[#This Row],[Shares]] ) / Posts__2[[#This Row],[Impressions]]</f>
        <v>8.5455879813503707E-2</v>
      </c>
    </row>
    <row r="126" spans="1:14" x14ac:dyDescent="0.3">
      <c r="A126" t="s">
        <v>187</v>
      </c>
      <c r="B126" t="s">
        <v>7</v>
      </c>
      <c r="C126" s="12">
        <v>45602</v>
      </c>
      <c r="D126" t="s">
        <v>45</v>
      </c>
      <c r="E126" t="s">
        <v>26</v>
      </c>
      <c r="F126">
        <v>2956</v>
      </c>
      <c r="G126">
        <v>381</v>
      </c>
      <c r="H126">
        <v>345</v>
      </c>
      <c r="I126">
        <v>33347</v>
      </c>
      <c r="J126">
        <v>22558</v>
      </c>
      <c r="K126">
        <v>173</v>
      </c>
      <c r="L126" t="s">
        <v>33</v>
      </c>
      <c r="M126" t="s">
        <v>60</v>
      </c>
      <c r="N126">
        <f>(  Posts__2[[#This Row],[Likes]]+Posts__2[[#This Row],[Comments]]+Posts__2[[#This Row],[Shares]] ) / Posts__2[[#This Row],[Impressions]]</f>
        <v>0.11041472996071611</v>
      </c>
    </row>
    <row r="127" spans="1:14" x14ac:dyDescent="0.3">
      <c r="A127" t="s">
        <v>188</v>
      </c>
      <c r="B127" t="s">
        <v>7</v>
      </c>
      <c r="C127" s="12">
        <v>45295</v>
      </c>
      <c r="D127" t="s">
        <v>44</v>
      </c>
      <c r="E127" t="s">
        <v>23</v>
      </c>
      <c r="F127">
        <v>3208</v>
      </c>
      <c r="G127">
        <v>476</v>
      </c>
      <c r="H127">
        <v>277</v>
      </c>
      <c r="I127">
        <v>56072</v>
      </c>
      <c r="J127">
        <v>21061</v>
      </c>
      <c r="K127">
        <v>113</v>
      </c>
      <c r="L127" t="s">
        <v>64</v>
      </c>
      <c r="M127" t="s">
        <v>60</v>
      </c>
      <c r="N127">
        <f>(  Posts__2[[#This Row],[Likes]]+Posts__2[[#This Row],[Comments]]+Posts__2[[#This Row],[Shares]] ) / Posts__2[[#This Row],[Impressions]]</f>
        <v>7.064131830503638E-2</v>
      </c>
    </row>
    <row r="128" spans="1:14" x14ac:dyDescent="0.3">
      <c r="A128" t="s">
        <v>189</v>
      </c>
      <c r="B128" t="s">
        <v>7</v>
      </c>
      <c r="C128" s="12">
        <v>45319</v>
      </c>
      <c r="D128" t="s">
        <v>45</v>
      </c>
      <c r="E128" t="s">
        <v>35</v>
      </c>
      <c r="F128">
        <v>1456</v>
      </c>
      <c r="G128">
        <v>265</v>
      </c>
      <c r="H128">
        <v>137</v>
      </c>
      <c r="I128">
        <v>53485</v>
      </c>
      <c r="J128">
        <v>59729</v>
      </c>
      <c r="K128">
        <v>145</v>
      </c>
      <c r="L128" t="s">
        <v>30</v>
      </c>
      <c r="M128" t="s">
        <v>62</v>
      </c>
      <c r="N128">
        <f>(  Posts__2[[#This Row],[Likes]]+Posts__2[[#This Row],[Comments]]+Posts__2[[#This Row],[Shares]] ) / Posts__2[[#This Row],[Impressions]]</f>
        <v>3.4738711788351875E-2</v>
      </c>
    </row>
    <row r="129" spans="1:14" x14ac:dyDescent="0.3">
      <c r="A129" t="s">
        <v>190</v>
      </c>
      <c r="B129" t="s">
        <v>10</v>
      </c>
      <c r="C129" s="12">
        <v>45344</v>
      </c>
      <c r="D129" t="s">
        <v>45</v>
      </c>
      <c r="E129" t="s">
        <v>12</v>
      </c>
      <c r="F129">
        <v>1902</v>
      </c>
      <c r="G129">
        <v>394</v>
      </c>
      <c r="H129">
        <v>279</v>
      </c>
      <c r="I129">
        <v>24615</v>
      </c>
      <c r="J129">
        <v>51330</v>
      </c>
      <c r="K129">
        <v>176</v>
      </c>
      <c r="L129" t="s">
        <v>59</v>
      </c>
      <c r="M129" t="s">
        <v>60</v>
      </c>
      <c r="N129">
        <f>(  Posts__2[[#This Row],[Likes]]+Posts__2[[#This Row],[Comments]]+Posts__2[[#This Row],[Shares]] ) / Posts__2[[#This Row],[Impressions]]</f>
        <v>0.10461100954702417</v>
      </c>
    </row>
    <row r="130" spans="1:14" x14ac:dyDescent="0.3">
      <c r="A130" t="s">
        <v>191</v>
      </c>
      <c r="B130" t="s">
        <v>7</v>
      </c>
      <c r="C130" s="12">
        <v>45839</v>
      </c>
      <c r="D130" t="s">
        <v>44</v>
      </c>
      <c r="E130" t="s">
        <v>15</v>
      </c>
      <c r="F130">
        <v>3219</v>
      </c>
      <c r="G130">
        <v>424</v>
      </c>
      <c r="H130">
        <v>267</v>
      </c>
      <c r="I130">
        <v>48879</v>
      </c>
      <c r="J130">
        <v>37691</v>
      </c>
      <c r="K130">
        <v>224</v>
      </c>
      <c r="L130" t="s">
        <v>70</v>
      </c>
      <c r="M130" t="s">
        <v>60</v>
      </c>
      <c r="N130">
        <f>(  Posts__2[[#This Row],[Likes]]+Posts__2[[#This Row],[Comments]]+Posts__2[[#This Row],[Shares]] ) / Posts__2[[#This Row],[Impressions]]</f>
        <v>7.9993453221219743E-2</v>
      </c>
    </row>
    <row r="131" spans="1:14" x14ac:dyDescent="0.3">
      <c r="A131" t="s">
        <v>192</v>
      </c>
      <c r="B131" t="s">
        <v>13</v>
      </c>
      <c r="C131" s="12">
        <v>45301</v>
      </c>
      <c r="D131" t="s">
        <v>45</v>
      </c>
      <c r="E131" t="s">
        <v>15</v>
      </c>
      <c r="F131">
        <v>1261</v>
      </c>
      <c r="G131">
        <v>190</v>
      </c>
      <c r="H131">
        <v>233</v>
      </c>
      <c r="I131">
        <v>59888</v>
      </c>
      <c r="J131">
        <v>51449</v>
      </c>
      <c r="K131">
        <v>205</v>
      </c>
      <c r="L131" t="s">
        <v>67</v>
      </c>
      <c r="M131" t="s">
        <v>62</v>
      </c>
      <c r="N131">
        <f>(  Posts__2[[#This Row],[Likes]]+Posts__2[[#This Row],[Comments]]+Posts__2[[#This Row],[Shares]] ) / Posts__2[[#This Row],[Impressions]]</f>
        <v>2.811915575741384E-2</v>
      </c>
    </row>
    <row r="132" spans="1:14" x14ac:dyDescent="0.3">
      <c r="A132" t="s">
        <v>193</v>
      </c>
      <c r="B132" t="s">
        <v>7</v>
      </c>
      <c r="C132" s="12">
        <v>45736</v>
      </c>
      <c r="D132" t="s">
        <v>45</v>
      </c>
      <c r="E132" t="s">
        <v>78</v>
      </c>
      <c r="F132">
        <v>1564</v>
      </c>
      <c r="G132">
        <v>362</v>
      </c>
      <c r="H132">
        <v>371</v>
      </c>
      <c r="I132">
        <v>42075</v>
      </c>
      <c r="J132">
        <v>66659</v>
      </c>
      <c r="K132">
        <v>205</v>
      </c>
      <c r="L132" t="s">
        <v>30</v>
      </c>
      <c r="M132" t="s">
        <v>62</v>
      </c>
      <c r="N132">
        <f>(  Posts__2[[#This Row],[Likes]]+Posts__2[[#This Row],[Comments]]+Posts__2[[#This Row],[Shares]] ) / Posts__2[[#This Row],[Impressions]]</f>
        <v>5.4592988710635768E-2</v>
      </c>
    </row>
    <row r="133" spans="1:14" x14ac:dyDescent="0.3">
      <c r="A133" t="s">
        <v>194</v>
      </c>
      <c r="B133" t="s">
        <v>7</v>
      </c>
      <c r="C133" s="12">
        <v>45563</v>
      </c>
      <c r="D133" t="s">
        <v>45</v>
      </c>
      <c r="E133" t="s">
        <v>23</v>
      </c>
      <c r="F133">
        <v>4006</v>
      </c>
      <c r="G133">
        <v>420</v>
      </c>
      <c r="H133">
        <v>194</v>
      </c>
      <c r="I133">
        <v>49964</v>
      </c>
      <c r="J133">
        <v>20685</v>
      </c>
      <c r="K133">
        <v>148</v>
      </c>
      <c r="L133" t="s">
        <v>33</v>
      </c>
      <c r="M133" t="s">
        <v>60</v>
      </c>
      <c r="N133">
        <f>(  Posts__2[[#This Row],[Likes]]+Posts__2[[#This Row],[Comments]]+Posts__2[[#This Row],[Shares]] ) / Posts__2[[#This Row],[Impressions]]</f>
        <v>9.2466575934672959E-2</v>
      </c>
    </row>
    <row r="134" spans="1:14" x14ac:dyDescent="0.3">
      <c r="A134" t="s">
        <v>195</v>
      </c>
      <c r="B134" t="s">
        <v>13</v>
      </c>
      <c r="C134" s="12">
        <v>45318</v>
      </c>
      <c r="D134" t="s">
        <v>45</v>
      </c>
      <c r="E134" t="s">
        <v>78</v>
      </c>
      <c r="F134">
        <v>1976</v>
      </c>
      <c r="G134">
        <v>262</v>
      </c>
      <c r="H134">
        <v>218</v>
      </c>
      <c r="I134">
        <v>51696</v>
      </c>
      <c r="J134">
        <v>44846</v>
      </c>
      <c r="K134">
        <v>139</v>
      </c>
      <c r="L134" t="s">
        <v>67</v>
      </c>
      <c r="M134" t="s">
        <v>62</v>
      </c>
      <c r="N134">
        <f>(  Posts__2[[#This Row],[Likes]]+Posts__2[[#This Row],[Comments]]+Posts__2[[#This Row],[Shares]] ) / Posts__2[[#This Row],[Impressions]]</f>
        <v>4.7508511296812134E-2</v>
      </c>
    </row>
    <row r="135" spans="1:14" x14ac:dyDescent="0.3">
      <c r="A135" t="s">
        <v>196</v>
      </c>
      <c r="B135" t="s">
        <v>7</v>
      </c>
      <c r="C135" s="12">
        <v>45792</v>
      </c>
      <c r="D135" t="s">
        <v>45</v>
      </c>
      <c r="E135" t="s">
        <v>12</v>
      </c>
      <c r="F135">
        <v>1583</v>
      </c>
      <c r="G135">
        <v>433</v>
      </c>
      <c r="H135">
        <v>249</v>
      </c>
      <c r="I135">
        <v>30256</v>
      </c>
      <c r="J135">
        <v>47066</v>
      </c>
      <c r="K135">
        <v>196</v>
      </c>
      <c r="L135" t="s">
        <v>33</v>
      </c>
      <c r="M135" t="s">
        <v>60</v>
      </c>
      <c r="N135">
        <f>(  Posts__2[[#This Row],[Likes]]+Posts__2[[#This Row],[Comments]]+Posts__2[[#This Row],[Shares]] ) / Posts__2[[#This Row],[Impressions]]</f>
        <v>7.4861184558434685E-2</v>
      </c>
    </row>
    <row r="136" spans="1:14" x14ac:dyDescent="0.3">
      <c r="A136" t="s">
        <v>197</v>
      </c>
      <c r="B136" t="s">
        <v>7</v>
      </c>
      <c r="C136" s="12">
        <v>45569</v>
      </c>
      <c r="D136" t="s">
        <v>44</v>
      </c>
      <c r="E136" t="s">
        <v>15</v>
      </c>
      <c r="F136">
        <v>2870</v>
      </c>
      <c r="G136">
        <v>380</v>
      </c>
      <c r="H136">
        <v>393</v>
      </c>
      <c r="I136">
        <v>37621</v>
      </c>
      <c r="J136">
        <v>71794</v>
      </c>
      <c r="K136">
        <v>127</v>
      </c>
      <c r="L136" t="s">
        <v>64</v>
      </c>
      <c r="M136" t="s">
        <v>60</v>
      </c>
      <c r="N136">
        <f>(  Posts__2[[#This Row],[Likes]]+Posts__2[[#This Row],[Comments]]+Posts__2[[#This Row],[Shares]] ) / Posts__2[[#This Row],[Impressions]]</f>
        <v>9.6834214933149046E-2</v>
      </c>
    </row>
    <row r="137" spans="1:14" x14ac:dyDescent="0.3">
      <c r="A137" t="s">
        <v>31</v>
      </c>
      <c r="B137" t="s">
        <v>7</v>
      </c>
      <c r="C137" s="12">
        <v>45615</v>
      </c>
      <c r="D137" t="s">
        <v>45</v>
      </c>
      <c r="E137" t="s">
        <v>32</v>
      </c>
      <c r="F137">
        <v>3728</v>
      </c>
      <c r="G137">
        <v>271</v>
      </c>
      <c r="H137">
        <v>275</v>
      </c>
      <c r="I137">
        <v>22827</v>
      </c>
      <c r="J137">
        <v>37034</v>
      </c>
      <c r="K137">
        <v>199</v>
      </c>
      <c r="L137" t="s">
        <v>33</v>
      </c>
      <c r="M137" t="s">
        <v>60</v>
      </c>
      <c r="N137">
        <f>(  Posts__2[[#This Row],[Likes]]+Posts__2[[#This Row],[Comments]]+Posts__2[[#This Row],[Shares]] ) / Posts__2[[#This Row],[Impressions]]</f>
        <v>0.18723441538528934</v>
      </c>
    </row>
    <row r="138" spans="1:14" x14ac:dyDescent="0.3">
      <c r="A138" t="s">
        <v>198</v>
      </c>
      <c r="B138" t="s">
        <v>7</v>
      </c>
      <c r="C138" s="12">
        <v>45387</v>
      </c>
      <c r="D138" t="s">
        <v>44</v>
      </c>
      <c r="E138" t="s">
        <v>12</v>
      </c>
      <c r="F138">
        <v>4965</v>
      </c>
      <c r="G138">
        <v>175</v>
      </c>
      <c r="H138">
        <v>307</v>
      </c>
      <c r="I138">
        <v>32793</v>
      </c>
      <c r="J138">
        <v>43412</v>
      </c>
      <c r="K138">
        <v>296</v>
      </c>
      <c r="L138" t="s">
        <v>59</v>
      </c>
      <c r="M138" t="s">
        <v>60</v>
      </c>
      <c r="N138">
        <f>(  Posts__2[[#This Row],[Likes]]+Posts__2[[#This Row],[Comments]]+Posts__2[[#This Row],[Shares]] ) / Posts__2[[#This Row],[Impressions]]</f>
        <v>0.16610252187966945</v>
      </c>
    </row>
    <row r="139" spans="1:14" x14ac:dyDescent="0.3">
      <c r="A139" t="s">
        <v>199</v>
      </c>
      <c r="B139" t="s">
        <v>7</v>
      </c>
      <c r="C139" s="12">
        <v>45624</v>
      </c>
      <c r="D139" t="s">
        <v>44</v>
      </c>
      <c r="E139" t="s">
        <v>12</v>
      </c>
      <c r="F139">
        <v>1131</v>
      </c>
      <c r="G139">
        <v>100</v>
      </c>
      <c r="H139">
        <v>116</v>
      </c>
      <c r="I139">
        <v>48437</v>
      </c>
      <c r="J139">
        <v>72704</v>
      </c>
      <c r="K139">
        <v>236</v>
      </c>
      <c r="L139" t="s">
        <v>70</v>
      </c>
      <c r="M139" t="s">
        <v>60</v>
      </c>
      <c r="N139">
        <f>(  Posts__2[[#This Row],[Likes]]+Posts__2[[#This Row],[Comments]]+Posts__2[[#This Row],[Shares]] ) / Posts__2[[#This Row],[Impressions]]</f>
        <v>2.7809319322005904E-2</v>
      </c>
    </row>
    <row r="140" spans="1:14" x14ac:dyDescent="0.3">
      <c r="A140" t="s">
        <v>200</v>
      </c>
      <c r="B140" t="s">
        <v>7</v>
      </c>
      <c r="C140" s="12">
        <v>45725</v>
      </c>
      <c r="D140" t="s">
        <v>45</v>
      </c>
      <c r="E140" t="s">
        <v>78</v>
      </c>
      <c r="F140">
        <v>2754</v>
      </c>
      <c r="G140">
        <v>215</v>
      </c>
      <c r="H140">
        <v>264</v>
      </c>
      <c r="I140">
        <v>27762</v>
      </c>
      <c r="J140">
        <v>70203</v>
      </c>
      <c r="K140">
        <v>289</v>
      </c>
      <c r="L140" t="s">
        <v>33</v>
      </c>
      <c r="M140" t="s">
        <v>60</v>
      </c>
      <c r="N140">
        <f>(  Posts__2[[#This Row],[Likes]]+Posts__2[[#This Row],[Comments]]+Posts__2[[#This Row],[Shares]] ) / Posts__2[[#This Row],[Impressions]]</f>
        <v>0.11645414595490239</v>
      </c>
    </row>
    <row r="141" spans="1:14" x14ac:dyDescent="0.3">
      <c r="A141" t="s">
        <v>201</v>
      </c>
      <c r="B141" t="s">
        <v>7</v>
      </c>
      <c r="C141" s="12">
        <v>45531</v>
      </c>
      <c r="D141" t="s">
        <v>44</v>
      </c>
      <c r="E141" t="s">
        <v>12</v>
      </c>
      <c r="F141">
        <v>1856</v>
      </c>
      <c r="G141">
        <v>357</v>
      </c>
      <c r="H141">
        <v>348</v>
      </c>
      <c r="I141">
        <v>29428</v>
      </c>
      <c r="J141">
        <v>70206</v>
      </c>
      <c r="K141">
        <v>236</v>
      </c>
      <c r="L141" t="s">
        <v>64</v>
      </c>
      <c r="M141" t="s">
        <v>60</v>
      </c>
      <c r="N141">
        <f>(  Posts__2[[#This Row],[Likes]]+Posts__2[[#This Row],[Comments]]+Posts__2[[#This Row],[Shares]] ) / Posts__2[[#This Row],[Impressions]]</f>
        <v>8.702596166915863E-2</v>
      </c>
    </row>
    <row r="142" spans="1:14" x14ac:dyDescent="0.3">
      <c r="A142" t="s">
        <v>202</v>
      </c>
      <c r="B142" t="s">
        <v>13</v>
      </c>
      <c r="C142" s="12">
        <v>45566</v>
      </c>
      <c r="D142" t="s">
        <v>46</v>
      </c>
      <c r="E142" t="s">
        <v>15</v>
      </c>
      <c r="F142">
        <v>3543</v>
      </c>
      <c r="G142">
        <v>334</v>
      </c>
      <c r="H142">
        <v>218</v>
      </c>
      <c r="I142">
        <v>58007</v>
      </c>
      <c r="J142">
        <v>24792</v>
      </c>
      <c r="K142">
        <v>273</v>
      </c>
      <c r="L142" t="s">
        <v>84</v>
      </c>
      <c r="M142" t="s">
        <v>85</v>
      </c>
      <c r="N142">
        <f>(  Posts__2[[#This Row],[Likes]]+Posts__2[[#This Row],[Comments]]+Posts__2[[#This Row],[Shares]] ) / Posts__2[[#This Row],[Impressions]]</f>
        <v>7.0594928198320889E-2</v>
      </c>
    </row>
    <row r="143" spans="1:14" x14ac:dyDescent="0.3">
      <c r="A143" t="s">
        <v>203</v>
      </c>
      <c r="B143" t="s">
        <v>10</v>
      </c>
      <c r="C143" s="12">
        <v>45647</v>
      </c>
      <c r="D143" t="s">
        <v>44</v>
      </c>
      <c r="E143" t="s">
        <v>12</v>
      </c>
      <c r="F143">
        <v>4563</v>
      </c>
      <c r="G143">
        <v>398</v>
      </c>
      <c r="H143">
        <v>163</v>
      </c>
      <c r="I143">
        <v>43679</v>
      </c>
      <c r="J143">
        <v>48760</v>
      </c>
      <c r="K143">
        <v>92</v>
      </c>
      <c r="L143" t="s">
        <v>33</v>
      </c>
      <c r="M143" t="s">
        <v>82</v>
      </c>
      <c r="N143">
        <f>(  Posts__2[[#This Row],[Likes]]+Posts__2[[#This Row],[Comments]]+Posts__2[[#This Row],[Shares]] ) / Posts__2[[#This Row],[Impressions]]</f>
        <v>0.11731037798484398</v>
      </c>
    </row>
    <row r="144" spans="1:14" x14ac:dyDescent="0.3">
      <c r="A144" t="s">
        <v>204</v>
      </c>
      <c r="B144" t="s">
        <v>10</v>
      </c>
      <c r="C144" s="12">
        <v>45460</v>
      </c>
      <c r="D144" t="s">
        <v>45</v>
      </c>
      <c r="E144" t="s">
        <v>19</v>
      </c>
      <c r="F144">
        <v>4283</v>
      </c>
      <c r="G144">
        <v>471</v>
      </c>
      <c r="H144">
        <v>156</v>
      </c>
      <c r="I144">
        <v>53004</v>
      </c>
      <c r="J144">
        <v>25678</v>
      </c>
      <c r="K144">
        <v>105</v>
      </c>
      <c r="L144" t="s">
        <v>27</v>
      </c>
      <c r="M144" t="s">
        <v>62</v>
      </c>
      <c r="N144">
        <f>(  Posts__2[[#This Row],[Likes]]+Posts__2[[#This Row],[Comments]]+Posts__2[[#This Row],[Shares]] ) / Posts__2[[#This Row],[Impressions]]</f>
        <v>9.2634518149573616E-2</v>
      </c>
    </row>
    <row r="145" spans="1:14" x14ac:dyDescent="0.3">
      <c r="A145" t="s">
        <v>205</v>
      </c>
      <c r="B145" t="s">
        <v>10</v>
      </c>
      <c r="C145" s="12">
        <v>45702</v>
      </c>
      <c r="D145" t="s">
        <v>45</v>
      </c>
      <c r="E145" t="s">
        <v>19</v>
      </c>
      <c r="F145">
        <v>2329</v>
      </c>
      <c r="G145">
        <v>373</v>
      </c>
      <c r="H145">
        <v>291</v>
      </c>
      <c r="I145">
        <v>49577</v>
      </c>
      <c r="J145">
        <v>28002</v>
      </c>
      <c r="K145">
        <v>82</v>
      </c>
      <c r="L145" t="s">
        <v>59</v>
      </c>
      <c r="M145" t="s">
        <v>60</v>
      </c>
      <c r="N145">
        <f>(  Posts__2[[#This Row],[Likes]]+Posts__2[[#This Row],[Comments]]+Posts__2[[#This Row],[Shares]] ) / Posts__2[[#This Row],[Impressions]]</f>
        <v>6.0370736430199488E-2</v>
      </c>
    </row>
    <row r="146" spans="1:14" x14ac:dyDescent="0.3">
      <c r="A146" t="s">
        <v>206</v>
      </c>
      <c r="B146" t="s">
        <v>7</v>
      </c>
      <c r="C146" s="12">
        <v>45805</v>
      </c>
      <c r="D146" t="s">
        <v>44</v>
      </c>
      <c r="E146" t="s">
        <v>32</v>
      </c>
      <c r="F146">
        <v>4287</v>
      </c>
      <c r="G146">
        <v>273</v>
      </c>
      <c r="H146">
        <v>122</v>
      </c>
      <c r="I146">
        <v>40792</v>
      </c>
      <c r="J146">
        <v>23878</v>
      </c>
      <c r="K146">
        <v>277</v>
      </c>
      <c r="L146" t="s">
        <v>64</v>
      </c>
      <c r="M146" t="s">
        <v>60</v>
      </c>
      <c r="N146">
        <f>(  Posts__2[[#This Row],[Likes]]+Posts__2[[#This Row],[Comments]]+Posts__2[[#This Row],[Shares]] ) / Posts__2[[#This Row],[Impressions]]</f>
        <v>0.11477740733477153</v>
      </c>
    </row>
    <row r="147" spans="1:14" x14ac:dyDescent="0.3">
      <c r="A147" t="s">
        <v>207</v>
      </c>
      <c r="B147" t="s">
        <v>10</v>
      </c>
      <c r="C147" s="12">
        <v>45799</v>
      </c>
      <c r="D147" t="s">
        <v>45</v>
      </c>
      <c r="E147" t="s">
        <v>19</v>
      </c>
      <c r="F147">
        <v>2633</v>
      </c>
      <c r="G147">
        <v>318</v>
      </c>
      <c r="H147">
        <v>380</v>
      </c>
      <c r="I147">
        <v>40869</v>
      </c>
      <c r="J147">
        <v>64474</v>
      </c>
      <c r="K147">
        <v>245</v>
      </c>
      <c r="L147" t="s">
        <v>27</v>
      </c>
      <c r="M147" t="s">
        <v>62</v>
      </c>
      <c r="N147">
        <f>(  Posts__2[[#This Row],[Likes]]+Posts__2[[#This Row],[Comments]]+Posts__2[[#This Row],[Shares]] ) / Posts__2[[#This Row],[Impressions]]</f>
        <v>8.1504318676747664E-2</v>
      </c>
    </row>
    <row r="148" spans="1:14" x14ac:dyDescent="0.3">
      <c r="A148" t="s">
        <v>208</v>
      </c>
      <c r="B148" t="s">
        <v>7</v>
      </c>
      <c r="C148" s="12">
        <v>45312</v>
      </c>
      <c r="D148" t="s">
        <v>44</v>
      </c>
      <c r="E148" t="s">
        <v>19</v>
      </c>
      <c r="F148">
        <v>2383</v>
      </c>
      <c r="G148">
        <v>136</v>
      </c>
      <c r="H148">
        <v>302</v>
      </c>
      <c r="I148">
        <v>39187</v>
      </c>
      <c r="J148">
        <v>22133</v>
      </c>
      <c r="K148">
        <v>208</v>
      </c>
      <c r="L148" t="s">
        <v>64</v>
      </c>
      <c r="M148" t="s">
        <v>60</v>
      </c>
      <c r="N148">
        <f>(  Posts__2[[#This Row],[Likes]]+Posts__2[[#This Row],[Comments]]+Posts__2[[#This Row],[Shares]] ) / Posts__2[[#This Row],[Impressions]]</f>
        <v>7.1988159338556151E-2</v>
      </c>
    </row>
    <row r="149" spans="1:14" x14ac:dyDescent="0.3">
      <c r="A149" t="s">
        <v>209</v>
      </c>
      <c r="B149" t="s">
        <v>7</v>
      </c>
      <c r="C149" s="12">
        <v>45696</v>
      </c>
      <c r="D149" t="s">
        <v>44</v>
      </c>
      <c r="E149" t="s">
        <v>78</v>
      </c>
      <c r="F149">
        <v>4752</v>
      </c>
      <c r="G149">
        <v>334</v>
      </c>
      <c r="H149">
        <v>56</v>
      </c>
      <c r="I149">
        <v>48017</v>
      </c>
      <c r="J149">
        <v>55534</v>
      </c>
      <c r="K149">
        <v>270</v>
      </c>
      <c r="L149" t="s">
        <v>70</v>
      </c>
      <c r="M149" t="s">
        <v>60</v>
      </c>
      <c r="N149">
        <f>(  Posts__2[[#This Row],[Likes]]+Posts__2[[#This Row],[Comments]]+Posts__2[[#This Row],[Shares]] ) / Posts__2[[#This Row],[Impressions]]</f>
        <v>0.10708707332819627</v>
      </c>
    </row>
    <row r="150" spans="1:14" x14ac:dyDescent="0.3">
      <c r="A150" t="s">
        <v>210</v>
      </c>
      <c r="B150" t="s">
        <v>7</v>
      </c>
      <c r="C150" s="12">
        <v>45760</v>
      </c>
      <c r="D150" t="s">
        <v>45</v>
      </c>
      <c r="E150" t="s">
        <v>26</v>
      </c>
      <c r="F150">
        <v>3890</v>
      </c>
      <c r="G150">
        <v>408</v>
      </c>
      <c r="H150">
        <v>338</v>
      </c>
      <c r="I150">
        <v>56994</v>
      </c>
      <c r="J150">
        <v>32621</v>
      </c>
      <c r="K150">
        <v>286</v>
      </c>
      <c r="L150" t="s">
        <v>30</v>
      </c>
      <c r="M150" t="s">
        <v>62</v>
      </c>
      <c r="N150">
        <f>(  Posts__2[[#This Row],[Likes]]+Posts__2[[#This Row],[Comments]]+Posts__2[[#This Row],[Shares]] ) / Posts__2[[#This Row],[Impressions]]</f>
        <v>8.1341895638137346E-2</v>
      </c>
    </row>
    <row r="151" spans="1:14" x14ac:dyDescent="0.3">
      <c r="A151" t="s">
        <v>211</v>
      </c>
      <c r="B151" t="s">
        <v>7</v>
      </c>
      <c r="C151" s="12">
        <v>45442</v>
      </c>
      <c r="D151" t="s">
        <v>44</v>
      </c>
      <c r="E151" t="s">
        <v>78</v>
      </c>
      <c r="F151">
        <v>2311</v>
      </c>
      <c r="G151">
        <v>207</v>
      </c>
      <c r="H151">
        <v>363</v>
      </c>
      <c r="I151">
        <v>30349</v>
      </c>
      <c r="J151">
        <v>32925</v>
      </c>
      <c r="K151">
        <v>88</v>
      </c>
      <c r="L151" t="s">
        <v>64</v>
      </c>
      <c r="M151" t="s">
        <v>60</v>
      </c>
      <c r="N151">
        <f>(  Posts__2[[#This Row],[Likes]]+Posts__2[[#This Row],[Comments]]+Posts__2[[#This Row],[Shares]] ) / Posts__2[[#This Row],[Impressions]]</f>
        <v>9.4928992718046723E-2</v>
      </c>
    </row>
    <row r="152" spans="1:14" x14ac:dyDescent="0.3">
      <c r="A152" t="s">
        <v>212</v>
      </c>
      <c r="B152" t="s">
        <v>10</v>
      </c>
      <c r="C152" s="12">
        <v>45516</v>
      </c>
      <c r="D152" t="s">
        <v>44</v>
      </c>
      <c r="E152" t="s">
        <v>19</v>
      </c>
      <c r="F152">
        <v>2962</v>
      </c>
      <c r="G152">
        <v>400</v>
      </c>
      <c r="H152">
        <v>280</v>
      </c>
      <c r="I152">
        <v>52508</v>
      </c>
      <c r="J152">
        <v>58329</v>
      </c>
      <c r="K152">
        <v>219</v>
      </c>
      <c r="L152" t="s">
        <v>33</v>
      </c>
      <c r="M152" t="s">
        <v>82</v>
      </c>
      <c r="N152">
        <f>(  Posts__2[[#This Row],[Likes]]+Posts__2[[#This Row],[Comments]]+Posts__2[[#This Row],[Shares]] ) / Posts__2[[#This Row],[Impressions]]</f>
        <v>6.9360859297630834E-2</v>
      </c>
    </row>
    <row r="153" spans="1:14" x14ac:dyDescent="0.3">
      <c r="A153" t="s">
        <v>213</v>
      </c>
      <c r="B153" t="s">
        <v>10</v>
      </c>
      <c r="C153" s="12">
        <v>45562</v>
      </c>
      <c r="D153" t="s">
        <v>45</v>
      </c>
      <c r="E153" t="s">
        <v>19</v>
      </c>
      <c r="F153">
        <v>3118</v>
      </c>
      <c r="G153">
        <v>116</v>
      </c>
      <c r="H153">
        <v>195</v>
      </c>
      <c r="I153">
        <v>37100</v>
      </c>
      <c r="J153">
        <v>62629</v>
      </c>
      <c r="K153">
        <v>272</v>
      </c>
      <c r="L153" t="s">
        <v>27</v>
      </c>
      <c r="M153" t="s">
        <v>62</v>
      </c>
      <c r="N153">
        <f>(  Posts__2[[#This Row],[Likes]]+Posts__2[[#This Row],[Comments]]+Posts__2[[#This Row],[Shares]] ) / Posts__2[[#This Row],[Impressions]]</f>
        <v>9.2425876010781671E-2</v>
      </c>
    </row>
    <row r="154" spans="1:14" x14ac:dyDescent="0.3">
      <c r="A154" t="s">
        <v>214</v>
      </c>
      <c r="B154" t="s">
        <v>7</v>
      </c>
      <c r="C154" s="12">
        <v>45819</v>
      </c>
      <c r="D154" t="s">
        <v>44</v>
      </c>
      <c r="E154" t="s">
        <v>15</v>
      </c>
      <c r="F154">
        <v>3805</v>
      </c>
      <c r="G154">
        <v>453</v>
      </c>
      <c r="H154">
        <v>63</v>
      </c>
      <c r="I154">
        <v>52395</v>
      </c>
      <c r="J154">
        <v>72934</v>
      </c>
      <c r="K154">
        <v>87</v>
      </c>
      <c r="L154" t="s">
        <v>70</v>
      </c>
      <c r="M154" t="s">
        <v>60</v>
      </c>
      <c r="N154">
        <f>(  Posts__2[[#This Row],[Likes]]+Posts__2[[#This Row],[Comments]]+Posts__2[[#This Row],[Shares]] ) / Posts__2[[#This Row],[Impressions]]</f>
        <v>8.2469701307376658E-2</v>
      </c>
    </row>
    <row r="155" spans="1:14" x14ac:dyDescent="0.3">
      <c r="A155" t="s">
        <v>215</v>
      </c>
      <c r="B155" t="s">
        <v>10</v>
      </c>
      <c r="C155" s="12">
        <v>45615</v>
      </c>
      <c r="D155" t="s">
        <v>45</v>
      </c>
      <c r="E155" t="s">
        <v>23</v>
      </c>
      <c r="F155">
        <v>2525</v>
      </c>
      <c r="G155">
        <v>272</v>
      </c>
      <c r="H155">
        <v>294</v>
      </c>
      <c r="I155">
        <v>51875</v>
      </c>
      <c r="J155">
        <v>24732</v>
      </c>
      <c r="K155">
        <v>92</v>
      </c>
      <c r="L155" t="s">
        <v>27</v>
      </c>
      <c r="M155" t="s">
        <v>62</v>
      </c>
      <c r="N155">
        <f>(  Posts__2[[#This Row],[Likes]]+Posts__2[[#This Row],[Comments]]+Posts__2[[#This Row],[Shares]] ) / Posts__2[[#This Row],[Impressions]]</f>
        <v>5.9585542168674697E-2</v>
      </c>
    </row>
    <row r="156" spans="1:14" x14ac:dyDescent="0.3">
      <c r="A156" t="s">
        <v>216</v>
      </c>
      <c r="B156" t="s">
        <v>10</v>
      </c>
      <c r="C156" s="12">
        <v>45407</v>
      </c>
      <c r="D156" t="s">
        <v>45</v>
      </c>
      <c r="E156" t="s">
        <v>35</v>
      </c>
      <c r="F156">
        <v>3563</v>
      </c>
      <c r="G156">
        <v>483</v>
      </c>
      <c r="H156">
        <v>227</v>
      </c>
      <c r="I156">
        <v>41085</v>
      </c>
      <c r="J156">
        <v>26393</v>
      </c>
      <c r="K156">
        <v>236</v>
      </c>
      <c r="L156" t="s">
        <v>59</v>
      </c>
      <c r="M156" t="s">
        <v>60</v>
      </c>
      <c r="N156">
        <f>(  Posts__2[[#This Row],[Likes]]+Posts__2[[#This Row],[Comments]]+Posts__2[[#This Row],[Shares]] ) / Posts__2[[#This Row],[Impressions]]</f>
        <v>0.10400389436534015</v>
      </c>
    </row>
    <row r="157" spans="1:14" x14ac:dyDescent="0.3">
      <c r="A157" t="s">
        <v>217</v>
      </c>
      <c r="B157" t="s">
        <v>13</v>
      </c>
      <c r="C157" s="12">
        <v>45538</v>
      </c>
      <c r="D157" t="s">
        <v>46</v>
      </c>
      <c r="E157" t="s">
        <v>23</v>
      </c>
      <c r="F157">
        <v>1437</v>
      </c>
      <c r="G157">
        <v>494</v>
      </c>
      <c r="H157">
        <v>129</v>
      </c>
      <c r="I157">
        <v>53048</v>
      </c>
      <c r="J157">
        <v>44090</v>
      </c>
      <c r="K157">
        <v>230</v>
      </c>
      <c r="L157" t="s">
        <v>84</v>
      </c>
      <c r="M157" t="s">
        <v>85</v>
      </c>
      <c r="N157">
        <f>(  Posts__2[[#This Row],[Likes]]+Posts__2[[#This Row],[Comments]]+Posts__2[[#This Row],[Shares]] ) / Posts__2[[#This Row],[Impressions]]</f>
        <v>3.8832755240536872E-2</v>
      </c>
    </row>
    <row r="158" spans="1:14" x14ac:dyDescent="0.3">
      <c r="A158" t="s">
        <v>25</v>
      </c>
      <c r="B158" t="s">
        <v>13</v>
      </c>
      <c r="C158" s="12">
        <v>45718</v>
      </c>
      <c r="D158" t="s">
        <v>45</v>
      </c>
      <c r="E158" t="s">
        <v>26</v>
      </c>
      <c r="F158">
        <v>4425</v>
      </c>
      <c r="G158">
        <v>185</v>
      </c>
      <c r="H158">
        <v>162</v>
      </c>
      <c r="I158">
        <v>24610</v>
      </c>
      <c r="J158">
        <v>21342</v>
      </c>
      <c r="K158">
        <v>158</v>
      </c>
      <c r="L158" t="s">
        <v>67</v>
      </c>
      <c r="M158" t="s">
        <v>62</v>
      </c>
      <c r="N158">
        <f>(  Posts__2[[#This Row],[Likes]]+Posts__2[[#This Row],[Comments]]+Posts__2[[#This Row],[Shares]] ) / Posts__2[[#This Row],[Impressions]]</f>
        <v>0.19390491670052823</v>
      </c>
    </row>
    <row r="159" spans="1:14" x14ac:dyDescent="0.3">
      <c r="A159" t="s">
        <v>218</v>
      </c>
      <c r="B159" t="s">
        <v>7</v>
      </c>
      <c r="C159" s="12">
        <v>45737</v>
      </c>
      <c r="D159" t="s">
        <v>44</v>
      </c>
      <c r="E159" t="s">
        <v>12</v>
      </c>
      <c r="F159">
        <v>4609</v>
      </c>
      <c r="G159">
        <v>427</v>
      </c>
      <c r="H159">
        <v>395</v>
      </c>
      <c r="I159">
        <v>33698</v>
      </c>
      <c r="J159">
        <v>29259</v>
      </c>
      <c r="K159">
        <v>216</v>
      </c>
      <c r="L159" t="s">
        <v>70</v>
      </c>
      <c r="M159" t="s">
        <v>60</v>
      </c>
      <c r="N159">
        <f>(  Posts__2[[#This Row],[Likes]]+Posts__2[[#This Row],[Comments]]+Posts__2[[#This Row],[Shares]] ) / Posts__2[[#This Row],[Impressions]]</f>
        <v>0.16116683482699271</v>
      </c>
    </row>
    <row r="160" spans="1:14" x14ac:dyDescent="0.3">
      <c r="A160" t="s">
        <v>219</v>
      </c>
      <c r="B160" t="s">
        <v>10</v>
      </c>
      <c r="C160" s="12">
        <v>45394</v>
      </c>
      <c r="D160" t="s">
        <v>44</v>
      </c>
      <c r="E160" t="s">
        <v>9</v>
      </c>
      <c r="F160">
        <v>1558</v>
      </c>
      <c r="G160">
        <v>352</v>
      </c>
      <c r="H160">
        <v>202</v>
      </c>
      <c r="I160">
        <v>25405</v>
      </c>
      <c r="J160">
        <v>69941</v>
      </c>
      <c r="K160">
        <v>219</v>
      </c>
      <c r="L160" t="s">
        <v>33</v>
      </c>
      <c r="M160" t="s">
        <v>82</v>
      </c>
      <c r="N160">
        <f>(  Posts__2[[#This Row],[Likes]]+Posts__2[[#This Row],[Comments]]+Posts__2[[#This Row],[Shares]] ) / Posts__2[[#This Row],[Impressions]]</f>
        <v>8.3133241487896081E-2</v>
      </c>
    </row>
    <row r="161" spans="1:14" x14ac:dyDescent="0.3">
      <c r="A161" t="s">
        <v>220</v>
      </c>
      <c r="B161" t="s">
        <v>13</v>
      </c>
      <c r="C161" s="12">
        <v>45330</v>
      </c>
      <c r="D161" t="s">
        <v>46</v>
      </c>
      <c r="E161" t="s">
        <v>32</v>
      </c>
      <c r="F161">
        <v>1889</v>
      </c>
      <c r="G161">
        <v>298</v>
      </c>
      <c r="H161">
        <v>122</v>
      </c>
      <c r="I161">
        <v>46225</v>
      </c>
      <c r="J161">
        <v>74305</v>
      </c>
      <c r="K161">
        <v>293</v>
      </c>
      <c r="L161" t="s">
        <v>84</v>
      </c>
      <c r="M161" t="s">
        <v>85</v>
      </c>
      <c r="N161">
        <f>(  Posts__2[[#This Row],[Likes]]+Posts__2[[#This Row],[Comments]]+Posts__2[[#This Row],[Shares]] ) / Posts__2[[#This Row],[Impressions]]</f>
        <v>4.9951325040562468E-2</v>
      </c>
    </row>
    <row r="162" spans="1:14" x14ac:dyDescent="0.3">
      <c r="A162" t="s">
        <v>221</v>
      </c>
      <c r="B162" t="s">
        <v>10</v>
      </c>
      <c r="C162" s="12">
        <v>45803</v>
      </c>
      <c r="D162" t="s">
        <v>45</v>
      </c>
      <c r="E162" t="s">
        <v>19</v>
      </c>
      <c r="F162">
        <v>3086</v>
      </c>
      <c r="G162">
        <v>148</v>
      </c>
      <c r="H162">
        <v>310</v>
      </c>
      <c r="I162">
        <v>22824</v>
      </c>
      <c r="J162">
        <v>58103</v>
      </c>
      <c r="K162">
        <v>275</v>
      </c>
      <c r="L162" t="s">
        <v>27</v>
      </c>
      <c r="M162" t="s">
        <v>62</v>
      </c>
      <c r="N162">
        <f>(  Posts__2[[#This Row],[Likes]]+Posts__2[[#This Row],[Comments]]+Posts__2[[#This Row],[Shares]] ) / Posts__2[[#This Row],[Impressions]]</f>
        <v>0.1552751489660007</v>
      </c>
    </row>
    <row r="163" spans="1:14" x14ac:dyDescent="0.3">
      <c r="A163" t="s">
        <v>222</v>
      </c>
      <c r="B163" t="s">
        <v>10</v>
      </c>
      <c r="C163" s="12">
        <v>45610</v>
      </c>
      <c r="D163" t="s">
        <v>45</v>
      </c>
      <c r="E163" t="s">
        <v>35</v>
      </c>
      <c r="F163">
        <v>2422</v>
      </c>
      <c r="G163">
        <v>318</v>
      </c>
      <c r="H163">
        <v>118</v>
      </c>
      <c r="I163">
        <v>25386</v>
      </c>
      <c r="J163">
        <v>20873</v>
      </c>
      <c r="K163">
        <v>100</v>
      </c>
      <c r="L163" t="s">
        <v>59</v>
      </c>
      <c r="M163" t="s">
        <v>60</v>
      </c>
      <c r="N163">
        <f>(  Posts__2[[#This Row],[Likes]]+Posts__2[[#This Row],[Comments]]+Posts__2[[#This Row],[Shares]] ) / Posts__2[[#This Row],[Impressions]]</f>
        <v>0.11258173796580792</v>
      </c>
    </row>
    <row r="164" spans="1:14" x14ac:dyDescent="0.3">
      <c r="A164" t="s">
        <v>223</v>
      </c>
      <c r="B164" t="s">
        <v>13</v>
      </c>
      <c r="C164" s="12">
        <v>45513</v>
      </c>
      <c r="D164" t="s">
        <v>46</v>
      </c>
      <c r="E164" t="s">
        <v>26</v>
      </c>
      <c r="F164">
        <v>3414</v>
      </c>
      <c r="G164">
        <v>154</v>
      </c>
      <c r="H164">
        <v>204</v>
      </c>
      <c r="I164">
        <v>34146</v>
      </c>
      <c r="J164">
        <v>44633</v>
      </c>
      <c r="K164">
        <v>256</v>
      </c>
      <c r="L164" t="s">
        <v>84</v>
      </c>
      <c r="M164" t="s">
        <v>85</v>
      </c>
      <c r="N164">
        <f>(  Posts__2[[#This Row],[Likes]]+Posts__2[[#This Row],[Comments]]+Posts__2[[#This Row],[Shares]] ) / Posts__2[[#This Row],[Impressions]]</f>
        <v>0.11046681895390383</v>
      </c>
    </row>
    <row r="165" spans="1:14" x14ac:dyDescent="0.3">
      <c r="A165" t="s">
        <v>224</v>
      </c>
      <c r="B165" t="s">
        <v>10</v>
      </c>
      <c r="C165" s="12">
        <v>45835</v>
      </c>
      <c r="D165" t="s">
        <v>44</v>
      </c>
      <c r="E165" t="s">
        <v>23</v>
      </c>
      <c r="F165">
        <v>1342</v>
      </c>
      <c r="G165">
        <v>332</v>
      </c>
      <c r="H165">
        <v>163</v>
      </c>
      <c r="I165">
        <v>51712</v>
      </c>
      <c r="J165">
        <v>57922</v>
      </c>
      <c r="K165">
        <v>168</v>
      </c>
      <c r="L165" t="s">
        <v>33</v>
      </c>
      <c r="M165" t="s">
        <v>82</v>
      </c>
      <c r="N165">
        <f>(  Posts__2[[#This Row],[Likes]]+Posts__2[[#This Row],[Comments]]+Posts__2[[#This Row],[Shares]] ) / Posts__2[[#This Row],[Impressions]]</f>
        <v>3.5523669554455448E-2</v>
      </c>
    </row>
    <row r="166" spans="1:14" x14ac:dyDescent="0.3">
      <c r="A166" t="s">
        <v>225</v>
      </c>
      <c r="B166" t="s">
        <v>10</v>
      </c>
      <c r="C166" s="12">
        <v>45420</v>
      </c>
      <c r="D166" t="s">
        <v>44</v>
      </c>
      <c r="E166" t="s">
        <v>35</v>
      </c>
      <c r="F166">
        <v>2414</v>
      </c>
      <c r="G166">
        <v>220</v>
      </c>
      <c r="H166">
        <v>280</v>
      </c>
      <c r="I166">
        <v>27355</v>
      </c>
      <c r="J166">
        <v>50562</v>
      </c>
      <c r="K166">
        <v>258</v>
      </c>
      <c r="L166" t="s">
        <v>33</v>
      </c>
      <c r="M166" t="s">
        <v>82</v>
      </c>
      <c r="N166">
        <f>(  Posts__2[[#This Row],[Likes]]+Posts__2[[#This Row],[Comments]]+Posts__2[[#This Row],[Shares]] ) / Posts__2[[#This Row],[Impressions]]</f>
        <v>0.10652531529884847</v>
      </c>
    </row>
    <row r="167" spans="1:14" x14ac:dyDescent="0.3">
      <c r="A167" t="s">
        <v>226</v>
      </c>
      <c r="B167" t="s">
        <v>10</v>
      </c>
      <c r="C167" s="12">
        <v>45387</v>
      </c>
      <c r="D167" t="s">
        <v>45</v>
      </c>
      <c r="E167" t="s">
        <v>12</v>
      </c>
      <c r="F167">
        <v>4383</v>
      </c>
      <c r="G167">
        <v>352</v>
      </c>
      <c r="H167">
        <v>176</v>
      </c>
      <c r="I167">
        <v>53239</v>
      </c>
      <c r="J167">
        <v>34168</v>
      </c>
      <c r="K167">
        <v>288</v>
      </c>
      <c r="L167" t="s">
        <v>27</v>
      </c>
      <c r="M167" t="s">
        <v>62</v>
      </c>
      <c r="N167">
        <f>(  Posts__2[[#This Row],[Likes]]+Posts__2[[#This Row],[Comments]]+Posts__2[[#This Row],[Shares]] ) / Posts__2[[#This Row],[Impressions]]</f>
        <v>9.2244407295403744E-2</v>
      </c>
    </row>
    <row r="168" spans="1:14" x14ac:dyDescent="0.3">
      <c r="A168" t="s">
        <v>227</v>
      </c>
      <c r="B168" t="s">
        <v>13</v>
      </c>
      <c r="C168" s="12">
        <v>45684</v>
      </c>
      <c r="D168" t="s">
        <v>45</v>
      </c>
      <c r="E168" t="s">
        <v>29</v>
      </c>
      <c r="F168">
        <v>4294</v>
      </c>
      <c r="G168">
        <v>423</v>
      </c>
      <c r="H168">
        <v>93</v>
      </c>
      <c r="I168">
        <v>29828</v>
      </c>
      <c r="J168">
        <v>73144</v>
      </c>
      <c r="K168">
        <v>298</v>
      </c>
      <c r="L168" t="s">
        <v>67</v>
      </c>
      <c r="M168" t="s">
        <v>62</v>
      </c>
      <c r="N168">
        <f>(  Posts__2[[#This Row],[Likes]]+Posts__2[[#This Row],[Comments]]+Posts__2[[#This Row],[Shares]] ) / Posts__2[[#This Row],[Impressions]]</f>
        <v>0.1612578785034196</v>
      </c>
    </row>
    <row r="169" spans="1:14" x14ac:dyDescent="0.3">
      <c r="A169" t="s">
        <v>228</v>
      </c>
      <c r="B169" t="s">
        <v>10</v>
      </c>
      <c r="C169" s="12">
        <v>45385</v>
      </c>
      <c r="D169" t="s">
        <v>45</v>
      </c>
      <c r="E169" t="s">
        <v>32</v>
      </c>
      <c r="F169">
        <v>2762</v>
      </c>
      <c r="G169">
        <v>339</v>
      </c>
      <c r="H169">
        <v>323</v>
      </c>
      <c r="I169">
        <v>33757</v>
      </c>
      <c r="J169">
        <v>68511</v>
      </c>
      <c r="K169">
        <v>121</v>
      </c>
      <c r="L169" t="s">
        <v>59</v>
      </c>
      <c r="M169" t="s">
        <v>60</v>
      </c>
      <c r="N169">
        <f>(  Posts__2[[#This Row],[Likes]]+Posts__2[[#This Row],[Comments]]+Posts__2[[#This Row],[Shares]] ) / Posts__2[[#This Row],[Impressions]]</f>
        <v>0.10143081434961637</v>
      </c>
    </row>
    <row r="170" spans="1:14" x14ac:dyDescent="0.3">
      <c r="A170" t="s">
        <v>229</v>
      </c>
      <c r="B170" t="s">
        <v>13</v>
      </c>
      <c r="C170" s="12">
        <v>45660</v>
      </c>
      <c r="D170" t="s">
        <v>45</v>
      </c>
      <c r="E170" t="s">
        <v>12</v>
      </c>
      <c r="F170">
        <v>3782</v>
      </c>
      <c r="G170">
        <v>484</v>
      </c>
      <c r="H170">
        <v>144</v>
      </c>
      <c r="I170">
        <v>52172</v>
      </c>
      <c r="J170">
        <v>59386</v>
      </c>
      <c r="K170">
        <v>175</v>
      </c>
      <c r="L170" t="s">
        <v>67</v>
      </c>
      <c r="M170" t="s">
        <v>62</v>
      </c>
      <c r="N170">
        <f>(  Posts__2[[#This Row],[Likes]]+Posts__2[[#This Row],[Comments]]+Posts__2[[#This Row],[Shares]] ) / Posts__2[[#This Row],[Impressions]]</f>
        <v>8.4528099363643333E-2</v>
      </c>
    </row>
    <row r="171" spans="1:14" x14ac:dyDescent="0.3">
      <c r="A171" t="s">
        <v>230</v>
      </c>
      <c r="B171" t="s">
        <v>7</v>
      </c>
      <c r="C171" s="12">
        <v>45619</v>
      </c>
      <c r="D171" t="s">
        <v>45</v>
      </c>
      <c r="E171" t="s">
        <v>12</v>
      </c>
      <c r="F171">
        <v>4318</v>
      </c>
      <c r="G171">
        <v>371</v>
      </c>
      <c r="H171">
        <v>329</v>
      </c>
      <c r="I171">
        <v>32347</v>
      </c>
      <c r="J171">
        <v>68956</v>
      </c>
      <c r="K171">
        <v>259</v>
      </c>
      <c r="L171" t="s">
        <v>30</v>
      </c>
      <c r="M171" t="s">
        <v>62</v>
      </c>
      <c r="N171">
        <f>(  Posts__2[[#This Row],[Likes]]+Posts__2[[#This Row],[Comments]]+Posts__2[[#This Row],[Shares]] ) / Posts__2[[#This Row],[Impressions]]</f>
        <v>0.15513030574705536</v>
      </c>
    </row>
    <row r="172" spans="1:14" x14ac:dyDescent="0.3">
      <c r="A172" t="s">
        <v>231</v>
      </c>
      <c r="B172" t="s">
        <v>10</v>
      </c>
      <c r="C172" s="12">
        <v>45536</v>
      </c>
      <c r="D172" t="s">
        <v>44</v>
      </c>
      <c r="E172" t="s">
        <v>29</v>
      </c>
      <c r="F172">
        <v>2335</v>
      </c>
      <c r="G172">
        <v>150</v>
      </c>
      <c r="H172">
        <v>75</v>
      </c>
      <c r="I172">
        <v>26114</v>
      </c>
      <c r="J172">
        <v>57549</v>
      </c>
      <c r="K172">
        <v>135</v>
      </c>
      <c r="L172" t="s">
        <v>33</v>
      </c>
      <c r="M172" t="s">
        <v>82</v>
      </c>
      <c r="N172">
        <f>(  Posts__2[[#This Row],[Likes]]+Posts__2[[#This Row],[Comments]]+Posts__2[[#This Row],[Shares]] ) / Posts__2[[#This Row],[Impressions]]</f>
        <v>9.8031707130274953E-2</v>
      </c>
    </row>
    <row r="173" spans="1:14" x14ac:dyDescent="0.3">
      <c r="A173" t="s">
        <v>232</v>
      </c>
      <c r="B173" t="s">
        <v>13</v>
      </c>
      <c r="C173" s="12">
        <v>45400</v>
      </c>
      <c r="D173" t="s">
        <v>45</v>
      </c>
      <c r="E173" t="s">
        <v>15</v>
      </c>
      <c r="F173">
        <v>4023</v>
      </c>
      <c r="G173">
        <v>293</v>
      </c>
      <c r="H173">
        <v>91</v>
      </c>
      <c r="I173">
        <v>26795</v>
      </c>
      <c r="J173">
        <v>28924</v>
      </c>
      <c r="K173">
        <v>278</v>
      </c>
      <c r="L173" t="s">
        <v>67</v>
      </c>
      <c r="M173" t="s">
        <v>62</v>
      </c>
      <c r="N173">
        <f>(  Posts__2[[#This Row],[Likes]]+Posts__2[[#This Row],[Comments]]+Posts__2[[#This Row],[Shares]] ) / Posts__2[[#This Row],[Impressions]]</f>
        <v>0.16447098339242397</v>
      </c>
    </row>
    <row r="174" spans="1:14" x14ac:dyDescent="0.3">
      <c r="A174" t="s">
        <v>233</v>
      </c>
      <c r="B174" t="s">
        <v>10</v>
      </c>
      <c r="C174" s="12">
        <v>45447</v>
      </c>
      <c r="D174" t="s">
        <v>45</v>
      </c>
      <c r="E174" t="s">
        <v>9</v>
      </c>
      <c r="F174">
        <v>3948</v>
      </c>
      <c r="G174">
        <v>151</v>
      </c>
      <c r="H174">
        <v>249</v>
      </c>
      <c r="I174">
        <v>43147</v>
      </c>
      <c r="J174">
        <v>63136</v>
      </c>
      <c r="K174">
        <v>230</v>
      </c>
      <c r="L174" t="s">
        <v>27</v>
      </c>
      <c r="M174" t="s">
        <v>62</v>
      </c>
      <c r="N174">
        <f>(  Posts__2[[#This Row],[Likes]]+Posts__2[[#This Row],[Comments]]+Posts__2[[#This Row],[Shares]] ) / Posts__2[[#This Row],[Impressions]]</f>
        <v>0.10077178019329269</v>
      </c>
    </row>
    <row r="175" spans="1:14" x14ac:dyDescent="0.3">
      <c r="A175" t="s">
        <v>234</v>
      </c>
      <c r="B175" t="s">
        <v>13</v>
      </c>
      <c r="C175" s="12">
        <v>45749</v>
      </c>
      <c r="D175" t="s">
        <v>45</v>
      </c>
      <c r="E175" t="s">
        <v>29</v>
      </c>
      <c r="F175">
        <v>4598</v>
      </c>
      <c r="G175">
        <v>455</v>
      </c>
      <c r="H175">
        <v>378</v>
      </c>
      <c r="I175">
        <v>52952</v>
      </c>
      <c r="J175">
        <v>58504</v>
      </c>
      <c r="K175">
        <v>269</v>
      </c>
      <c r="L175" t="s">
        <v>67</v>
      </c>
      <c r="M175" t="s">
        <v>62</v>
      </c>
      <c r="N175">
        <f>(  Posts__2[[#This Row],[Likes]]+Posts__2[[#This Row],[Comments]]+Posts__2[[#This Row],[Shares]] ) / Posts__2[[#This Row],[Impressions]]</f>
        <v>0.10256458679558846</v>
      </c>
    </row>
    <row r="176" spans="1:14" x14ac:dyDescent="0.3">
      <c r="A176" t="s">
        <v>235</v>
      </c>
      <c r="B176" t="s">
        <v>7</v>
      </c>
      <c r="C176" s="12">
        <v>45748</v>
      </c>
      <c r="D176" t="s">
        <v>44</v>
      </c>
      <c r="E176" t="s">
        <v>35</v>
      </c>
      <c r="F176">
        <v>2665</v>
      </c>
      <c r="G176">
        <v>143</v>
      </c>
      <c r="H176">
        <v>315</v>
      </c>
      <c r="I176">
        <v>54808</v>
      </c>
      <c r="J176">
        <v>29818</v>
      </c>
      <c r="K176">
        <v>98</v>
      </c>
      <c r="L176" t="s">
        <v>70</v>
      </c>
      <c r="M176" t="s">
        <v>60</v>
      </c>
      <c r="N176">
        <f>(  Posts__2[[#This Row],[Likes]]+Posts__2[[#This Row],[Comments]]+Posts__2[[#This Row],[Shares]] ) / Posts__2[[#This Row],[Impressions]]</f>
        <v>5.6980732739746021E-2</v>
      </c>
    </row>
    <row r="177" spans="1:14" x14ac:dyDescent="0.3">
      <c r="A177" t="s">
        <v>236</v>
      </c>
      <c r="B177" t="s">
        <v>10</v>
      </c>
      <c r="C177" s="12">
        <v>45475</v>
      </c>
      <c r="D177" t="s">
        <v>45</v>
      </c>
      <c r="E177" t="s">
        <v>32</v>
      </c>
      <c r="F177">
        <v>3469</v>
      </c>
      <c r="G177">
        <v>371</v>
      </c>
      <c r="H177">
        <v>76</v>
      </c>
      <c r="I177">
        <v>46493</v>
      </c>
      <c r="J177">
        <v>26906</v>
      </c>
      <c r="K177">
        <v>150</v>
      </c>
      <c r="L177" t="s">
        <v>59</v>
      </c>
      <c r="M177" t="s">
        <v>60</v>
      </c>
      <c r="N177">
        <f>(  Posts__2[[#This Row],[Likes]]+Posts__2[[#This Row],[Comments]]+Posts__2[[#This Row],[Shares]] ) / Posts__2[[#This Row],[Impressions]]</f>
        <v>8.4227733207149463E-2</v>
      </c>
    </row>
    <row r="178" spans="1:14" x14ac:dyDescent="0.3">
      <c r="A178" t="s">
        <v>237</v>
      </c>
      <c r="B178" t="s">
        <v>7</v>
      </c>
      <c r="C178" s="12">
        <v>45606</v>
      </c>
      <c r="D178" t="s">
        <v>45</v>
      </c>
      <c r="E178" t="s">
        <v>15</v>
      </c>
      <c r="F178">
        <v>4823</v>
      </c>
      <c r="G178">
        <v>489</v>
      </c>
      <c r="H178">
        <v>302</v>
      </c>
      <c r="I178">
        <v>32470</v>
      </c>
      <c r="J178">
        <v>31861</v>
      </c>
      <c r="K178">
        <v>178</v>
      </c>
      <c r="L178" t="s">
        <v>30</v>
      </c>
      <c r="M178" t="s">
        <v>62</v>
      </c>
      <c r="N178">
        <f>(  Posts__2[[#This Row],[Likes]]+Posts__2[[#This Row],[Comments]]+Posts__2[[#This Row],[Shares]] ) / Posts__2[[#This Row],[Impressions]]</f>
        <v>0.1728980597474592</v>
      </c>
    </row>
    <row r="179" spans="1:14" x14ac:dyDescent="0.3">
      <c r="A179" t="s">
        <v>238</v>
      </c>
      <c r="B179" t="s">
        <v>10</v>
      </c>
      <c r="C179" s="12">
        <v>45640</v>
      </c>
      <c r="D179" t="s">
        <v>44</v>
      </c>
      <c r="E179" t="s">
        <v>26</v>
      </c>
      <c r="F179">
        <v>3812</v>
      </c>
      <c r="G179">
        <v>321</v>
      </c>
      <c r="H179">
        <v>289</v>
      </c>
      <c r="I179">
        <v>59838</v>
      </c>
      <c r="J179">
        <v>36337</v>
      </c>
      <c r="K179">
        <v>161</v>
      </c>
      <c r="L179" t="s">
        <v>33</v>
      </c>
      <c r="M179" t="s">
        <v>82</v>
      </c>
      <c r="N179">
        <f>(  Posts__2[[#This Row],[Likes]]+Posts__2[[#This Row],[Comments]]+Posts__2[[#This Row],[Shares]] ) / Posts__2[[#This Row],[Impressions]]</f>
        <v>7.3899528727564417E-2</v>
      </c>
    </row>
    <row r="180" spans="1:14" x14ac:dyDescent="0.3">
      <c r="A180" t="s">
        <v>239</v>
      </c>
      <c r="B180" t="s">
        <v>7</v>
      </c>
      <c r="C180" s="12">
        <v>45615</v>
      </c>
      <c r="D180" t="s">
        <v>45</v>
      </c>
      <c r="E180" t="s">
        <v>15</v>
      </c>
      <c r="F180">
        <v>2387</v>
      </c>
      <c r="G180">
        <v>353</v>
      </c>
      <c r="H180">
        <v>78</v>
      </c>
      <c r="I180">
        <v>39745</v>
      </c>
      <c r="J180">
        <v>69226</v>
      </c>
      <c r="K180">
        <v>208</v>
      </c>
      <c r="L180" t="s">
        <v>30</v>
      </c>
      <c r="M180" t="s">
        <v>62</v>
      </c>
      <c r="N180">
        <f>(  Posts__2[[#This Row],[Likes]]+Posts__2[[#This Row],[Comments]]+Posts__2[[#This Row],[Shares]] ) / Posts__2[[#This Row],[Impressions]]</f>
        <v>7.090200025160398E-2</v>
      </c>
    </row>
    <row r="181" spans="1:14" x14ac:dyDescent="0.3">
      <c r="A181" t="s">
        <v>240</v>
      </c>
      <c r="B181" t="s">
        <v>7</v>
      </c>
      <c r="C181" s="12">
        <v>45777</v>
      </c>
      <c r="D181" t="s">
        <v>44</v>
      </c>
      <c r="E181" t="s">
        <v>29</v>
      </c>
      <c r="F181">
        <v>3929</v>
      </c>
      <c r="G181">
        <v>275</v>
      </c>
      <c r="H181">
        <v>330</v>
      </c>
      <c r="I181">
        <v>58329</v>
      </c>
      <c r="J181">
        <v>33196</v>
      </c>
      <c r="K181">
        <v>85</v>
      </c>
      <c r="L181" t="s">
        <v>64</v>
      </c>
      <c r="M181" t="s">
        <v>60</v>
      </c>
      <c r="N181">
        <f>(  Posts__2[[#This Row],[Likes]]+Posts__2[[#This Row],[Comments]]+Posts__2[[#This Row],[Shares]] ) / Posts__2[[#This Row],[Impressions]]</f>
        <v>7.7731488624869283E-2</v>
      </c>
    </row>
    <row r="182" spans="1:14" x14ac:dyDescent="0.3">
      <c r="A182" t="s">
        <v>241</v>
      </c>
      <c r="B182" t="s">
        <v>7</v>
      </c>
      <c r="C182" s="12">
        <v>45370</v>
      </c>
      <c r="D182" t="s">
        <v>45</v>
      </c>
      <c r="E182" t="s">
        <v>26</v>
      </c>
      <c r="F182">
        <v>2191</v>
      </c>
      <c r="G182">
        <v>288</v>
      </c>
      <c r="H182">
        <v>83</v>
      </c>
      <c r="I182">
        <v>59606</v>
      </c>
      <c r="J182">
        <v>24765</v>
      </c>
      <c r="K182">
        <v>281</v>
      </c>
      <c r="L182" t="s">
        <v>30</v>
      </c>
      <c r="M182" t="s">
        <v>62</v>
      </c>
      <c r="N182">
        <f>(  Posts__2[[#This Row],[Likes]]+Posts__2[[#This Row],[Comments]]+Posts__2[[#This Row],[Shares]] ) / Posts__2[[#This Row],[Impressions]]</f>
        <v>4.2982250109049422E-2</v>
      </c>
    </row>
    <row r="183" spans="1:14" x14ac:dyDescent="0.3">
      <c r="A183" t="s">
        <v>242</v>
      </c>
      <c r="B183" t="s">
        <v>10</v>
      </c>
      <c r="C183" s="12">
        <v>45370</v>
      </c>
      <c r="D183" t="s">
        <v>45</v>
      </c>
      <c r="E183" t="s">
        <v>26</v>
      </c>
      <c r="F183">
        <v>2878</v>
      </c>
      <c r="G183">
        <v>278</v>
      </c>
      <c r="H183">
        <v>255</v>
      </c>
      <c r="I183">
        <v>47235</v>
      </c>
      <c r="J183">
        <v>57922</v>
      </c>
      <c r="K183">
        <v>112</v>
      </c>
      <c r="L183" t="s">
        <v>59</v>
      </c>
      <c r="M183" t="s">
        <v>60</v>
      </c>
      <c r="N183">
        <f>(  Posts__2[[#This Row],[Likes]]+Posts__2[[#This Row],[Comments]]+Posts__2[[#This Row],[Shares]] ) / Posts__2[[#This Row],[Impressions]]</f>
        <v>7.2213401079707848E-2</v>
      </c>
    </row>
    <row r="184" spans="1:14" x14ac:dyDescent="0.3">
      <c r="A184" t="s">
        <v>243</v>
      </c>
      <c r="B184" t="s">
        <v>7</v>
      </c>
      <c r="C184" s="12">
        <v>45496</v>
      </c>
      <c r="D184" t="s">
        <v>45</v>
      </c>
      <c r="E184" t="s">
        <v>32</v>
      </c>
      <c r="F184">
        <v>3204</v>
      </c>
      <c r="G184">
        <v>398</v>
      </c>
      <c r="H184">
        <v>85</v>
      </c>
      <c r="I184">
        <v>22020</v>
      </c>
      <c r="J184">
        <v>58353</v>
      </c>
      <c r="K184">
        <v>286</v>
      </c>
      <c r="L184" t="s">
        <v>30</v>
      </c>
      <c r="M184" t="s">
        <v>62</v>
      </c>
      <c r="N184">
        <f>(  Posts__2[[#This Row],[Likes]]+Posts__2[[#This Row],[Comments]]+Posts__2[[#This Row],[Shares]] ) / Posts__2[[#This Row],[Impressions]]</f>
        <v>0.16743869209809265</v>
      </c>
    </row>
    <row r="185" spans="1:14" x14ac:dyDescent="0.3">
      <c r="A185" t="s">
        <v>244</v>
      </c>
      <c r="B185" t="s">
        <v>7</v>
      </c>
      <c r="C185" s="12">
        <v>45486</v>
      </c>
      <c r="D185" t="s">
        <v>44</v>
      </c>
      <c r="E185" t="s">
        <v>9</v>
      </c>
      <c r="F185">
        <v>2408</v>
      </c>
      <c r="G185">
        <v>323</v>
      </c>
      <c r="H185">
        <v>251</v>
      </c>
      <c r="I185">
        <v>47599</v>
      </c>
      <c r="J185">
        <v>35543</v>
      </c>
      <c r="K185">
        <v>287</v>
      </c>
      <c r="L185" t="s">
        <v>64</v>
      </c>
      <c r="M185" t="s">
        <v>60</v>
      </c>
      <c r="N185">
        <f>(  Posts__2[[#This Row],[Likes]]+Posts__2[[#This Row],[Comments]]+Posts__2[[#This Row],[Shares]] ) / Posts__2[[#This Row],[Impressions]]</f>
        <v>6.2648374965860634E-2</v>
      </c>
    </row>
    <row r="186" spans="1:14" x14ac:dyDescent="0.3">
      <c r="A186" t="s">
        <v>245</v>
      </c>
      <c r="B186" t="s">
        <v>13</v>
      </c>
      <c r="C186" s="12">
        <v>45769</v>
      </c>
      <c r="D186" t="s">
        <v>46</v>
      </c>
      <c r="E186" t="s">
        <v>12</v>
      </c>
      <c r="F186">
        <v>2733</v>
      </c>
      <c r="G186">
        <v>297</v>
      </c>
      <c r="H186">
        <v>235</v>
      </c>
      <c r="I186">
        <v>37980</v>
      </c>
      <c r="J186">
        <v>33058</v>
      </c>
      <c r="K186">
        <v>219</v>
      </c>
      <c r="L186" t="s">
        <v>84</v>
      </c>
      <c r="M186" t="s">
        <v>85</v>
      </c>
      <c r="N186">
        <f>(  Posts__2[[#This Row],[Likes]]+Posts__2[[#This Row],[Comments]]+Posts__2[[#This Row],[Shares]] ) / Posts__2[[#This Row],[Impressions]]</f>
        <v>8.5966298051606105E-2</v>
      </c>
    </row>
    <row r="187" spans="1:14" x14ac:dyDescent="0.3">
      <c r="A187" t="s">
        <v>14</v>
      </c>
      <c r="B187" t="s">
        <v>7</v>
      </c>
      <c r="C187" s="12">
        <v>45459</v>
      </c>
      <c r="D187" t="s">
        <v>44</v>
      </c>
      <c r="E187" t="s">
        <v>15</v>
      </c>
      <c r="F187">
        <v>4618</v>
      </c>
      <c r="G187">
        <v>312</v>
      </c>
      <c r="H187">
        <v>254</v>
      </c>
      <c r="I187">
        <v>22571</v>
      </c>
      <c r="J187">
        <v>29453</v>
      </c>
      <c r="K187">
        <v>197</v>
      </c>
      <c r="L187" t="s">
        <v>64</v>
      </c>
      <c r="M187" t="s">
        <v>60</v>
      </c>
      <c r="N187">
        <f>(  Posts__2[[#This Row],[Likes]]+Posts__2[[#This Row],[Comments]]+Posts__2[[#This Row],[Shares]] ) / Posts__2[[#This Row],[Impressions]]</f>
        <v>0.22967524699836073</v>
      </c>
    </row>
    <row r="188" spans="1:14" x14ac:dyDescent="0.3">
      <c r="A188" t="s">
        <v>246</v>
      </c>
      <c r="B188" t="s">
        <v>13</v>
      </c>
      <c r="C188" s="12">
        <v>45795</v>
      </c>
      <c r="D188" t="s">
        <v>46</v>
      </c>
      <c r="E188" t="s">
        <v>29</v>
      </c>
      <c r="F188">
        <v>4210</v>
      </c>
      <c r="G188">
        <v>319</v>
      </c>
      <c r="H188">
        <v>350</v>
      </c>
      <c r="I188">
        <v>37762</v>
      </c>
      <c r="J188">
        <v>55162</v>
      </c>
      <c r="K188">
        <v>204</v>
      </c>
      <c r="L188" t="s">
        <v>84</v>
      </c>
      <c r="M188" t="s">
        <v>85</v>
      </c>
      <c r="N188">
        <f>(  Posts__2[[#This Row],[Likes]]+Posts__2[[#This Row],[Comments]]+Posts__2[[#This Row],[Shares]] ) / Posts__2[[#This Row],[Impressions]]</f>
        <v>0.12920396165457337</v>
      </c>
    </row>
    <row r="189" spans="1:14" x14ac:dyDescent="0.3">
      <c r="A189" t="s">
        <v>247</v>
      </c>
      <c r="B189" t="s">
        <v>10</v>
      </c>
      <c r="C189" s="12">
        <v>45814</v>
      </c>
      <c r="D189" t="s">
        <v>45</v>
      </c>
      <c r="E189" t="s">
        <v>29</v>
      </c>
      <c r="F189">
        <v>3987</v>
      </c>
      <c r="G189">
        <v>171</v>
      </c>
      <c r="H189">
        <v>274</v>
      </c>
      <c r="I189">
        <v>45122</v>
      </c>
      <c r="J189">
        <v>65431</v>
      </c>
      <c r="K189">
        <v>168</v>
      </c>
      <c r="L189" t="s">
        <v>27</v>
      </c>
      <c r="M189" t="s">
        <v>62</v>
      </c>
      <c r="N189">
        <f>(  Posts__2[[#This Row],[Likes]]+Posts__2[[#This Row],[Comments]]+Posts__2[[#This Row],[Shares]] ) / Posts__2[[#This Row],[Impressions]]</f>
        <v>9.8222596516111871E-2</v>
      </c>
    </row>
    <row r="190" spans="1:14" x14ac:dyDescent="0.3">
      <c r="A190" t="s">
        <v>248</v>
      </c>
      <c r="B190" t="s">
        <v>13</v>
      </c>
      <c r="C190" s="12">
        <v>45708</v>
      </c>
      <c r="D190" t="s">
        <v>46</v>
      </c>
      <c r="E190" t="s">
        <v>9</v>
      </c>
      <c r="F190">
        <v>4957</v>
      </c>
      <c r="G190">
        <v>262</v>
      </c>
      <c r="H190">
        <v>365</v>
      </c>
      <c r="I190">
        <v>49199</v>
      </c>
      <c r="J190">
        <v>40314</v>
      </c>
      <c r="K190">
        <v>216</v>
      </c>
      <c r="L190" t="s">
        <v>84</v>
      </c>
      <c r="M190" t="s">
        <v>85</v>
      </c>
      <c r="N190">
        <f>(  Posts__2[[#This Row],[Likes]]+Posts__2[[#This Row],[Comments]]+Posts__2[[#This Row],[Shares]] ) / Posts__2[[#This Row],[Impressions]]</f>
        <v>0.11349824183418362</v>
      </c>
    </row>
    <row r="191" spans="1:14" x14ac:dyDescent="0.3">
      <c r="A191" t="s">
        <v>249</v>
      </c>
      <c r="B191" t="s">
        <v>10</v>
      </c>
      <c r="C191" s="12">
        <v>45673</v>
      </c>
      <c r="D191" t="s">
        <v>45</v>
      </c>
      <c r="E191" t="s">
        <v>35</v>
      </c>
      <c r="F191">
        <v>2605</v>
      </c>
      <c r="G191">
        <v>282</v>
      </c>
      <c r="H191">
        <v>148</v>
      </c>
      <c r="I191">
        <v>32201</v>
      </c>
      <c r="J191">
        <v>49583</v>
      </c>
      <c r="K191">
        <v>241</v>
      </c>
      <c r="L191" t="s">
        <v>59</v>
      </c>
      <c r="M191" t="s">
        <v>60</v>
      </c>
      <c r="N191">
        <f>(  Posts__2[[#This Row],[Likes]]+Posts__2[[#This Row],[Comments]]+Posts__2[[#This Row],[Shares]] ) / Posts__2[[#This Row],[Impressions]]</f>
        <v>9.4251731312692155E-2</v>
      </c>
    </row>
    <row r="192" spans="1:14" x14ac:dyDescent="0.3">
      <c r="A192" t="s">
        <v>250</v>
      </c>
      <c r="B192" t="s">
        <v>13</v>
      </c>
      <c r="C192" s="12">
        <v>45346</v>
      </c>
      <c r="D192" t="s">
        <v>46</v>
      </c>
      <c r="E192" t="s">
        <v>19</v>
      </c>
      <c r="F192">
        <v>4221</v>
      </c>
      <c r="G192">
        <v>307</v>
      </c>
      <c r="H192">
        <v>58</v>
      </c>
      <c r="I192">
        <v>45080</v>
      </c>
      <c r="J192">
        <v>37214</v>
      </c>
      <c r="K192">
        <v>240</v>
      </c>
      <c r="L192" t="s">
        <v>84</v>
      </c>
      <c r="M192" t="s">
        <v>85</v>
      </c>
      <c r="N192">
        <f>(  Posts__2[[#This Row],[Likes]]+Posts__2[[#This Row],[Comments]]+Posts__2[[#This Row],[Shares]] ) / Posts__2[[#This Row],[Impressions]]</f>
        <v>0.10173025732031943</v>
      </c>
    </row>
    <row r="193" spans="1:14" x14ac:dyDescent="0.3">
      <c r="A193" t="s">
        <v>251</v>
      </c>
      <c r="B193" t="s">
        <v>7</v>
      </c>
      <c r="C193" s="12">
        <v>45551</v>
      </c>
      <c r="D193" t="s">
        <v>44</v>
      </c>
      <c r="E193" t="s">
        <v>23</v>
      </c>
      <c r="F193">
        <v>4422</v>
      </c>
      <c r="G193">
        <v>434</v>
      </c>
      <c r="H193">
        <v>156</v>
      </c>
      <c r="I193">
        <v>56165</v>
      </c>
      <c r="J193">
        <v>52431</v>
      </c>
      <c r="K193">
        <v>173</v>
      </c>
      <c r="L193" t="s">
        <v>70</v>
      </c>
      <c r="M193" t="s">
        <v>60</v>
      </c>
      <c r="N193">
        <f>(  Posts__2[[#This Row],[Likes]]+Posts__2[[#This Row],[Comments]]+Posts__2[[#This Row],[Shares]] ) / Posts__2[[#This Row],[Impressions]]</f>
        <v>8.9237069349238848E-2</v>
      </c>
    </row>
    <row r="194" spans="1:14" x14ac:dyDescent="0.3">
      <c r="A194" t="s">
        <v>252</v>
      </c>
      <c r="B194" t="s">
        <v>13</v>
      </c>
      <c r="C194" s="12">
        <v>45447</v>
      </c>
      <c r="D194" t="s">
        <v>46</v>
      </c>
      <c r="E194" t="s">
        <v>29</v>
      </c>
      <c r="F194">
        <v>1211</v>
      </c>
      <c r="G194">
        <v>431</v>
      </c>
      <c r="H194">
        <v>83</v>
      </c>
      <c r="I194">
        <v>26532</v>
      </c>
      <c r="J194">
        <v>47305</v>
      </c>
      <c r="K194">
        <v>232</v>
      </c>
      <c r="L194" t="s">
        <v>84</v>
      </c>
      <c r="M194" t="s">
        <v>85</v>
      </c>
      <c r="N194">
        <f>(  Posts__2[[#This Row],[Likes]]+Posts__2[[#This Row],[Comments]]+Posts__2[[#This Row],[Shares]] ) / Posts__2[[#This Row],[Impressions]]</f>
        <v>6.5015829941203071E-2</v>
      </c>
    </row>
    <row r="195" spans="1:14" x14ac:dyDescent="0.3">
      <c r="A195" t="s">
        <v>253</v>
      </c>
      <c r="B195" t="s">
        <v>7</v>
      </c>
      <c r="C195" s="12">
        <v>45422</v>
      </c>
      <c r="D195" t="s">
        <v>44</v>
      </c>
      <c r="E195" t="s">
        <v>15</v>
      </c>
      <c r="F195">
        <v>2784</v>
      </c>
      <c r="G195">
        <v>111</v>
      </c>
      <c r="H195">
        <v>399</v>
      </c>
      <c r="I195">
        <v>58366</v>
      </c>
      <c r="J195">
        <v>69512</v>
      </c>
      <c r="K195">
        <v>269</v>
      </c>
      <c r="L195" t="s">
        <v>64</v>
      </c>
      <c r="M195" t="s">
        <v>60</v>
      </c>
      <c r="N195">
        <f>(  Posts__2[[#This Row],[Likes]]+Posts__2[[#This Row],[Comments]]+Posts__2[[#This Row],[Shares]] ) / Posts__2[[#This Row],[Impressions]]</f>
        <v>5.6436966727204191E-2</v>
      </c>
    </row>
    <row r="196" spans="1:14" x14ac:dyDescent="0.3">
      <c r="A196" t="s">
        <v>254</v>
      </c>
      <c r="B196" t="s">
        <v>13</v>
      </c>
      <c r="C196" s="12">
        <v>45305</v>
      </c>
      <c r="D196" t="s">
        <v>45</v>
      </c>
      <c r="E196" t="s">
        <v>12</v>
      </c>
      <c r="F196">
        <v>3634</v>
      </c>
      <c r="G196">
        <v>280</v>
      </c>
      <c r="H196">
        <v>399</v>
      </c>
      <c r="I196">
        <v>40256</v>
      </c>
      <c r="J196">
        <v>52605</v>
      </c>
      <c r="K196">
        <v>213</v>
      </c>
      <c r="L196" t="s">
        <v>67</v>
      </c>
      <c r="M196" t="s">
        <v>62</v>
      </c>
      <c r="N196">
        <f>(  Posts__2[[#This Row],[Likes]]+Posts__2[[#This Row],[Comments]]+Posts__2[[#This Row],[Shares]] ) / Posts__2[[#This Row],[Impressions]]</f>
        <v>0.10713930842607314</v>
      </c>
    </row>
    <row r="197" spans="1:14" x14ac:dyDescent="0.3">
      <c r="A197" t="s">
        <v>255</v>
      </c>
      <c r="B197" t="s">
        <v>10</v>
      </c>
      <c r="C197" s="12">
        <v>45669</v>
      </c>
      <c r="D197" t="s">
        <v>45</v>
      </c>
      <c r="E197" t="s">
        <v>26</v>
      </c>
      <c r="F197">
        <v>1771</v>
      </c>
      <c r="G197">
        <v>487</v>
      </c>
      <c r="H197">
        <v>272</v>
      </c>
      <c r="I197">
        <v>48810</v>
      </c>
      <c r="J197">
        <v>48084</v>
      </c>
      <c r="K197">
        <v>272</v>
      </c>
      <c r="L197" t="s">
        <v>59</v>
      </c>
      <c r="M197" t="s">
        <v>60</v>
      </c>
      <c r="N197">
        <f>(  Posts__2[[#This Row],[Likes]]+Posts__2[[#This Row],[Comments]]+Posts__2[[#This Row],[Shares]] ) / Posts__2[[#This Row],[Impressions]]</f>
        <v>5.1833640647408315E-2</v>
      </c>
    </row>
    <row r="198" spans="1:14" x14ac:dyDescent="0.3">
      <c r="A198" t="s">
        <v>256</v>
      </c>
      <c r="B198" t="s">
        <v>13</v>
      </c>
      <c r="C198" s="12">
        <v>45634</v>
      </c>
      <c r="D198" t="s">
        <v>45</v>
      </c>
      <c r="E198" t="s">
        <v>32</v>
      </c>
      <c r="F198">
        <v>1424</v>
      </c>
      <c r="G198">
        <v>396</v>
      </c>
      <c r="H198">
        <v>312</v>
      </c>
      <c r="I198">
        <v>59517</v>
      </c>
      <c r="J198">
        <v>46102</v>
      </c>
      <c r="K198">
        <v>239</v>
      </c>
      <c r="L198" t="s">
        <v>67</v>
      </c>
      <c r="M198" t="s">
        <v>62</v>
      </c>
      <c r="N198">
        <f>(  Posts__2[[#This Row],[Likes]]+Posts__2[[#This Row],[Comments]]+Posts__2[[#This Row],[Shares]] ) / Posts__2[[#This Row],[Impressions]]</f>
        <v>3.5821698002251455E-2</v>
      </c>
    </row>
    <row r="199" spans="1:14" x14ac:dyDescent="0.3">
      <c r="A199" t="s">
        <v>257</v>
      </c>
      <c r="B199" t="s">
        <v>7</v>
      </c>
      <c r="C199" s="12">
        <v>45689</v>
      </c>
      <c r="D199" t="s">
        <v>44</v>
      </c>
      <c r="E199" t="s">
        <v>32</v>
      </c>
      <c r="F199">
        <v>1079</v>
      </c>
      <c r="G199">
        <v>265</v>
      </c>
      <c r="H199">
        <v>190</v>
      </c>
      <c r="I199">
        <v>43786</v>
      </c>
      <c r="J199">
        <v>72428</v>
      </c>
      <c r="K199">
        <v>222</v>
      </c>
      <c r="L199" t="s">
        <v>59</v>
      </c>
      <c r="M199" t="s">
        <v>60</v>
      </c>
      <c r="N199">
        <f>(  Posts__2[[#This Row],[Likes]]+Posts__2[[#This Row],[Comments]]+Posts__2[[#This Row],[Shares]] ) / Posts__2[[#This Row],[Impressions]]</f>
        <v>3.5034029141734799E-2</v>
      </c>
    </row>
    <row r="200" spans="1:14" x14ac:dyDescent="0.3">
      <c r="A200" t="s">
        <v>258</v>
      </c>
      <c r="B200" t="s">
        <v>7</v>
      </c>
      <c r="C200" s="12">
        <v>45484</v>
      </c>
      <c r="D200" t="s">
        <v>44</v>
      </c>
      <c r="E200" t="s">
        <v>9</v>
      </c>
      <c r="F200">
        <v>4247</v>
      </c>
      <c r="G200">
        <v>179</v>
      </c>
      <c r="H200">
        <v>175</v>
      </c>
      <c r="I200">
        <v>32991</v>
      </c>
      <c r="J200">
        <v>70120</v>
      </c>
      <c r="K200">
        <v>276</v>
      </c>
      <c r="L200" t="s">
        <v>59</v>
      </c>
      <c r="M200" t="s">
        <v>60</v>
      </c>
      <c r="N200">
        <f>(  Posts__2[[#This Row],[Likes]]+Posts__2[[#This Row],[Comments]]+Posts__2[[#This Row],[Shares]] ) / Posts__2[[#This Row],[Impressions]]</f>
        <v>0.13946227759085811</v>
      </c>
    </row>
    <row r="201" spans="1:14" x14ac:dyDescent="0.3">
      <c r="A201" t="s">
        <v>259</v>
      </c>
      <c r="B201" t="s">
        <v>7</v>
      </c>
      <c r="C201" s="12">
        <v>45369</v>
      </c>
      <c r="D201" t="s">
        <v>45</v>
      </c>
      <c r="E201" t="s">
        <v>12</v>
      </c>
      <c r="F201">
        <v>2033</v>
      </c>
      <c r="G201">
        <v>420</v>
      </c>
      <c r="H201">
        <v>94</v>
      </c>
      <c r="I201">
        <v>56290</v>
      </c>
      <c r="J201">
        <v>57391</v>
      </c>
      <c r="K201">
        <v>196</v>
      </c>
      <c r="L201" t="s">
        <v>33</v>
      </c>
      <c r="M201" t="s">
        <v>60</v>
      </c>
      <c r="N201">
        <f>(  Posts__2[[#This Row],[Likes]]+Posts__2[[#This Row],[Comments]]+Posts__2[[#This Row],[Shares]] ) / Posts__2[[#This Row],[Impressions]]</f>
        <v>4.5247823769763724E-2</v>
      </c>
    </row>
    <row r="202" spans="1:14" x14ac:dyDescent="0.3">
      <c r="A202" t="s">
        <v>260</v>
      </c>
      <c r="B202" t="s">
        <v>7</v>
      </c>
      <c r="C202" s="12">
        <v>45547</v>
      </c>
      <c r="D202" t="s">
        <v>44</v>
      </c>
      <c r="E202" t="s">
        <v>29</v>
      </c>
      <c r="F202">
        <v>1839</v>
      </c>
      <c r="G202">
        <v>223</v>
      </c>
      <c r="H202">
        <v>171</v>
      </c>
      <c r="I202">
        <v>35459</v>
      </c>
      <c r="J202">
        <v>69988</v>
      </c>
      <c r="K202">
        <v>114</v>
      </c>
      <c r="L202" t="s">
        <v>64</v>
      </c>
      <c r="M202" t="s">
        <v>60</v>
      </c>
      <c r="N202">
        <f>(  Posts__2[[#This Row],[Likes]]+Posts__2[[#This Row],[Comments]]+Posts__2[[#This Row],[Shares]] ) / Posts__2[[#This Row],[Impressions]]</f>
        <v>6.2974139146620034E-2</v>
      </c>
    </row>
    <row r="203" spans="1:14" x14ac:dyDescent="0.3">
      <c r="A203" t="s">
        <v>261</v>
      </c>
      <c r="B203" t="s">
        <v>7</v>
      </c>
      <c r="C203" s="12">
        <v>45302</v>
      </c>
      <c r="D203" t="s">
        <v>44</v>
      </c>
      <c r="E203" t="s">
        <v>29</v>
      </c>
      <c r="F203">
        <v>2340</v>
      </c>
      <c r="G203">
        <v>141</v>
      </c>
      <c r="H203">
        <v>206</v>
      </c>
      <c r="I203">
        <v>24916</v>
      </c>
      <c r="J203">
        <v>30582</v>
      </c>
      <c r="K203">
        <v>157</v>
      </c>
      <c r="L203" t="s">
        <v>59</v>
      </c>
      <c r="M203" t="s">
        <v>60</v>
      </c>
      <c r="N203">
        <f>(  Posts__2[[#This Row],[Likes]]+Posts__2[[#This Row],[Comments]]+Posts__2[[#This Row],[Shares]] ) / Posts__2[[#This Row],[Impressions]]</f>
        <v>0.10784235029699792</v>
      </c>
    </row>
    <row r="204" spans="1:14" x14ac:dyDescent="0.3">
      <c r="A204" t="s">
        <v>262</v>
      </c>
      <c r="B204" t="s">
        <v>10</v>
      </c>
      <c r="C204" s="12">
        <v>45571</v>
      </c>
      <c r="D204" t="s">
        <v>45</v>
      </c>
      <c r="E204" t="s">
        <v>32</v>
      </c>
      <c r="F204">
        <v>2080</v>
      </c>
      <c r="G204">
        <v>389</v>
      </c>
      <c r="H204">
        <v>92</v>
      </c>
      <c r="I204">
        <v>30971</v>
      </c>
      <c r="J204">
        <v>25347</v>
      </c>
      <c r="K204">
        <v>111</v>
      </c>
      <c r="L204" t="s">
        <v>27</v>
      </c>
      <c r="M204" t="s">
        <v>62</v>
      </c>
      <c r="N204">
        <f>(  Posts__2[[#This Row],[Likes]]+Posts__2[[#This Row],[Comments]]+Posts__2[[#This Row],[Shares]] ) / Posts__2[[#This Row],[Impressions]]</f>
        <v>8.2690258629040073E-2</v>
      </c>
    </row>
    <row r="205" spans="1:14" x14ac:dyDescent="0.3">
      <c r="A205" t="s">
        <v>263</v>
      </c>
      <c r="B205" t="s">
        <v>7</v>
      </c>
      <c r="C205" s="12">
        <v>45656</v>
      </c>
      <c r="D205" t="s">
        <v>45</v>
      </c>
      <c r="E205" t="s">
        <v>9</v>
      </c>
      <c r="F205">
        <v>4214</v>
      </c>
      <c r="G205">
        <v>286</v>
      </c>
      <c r="H205">
        <v>127</v>
      </c>
      <c r="I205">
        <v>47293</v>
      </c>
      <c r="J205">
        <v>27184</v>
      </c>
      <c r="K205">
        <v>232</v>
      </c>
      <c r="L205" t="s">
        <v>33</v>
      </c>
      <c r="M205" t="s">
        <v>60</v>
      </c>
      <c r="N205">
        <f>(  Posts__2[[#This Row],[Likes]]+Posts__2[[#This Row],[Comments]]+Posts__2[[#This Row],[Shares]] ) / Posts__2[[#This Row],[Impressions]]</f>
        <v>9.7836889180216949E-2</v>
      </c>
    </row>
    <row r="206" spans="1:14" x14ac:dyDescent="0.3">
      <c r="A206" t="s">
        <v>264</v>
      </c>
      <c r="B206" t="s">
        <v>7</v>
      </c>
      <c r="C206" s="12">
        <v>45763</v>
      </c>
      <c r="D206" t="s">
        <v>45</v>
      </c>
      <c r="E206" t="s">
        <v>29</v>
      </c>
      <c r="F206">
        <v>3792</v>
      </c>
      <c r="G206">
        <v>315</v>
      </c>
      <c r="H206">
        <v>120</v>
      </c>
      <c r="I206">
        <v>54592</v>
      </c>
      <c r="J206">
        <v>67886</v>
      </c>
      <c r="K206">
        <v>117</v>
      </c>
      <c r="L206" t="s">
        <v>30</v>
      </c>
      <c r="M206" t="s">
        <v>62</v>
      </c>
      <c r="N206">
        <f>(  Posts__2[[#This Row],[Likes]]+Posts__2[[#This Row],[Comments]]+Posts__2[[#This Row],[Shares]] ) / Posts__2[[#This Row],[Impressions]]</f>
        <v>7.7428927315357568E-2</v>
      </c>
    </row>
    <row r="207" spans="1:14" x14ac:dyDescent="0.3">
      <c r="A207" t="s">
        <v>265</v>
      </c>
      <c r="B207" t="s">
        <v>7</v>
      </c>
      <c r="C207" s="12">
        <v>45525</v>
      </c>
      <c r="D207" t="s">
        <v>44</v>
      </c>
      <c r="E207" t="s">
        <v>15</v>
      </c>
      <c r="F207">
        <v>3989</v>
      </c>
      <c r="G207">
        <v>476</v>
      </c>
      <c r="H207">
        <v>128</v>
      </c>
      <c r="I207">
        <v>57569</v>
      </c>
      <c r="J207">
        <v>40193</v>
      </c>
      <c r="K207">
        <v>222</v>
      </c>
      <c r="L207" t="s">
        <v>70</v>
      </c>
      <c r="M207" t="s">
        <v>60</v>
      </c>
      <c r="N207">
        <f>(  Posts__2[[#This Row],[Likes]]+Posts__2[[#This Row],[Comments]]+Posts__2[[#This Row],[Shares]] ) / Posts__2[[#This Row],[Impressions]]</f>
        <v>7.9782521843353188E-2</v>
      </c>
    </row>
    <row r="208" spans="1:14" x14ac:dyDescent="0.3">
      <c r="A208" t="s">
        <v>266</v>
      </c>
      <c r="B208" t="s">
        <v>7</v>
      </c>
      <c r="C208" s="12">
        <v>45387</v>
      </c>
      <c r="D208" t="s">
        <v>44</v>
      </c>
      <c r="E208" t="s">
        <v>29</v>
      </c>
      <c r="F208">
        <v>2857</v>
      </c>
      <c r="G208">
        <v>443</v>
      </c>
      <c r="H208">
        <v>359</v>
      </c>
      <c r="I208">
        <v>51519</v>
      </c>
      <c r="J208">
        <v>28256</v>
      </c>
      <c r="K208">
        <v>155</v>
      </c>
      <c r="L208" t="s">
        <v>59</v>
      </c>
      <c r="M208" t="s">
        <v>60</v>
      </c>
      <c r="N208">
        <f>(  Posts__2[[#This Row],[Likes]]+Posts__2[[#This Row],[Comments]]+Posts__2[[#This Row],[Shares]] ) / Posts__2[[#This Row],[Impressions]]</f>
        <v>7.1022341272152026E-2</v>
      </c>
    </row>
    <row r="209" spans="1:14" x14ac:dyDescent="0.3">
      <c r="A209" t="s">
        <v>267</v>
      </c>
      <c r="B209" t="s">
        <v>7</v>
      </c>
      <c r="C209" s="12">
        <v>45754</v>
      </c>
      <c r="D209" t="s">
        <v>45</v>
      </c>
      <c r="E209" t="s">
        <v>26</v>
      </c>
      <c r="F209">
        <v>1403</v>
      </c>
      <c r="G209">
        <v>385</v>
      </c>
      <c r="H209">
        <v>344</v>
      </c>
      <c r="I209">
        <v>54223</v>
      </c>
      <c r="J209">
        <v>72595</v>
      </c>
      <c r="K209">
        <v>239</v>
      </c>
      <c r="L209" t="s">
        <v>30</v>
      </c>
      <c r="M209" t="s">
        <v>62</v>
      </c>
      <c r="N209">
        <f>(  Posts__2[[#This Row],[Likes]]+Posts__2[[#This Row],[Comments]]+Posts__2[[#This Row],[Shares]] ) / Posts__2[[#This Row],[Impressions]]</f>
        <v>3.9319108127547353E-2</v>
      </c>
    </row>
    <row r="210" spans="1:14" x14ac:dyDescent="0.3">
      <c r="A210" t="s">
        <v>268</v>
      </c>
      <c r="B210" t="s">
        <v>7</v>
      </c>
      <c r="C210" s="12">
        <v>45492</v>
      </c>
      <c r="D210" t="s">
        <v>44</v>
      </c>
      <c r="E210" t="s">
        <v>23</v>
      </c>
      <c r="F210">
        <v>3071</v>
      </c>
      <c r="G210">
        <v>126</v>
      </c>
      <c r="H210">
        <v>200</v>
      </c>
      <c r="I210">
        <v>44013</v>
      </c>
      <c r="J210">
        <v>44679</v>
      </c>
      <c r="K210">
        <v>118</v>
      </c>
      <c r="L210" t="s">
        <v>70</v>
      </c>
      <c r="M210" t="s">
        <v>60</v>
      </c>
      <c r="N210">
        <f>(  Posts__2[[#This Row],[Likes]]+Posts__2[[#This Row],[Comments]]+Posts__2[[#This Row],[Shares]] ) / Posts__2[[#This Row],[Impressions]]</f>
        <v>7.7181741758116915E-2</v>
      </c>
    </row>
    <row r="211" spans="1:14" x14ac:dyDescent="0.3">
      <c r="A211" t="s">
        <v>269</v>
      </c>
      <c r="B211" t="s">
        <v>7</v>
      </c>
      <c r="C211" s="12">
        <v>45780</v>
      </c>
      <c r="D211" t="s">
        <v>44</v>
      </c>
      <c r="E211" t="s">
        <v>32</v>
      </c>
      <c r="F211">
        <v>1010</v>
      </c>
      <c r="G211">
        <v>361</v>
      </c>
      <c r="H211">
        <v>240</v>
      </c>
      <c r="I211">
        <v>47229</v>
      </c>
      <c r="J211">
        <v>72573</v>
      </c>
      <c r="K211">
        <v>275</v>
      </c>
      <c r="L211" t="s">
        <v>59</v>
      </c>
      <c r="M211" t="s">
        <v>60</v>
      </c>
      <c r="N211">
        <f>(  Posts__2[[#This Row],[Likes]]+Posts__2[[#This Row],[Comments]]+Posts__2[[#This Row],[Shares]] ) / Posts__2[[#This Row],[Impressions]]</f>
        <v>3.4110398272247981E-2</v>
      </c>
    </row>
    <row r="212" spans="1:14" x14ac:dyDescent="0.3">
      <c r="A212" t="s">
        <v>270</v>
      </c>
      <c r="B212" t="s">
        <v>7</v>
      </c>
      <c r="C212" s="12">
        <v>45396</v>
      </c>
      <c r="D212" t="s">
        <v>44</v>
      </c>
      <c r="E212" t="s">
        <v>19</v>
      </c>
      <c r="F212">
        <v>1295</v>
      </c>
      <c r="G212">
        <v>153</v>
      </c>
      <c r="H212">
        <v>81</v>
      </c>
      <c r="I212">
        <v>48350</v>
      </c>
      <c r="J212">
        <v>61033</v>
      </c>
      <c r="K212">
        <v>232</v>
      </c>
      <c r="L212" t="s">
        <v>70</v>
      </c>
      <c r="M212" t="s">
        <v>60</v>
      </c>
      <c r="N212">
        <f>(  Posts__2[[#This Row],[Likes]]+Posts__2[[#This Row],[Comments]]+Posts__2[[#This Row],[Shares]] ) / Posts__2[[#This Row],[Impressions]]</f>
        <v>3.1623578076525334E-2</v>
      </c>
    </row>
    <row r="213" spans="1:14" x14ac:dyDescent="0.3">
      <c r="A213" t="s">
        <v>271</v>
      </c>
      <c r="B213" t="s">
        <v>7</v>
      </c>
      <c r="C213" s="12">
        <v>45827</v>
      </c>
      <c r="D213" t="s">
        <v>44</v>
      </c>
      <c r="E213" t="s">
        <v>23</v>
      </c>
      <c r="F213">
        <v>1433</v>
      </c>
      <c r="G213">
        <v>452</v>
      </c>
      <c r="H213">
        <v>305</v>
      </c>
      <c r="I213">
        <v>54541</v>
      </c>
      <c r="J213">
        <v>63700</v>
      </c>
      <c r="K213">
        <v>296</v>
      </c>
      <c r="L213" t="s">
        <v>70</v>
      </c>
      <c r="M213" t="s">
        <v>60</v>
      </c>
      <c r="N213">
        <f>(  Posts__2[[#This Row],[Likes]]+Posts__2[[#This Row],[Comments]]+Posts__2[[#This Row],[Shares]] ) / Posts__2[[#This Row],[Impressions]]</f>
        <v>4.0153279184466734E-2</v>
      </c>
    </row>
    <row r="214" spans="1:14" x14ac:dyDescent="0.3">
      <c r="A214" t="s">
        <v>272</v>
      </c>
      <c r="B214" t="s">
        <v>10</v>
      </c>
      <c r="C214" s="12">
        <v>45832</v>
      </c>
      <c r="D214" t="s">
        <v>44</v>
      </c>
      <c r="E214" t="s">
        <v>9</v>
      </c>
      <c r="F214">
        <v>4902</v>
      </c>
      <c r="G214">
        <v>422</v>
      </c>
      <c r="H214">
        <v>376</v>
      </c>
      <c r="I214">
        <v>31674</v>
      </c>
      <c r="J214">
        <v>53225</v>
      </c>
      <c r="K214">
        <v>147</v>
      </c>
      <c r="L214" t="s">
        <v>33</v>
      </c>
      <c r="M214" t="s">
        <v>82</v>
      </c>
      <c r="N214">
        <f>(  Posts__2[[#This Row],[Likes]]+Posts__2[[#This Row],[Comments]]+Posts__2[[#This Row],[Shares]] ) / Posts__2[[#This Row],[Impressions]]</f>
        <v>0.17995832544042431</v>
      </c>
    </row>
    <row r="215" spans="1:14" x14ac:dyDescent="0.3">
      <c r="A215" t="s">
        <v>273</v>
      </c>
      <c r="B215" t="s">
        <v>7</v>
      </c>
      <c r="C215" s="12">
        <v>45574</v>
      </c>
      <c r="D215" t="s">
        <v>45</v>
      </c>
      <c r="E215" t="s">
        <v>29</v>
      </c>
      <c r="F215">
        <v>2659</v>
      </c>
      <c r="G215">
        <v>167</v>
      </c>
      <c r="H215">
        <v>73</v>
      </c>
      <c r="I215">
        <v>23090</v>
      </c>
      <c r="J215">
        <v>25872</v>
      </c>
      <c r="K215">
        <v>293</v>
      </c>
      <c r="L215" t="s">
        <v>30</v>
      </c>
      <c r="M215" t="s">
        <v>62</v>
      </c>
      <c r="N215">
        <f>(  Posts__2[[#This Row],[Likes]]+Posts__2[[#This Row],[Comments]]+Posts__2[[#This Row],[Shares]] ) / Posts__2[[#This Row],[Impressions]]</f>
        <v>0.12555218709398008</v>
      </c>
    </row>
    <row r="216" spans="1:14" x14ac:dyDescent="0.3">
      <c r="A216" t="s">
        <v>274</v>
      </c>
      <c r="B216" t="s">
        <v>13</v>
      </c>
      <c r="C216" s="12">
        <v>45672</v>
      </c>
      <c r="D216" t="s">
        <v>45</v>
      </c>
      <c r="E216" t="s">
        <v>78</v>
      </c>
      <c r="F216">
        <v>2599</v>
      </c>
      <c r="G216">
        <v>324</v>
      </c>
      <c r="H216">
        <v>182</v>
      </c>
      <c r="I216">
        <v>37525</v>
      </c>
      <c r="J216">
        <v>37216</v>
      </c>
      <c r="K216">
        <v>186</v>
      </c>
      <c r="L216" t="s">
        <v>67</v>
      </c>
      <c r="M216" t="s">
        <v>62</v>
      </c>
      <c r="N216">
        <f>(  Posts__2[[#This Row],[Likes]]+Posts__2[[#This Row],[Comments]]+Posts__2[[#This Row],[Shares]] ) / Posts__2[[#This Row],[Impressions]]</f>
        <v>8.2744836775483013E-2</v>
      </c>
    </row>
    <row r="217" spans="1:14" x14ac:dyDescent="0.3">
      <c r="A217" t="s">
        <v>275</v>
      </c>
      <c r="B217" t="s">
        <v>7</v>
      </c>
      <c r="C217" s="12">
        <v>45669</v>
      </c>
      <c r="D217" t="s">
        <v>45</v>
      </c>
      <c r="E217" t="s">
        <v>35</v>
      </c>
      <c r="F217">
        <v>1765</v>
      </c>
      <c r="G217">
        <v>285</v>
      </c>
      <c r="H217">
        <v>100</v>
      </c>
      <c r="I217">
        <v>41313</v>
      </c>
      <c r="J217">
        <v>56575</v>
      </c>
      <c r="K217">
        <v>174</v>
      </c>
      <c r="L217" t="s">
        <v>30</v>
      </c>
      <c r="M217" t="s">
        <v>62</v>
      </c>
      <c r="N217">
        <f>(  Posts__2[[#This Row],[Likes]]+Posts__2[[#This Row],[Comments]]+Posts__2[[#This Row],[Shares]] ) / Posts__2[[#This Row],[Impressions]]</f>
        <v>5.2041730205988429E-2</v>
      </c>
    </row>
    <row r="218" spans="1:14" x14ac:dyDescent="0.3">
      <c r="A218" t="s">
        <v>276</v>
      </c>
      <c r="B218" t="s">
        <v>10</v>
      </c>
      <c r="C218" s="12">
        <v>45808</v>
      </c>
      <c r="D218" t="s">
        <v>45</v>
      </c>
      <c r="E218" t="s">
        <v>23</v>
      </c>
      <c r="F218">
        <v>2169</v>
      </c>
      <c r="G218">
        <v>240</v>
      </c>
      <c r="H218">
        <v>57</v>
      </c>
      <c r="I218">
        <v>26109</v>
      </c>
      <c r="J218">
        <v>46667</v>
      </c>
      <c r="K218">
        <v>133</v>
      </c>
      <c r="L218" t="s">
        <v>59</v>
      </c>
      <c r="M218" t="s">
        <v>60</v>
      </c>
      <c r="N218">
        <f>(  Posts__2[[#This Row],[Likes]]+Posts__2[[#This Row],[Comments]]+Posts__2[[#This Row],[Shares]] ) / Posts__2[[#This Row],[Impressions]]</f>
        <v>9.4450189589796618E-2</v>
      </c>
    </row>
    <row r="219" spans="1:14" x14ac:dyDescent="0.3">
      <c r="A219" t="s">
        <v>277</v>
      </c>
      <c r="B219" t="s">
        <v>7</v>
      </c>
      <c r="C219" s="12">
        <v>45579</v>
      </c>
      <c r="D219" t="s">
        <v>44</v>
      </c>
      <c r="E219" t="s">
        <v>15</v>
      </c>
      <c r="F219">
        <v>4303</v>
      </c>
      <c r="G219">
        <v>306</v>
      </c>
      <c r="H219">
        <v>302</v>
      </c>
      <c r="I219">
        <v>39575</v>
      </c>
      <c r="J219">
        <v>33762</v>
      </c>
      <c r="K219">
        <v>265</v>
      </c>
      <c r="L219" t="s">
        <v>70</v>
      </c>
      <c r="M219" t="s">
        <v>60</v>
      </c>
      <c r="N219">
        <f>(  Posts__2[[#This Row],[Likes]]+Posts__2[[#This Row],[Comments]]+Posts__2[[#This Row],[Shares]] ) / Posts__2[[#This Row],[Impressions]]</f>
        <v>0.12409349336702463</v>
      </c>
    </row>
    <row r="220" spans="1:14" x14ac:dyDescent="0.3">
      <c r="A220" t="s">
        <v>278</v>
      </c>
      <c r="B220" t="s">
        <v>7</v>
      </c>
      <c r="C220" s="12">
        <v>45332</v>
      </c>
      <c r="D220" t="s">
        <v>45</v>
      </c>
      <c r="E220" t="s">
        <v>26</v>
      </c>
      <c r="F220">
        <v>1519</v>
      </c>
      <c r="G220">
        <v>456</v>
      </c>
      <c r="H220">
        <v>379</v>
      </c>
      <c r="I220">
        <v>51611</v>
      </c>
      <c r="J220">
        <v>45880</v>
      </c>
      <c r="K220">
        <v>176</v>
      </c>
      <c r="L220" t="s">
        <v>30</v>
      </c>
      <c r="M220" t="s">
        <v>62</v>
      </c>
      <c r="N220">
        <f>(  Posts__2[[#This Row],[Likes]]+Posts__2[[#This Row],[Comments]]+Posts__2[[#This Row],[Shares]] ) / Posts__2[[#This Row],[Impressions]]</f>
        <v>4.5610431884675749E-2</v>
      </c>
    </row>
    <row r="221" spans="1:14" x14ac:dyDescent="0.3">
      <c r="A221" t="s">
        <v>279</v>
      </c>
      <c r="B221" t="s">
        <v>13</v>
      </c>
      <c r="C221" s="12">
        <v>45636</v>
      </c>
      <c r="D221" t="s">
        <v>45</v>
      </c>
      <c r="E221" t="s">
        <v>23</v>
      </c>
      <c r="F221">
        <v>2569</v>
      </c>
      <c r="G221">
        <v>140</v>
      </c>
      <c r="H221">
        <v>375</v>
      </c>
      <c r="I221">
        <v>38372</v>
      </c>
      <c r="J221">
        <v>22102</v>
      </c>
      <c r="K221">
        <v>255</v>
      </c>
      <c r="L221" t="s">
        <v>67</v>
      </c>
      <c r="M221" t="s">
        <v>62</v>
      </c>
      <c r="N221">
        <f>(  Posts__2[[#This Row],[Likes]]+Posts__2[[#This Row],[Comments]]+Posts__2[[#This Row],[Shares]] ) / Posts__2[[#This Row],[Impressions]]</f>
        <v>8.0371103929948923E-2</v>
      </c>
    </row>
    <row r="222" spans="1:14" x14ac:dyDescent="0.3">
      <c r="A222" t="s">
        <v>280</v>
      </c>
      <c r="B222" t="s">
        <v>7</v>
      </c>
      <c r="C222" s="12">
        <v>45786</v>
      </c>
      <c r="D222" t="s">
        <v>44</v>
      </c>
      <c r="E222" t="s">
        <v>35</v>
      </c>
      <c r="F222">
        <v>2778</v>
      </c>
      <c r="G222">
        <v>241</v>
      </c>
      <c r="H222">
        <v>317</v>
      </c>
      <c r="I222">
        <v>26247</v>
      </c>
      <c r="J222">
        <v>20677</v>
      </c>
      <c r="K222">
        <v>282</v>
      </c>
      <c r="L222" t="s">
        <v>64</v>
      </c>
      <c r="M222" t="s">
        <v>60</v>
      </c>
      <c r="N222">
        <f>(  Posts__2[[#This Row],[Likes]]+Posts__2[[#This Row],[Comments]]+Posts__2[[#This Row],[Shares]] ) / Posts__2[[#This Row],[Impressions]]</f>
        <v>0.1271002400274317</v>
      </c>
    </row>
    <row r="223" spans="1:14" x14ac:dyDescent="0.3">
      <c r="A223" t="s">
        <v>281</v>
      </c>
      <c r="B223" t="s">
        <v>7</v>
      </c>
      <c r="C223" s="12">
        <v>45829</v>
      </c>
      <c r="D223" t="s">
        <v>45</v>
      </c>
      <c r="E223" t="s">
        <v>15</v>
      </c>
      <c r="F223">
        <v>3611</v>
      </c>
      <c r="G223">
        <v>127</v>
      </c>
      <c r="H223">
        <v>139</v>
      </c>
      <c r="I223">
        <v>44768</v>
      </c>
      <c r="J223">
        <v>29435</v>
      </c>
      <c r="K223">
        <v>178</v>
      </c>
      <c r="L223" t="s">
        <v>33</v>
      </c>
      <c r="M223" t="s">
        <v>60</v>
      </c>
      <c r="N223">
        <f>(  Posts__2[[#This Row],[Likes]]+Posts__2[[#This Row],[Comments]]+Posts__2[[#This Row],[Shares]] ) / Posts__2[[#This Row],[Impressions]]</f>
        <v>8.6602037169406718E-2</v>
      </c>
    </row>
    <row r="224" spans="1:14" x14ac:dyDescent="0.3">
      <c r="A224" t="s">
        <v>282</v>
      </c>
      <c r="B224" t="s">
        <v>7</v>
      </c>
      <c r="C224" s="12">
        <v>45462</v>
      </c>
      <c r="D224" t="s">
        <v>45</v>
      </c>
      <c r="E224" t="s">
        <v>23</v>
      </c>
      <c r="F224">
        <v>1224</v>
      </c>
      <c r="G224">
        <v>168</v>
      </c>
      <c r="H224">
        <v>199</v>
      </c>
      <c r="I224">
        <v>54232</v>
      </c>
      <c r="J224">
        <v>52844</v>
      </c>
      <c r="K224">
        <v>271</v>
      </c>
      <c r="L224" t="s">
        <v>30</v>
      </c>
      <c r="M224" t="s">
        <v>62</v>
      </c>
      <c r="N224">
        <f>(  Posts__2[[#This Row],[Likes]]+Posts__2[[#This Row],[Comments]]+Posts__2[[#This Row],[Shares]] ) / Posts__2[[#This Row],[Impressions]]</f>
        <v>2.9336922849977874E-2</v>
      </c>
    </row>
    <row r="225" spans="1:14" x14ac:dyDescent="0.3">
      <c r="A225" t="s">
        <v>283</v>
      </c>
      <c r="B225" t="s">
        <v>7</v>
      </c>
      <c r="C225" s="12">
        <v>45636</v>
      </c>
      <c r="D225" t="s">
        <v>45</v>
      </c>
      <c r="E225" t="s">
        <v>26</v>
      </c>
      <c r="F225">
        <v>4673</v>
      </c>
      <c r="G225">
        <v>270</v>
      </c>
      <c r="H225">
        <v>93</v>
      </c>
      <c r="I225">
        <v>45260</v>
      </c>
      <c r="J225">
        <v>57513</v>
      </c>
      <c r="K225">
        <v>103</v>
      </c>
      <c r="L225" t="s">
        <v>33</v>
      </c>
      <c r="M225" t="s">
        <v>60</v>
      </c>
      <c r="N225">
        <f>(  Posts__2[[#This Row],[Likes]]+Posts__2[[#This Row],[Comments]]+Posts__2[[#This Row],[Shares]] ) / Posts__2[[#This Row],[Impressions]]</f>
        <v>0.11126822801590809</v>
      </c>
    </row>
    <row r="226" spans="1:14" x14ac:dyDescent="0.3">
      <c r="A226" t="s">
        <v>284</v>
      </c>
      <c r="B226" t="s">
        <v>13</v>
      </c>
      <c r="C226" s="12">
        <v>45323</v>
      </c>
      <c r="D226" t="s">
        <v>45</v>
      </c>
      <c r="E226" t="s">
        <v>29</v>
      </c>
      <c r="F226">
        <v>1432</v>
      </c>
      <c r="G226">
        <v>437</v>
      </c>
      <c r="H226">
        <v>267</v>
      </c>
      <c r="I226">
        <v>40634</v>
      </c>
      <c r="J226">
        <v>54511</v>
      </c>
      <c r="K226">
        <v>197</v>
      </c>
      <c r="L226" t="s">
        <v>67</v>
      </c>
      <c r="M226" t="s">
        <v>62</v>
      </c>
      <c r="N226">
        <f>(  Posts__2[[#This Row],[Likes]]+Posts__2[[#This Row],[Comments]]+Posts__2[[#This Row],[Shares]] ) / Posts__2[[#This Row],[Impressions]]</f>
        <v>5.2566815966924252E-2</v>
      </c>
    </row>
    <row r="227" spans="1:14" x14ac:dyDescent="0.3">
      <c r="A227" t="s">
        <v>285</v>
      </c>
      <c r="B227" t="s">
        <v>7</v>
      </c>
      <c r="C227" s="12">
        <v>45308</v>
      </c>
      <c r="D227" t="s">
        <v>44</v>
      </c>
      <c r="E227" t="s">
        <v>12</v>
      </c>
      <c r="F227">
        <v>2174</v>
      </c>
      <c r="G227">
        <v>499</v>
      </c>
      <c r="H227">
        <v>212</v>
      </c>
      <c r="I227">
        <v>54938</v>
      </c>
      <c r="J227">
        <v>27190</v>
      </c>
      <c r="K227">
        <v>265</v>
      </c>
      <c r="L227" t="s">
        <v>64</v>
      </c>
      <c r="M227" t="s">
        <v>60</v>
      </c>
      <c r="N227">
        <f>(  Posts__2[[#This Row],[Likes]]+Posts__2[[#This Row],[Comments]]+Posts__2[[#This Row],[Shares]] ) / Posts__2[[#This Row],[Impressions]]</f>
        <v>5.2513742764570971E-2</v>
      </c>
    </row>
    <row r="228" spans="1:14" x14ac:dyDescent="0.3">
      <c r="A228" t="s">
        <v>286</v>
      </c>
      <c r="B228" t="s">
        <v>13</v>
      </c>
      <c r="C228" s="12">
        <v>45738</v>
      </c>
      <c r="D228" t="s">
        <v>45</v>
      </c>
      <c r="E228" t="s">
        <v>35</v>
      </c>
      <c r="F228">
        <v>4308</v>
      </c>
      <c r="G228">
        <v>171</v>
      </c>
      <c r="H228">
        <v>106</v>
      </c>
      <c r="I228">
        <v>36955</v>
      </c>
      <c r="J228">
        <v>23949</v>
      </c>
      <c r="K228">
        <v>294</v>
      </c>
      <c r="L228" t="s">
        <v>67</v>
      </c>
      <c r="M228" t="s">
        <v>62</v>
      </c>
      <c r="N228">
        <f>(  Posts__2[[#This Row],[Likes]]+Posts__2[[#This Row],[Comments]]+Posts__2[[#This Row],[Shares]] ) / Posts__2[[#This Row],[Impressions]]</f>
        <v>0.12406981463942633</v>
      </c>
    </row>
    <row r="229" spans="1:14" x14ac:dyDescent="0.3">
      <c r="A229" t="s">
        <v>287</v>
      </c>
      <c r="B229" t="s">
        <v>13</v>
      </c>
      <c r="C229" s="12">
        <v>45442</v>
      </c>
      <c r="D229" t="s">
        <v>46</v>
      </c>
      <c r="E229" t="s">
        <v>23</v>
      </c>
      <c r="F229">
        <v>1060</v>
      </c>
      <c r="G229">
        <v>442</v>
      </c>
      <c r="H229">
        <v>319</v>
      </c>
      <c r="I229">
        <v>57194</v>
      </c>
      <c r="J229">
        <v>24258</v>
      </c>
      <c r="K229">
        <v>101</v>
      </c>
      <c r="L229" t="s">
        <v>84</v>
      </c>
      <c r="M229" t="s">
        <v>85</v>
      </c>
      <c r="N229">
        <f>(  Posts__2[[#This Row],[Likes]]+Posts__2[[#This Row],[Comments]]+Posts__2[[#This Row],[Shares]] ) / Posts__2[[#This Row],[Impressions]]</f>
        <v>3.1839004091338254E-2</v>
      </c>
    </row>
    <row r="230" spans="1:14" x14ac:dyDescent="0.3">
      <c r="A230" t="s">
        <v>288</v>
      </c>
      <c r="B230" t="s">
        <v>13</v>
      </c>
      <c r="C230" s="12">
        <v>45346</v>
      </c>
      <c r="D230" t="s">
        <v>45</v>
      </c>
      <c r="E230" t="s">
        <v>35</v>
      </c>
      <c r="F230">
        <v>4653</v>
      </c>
      <c r="G230">
        <v>226</v>
      </c>
      <c r="H230">
        <v>349</v>
      </c>
      <c r="I230">
        <v>56876</v>
      </c>
      <c r="J230">
        <v>28452</v>
      </c>
      <c r="K230">
        <v>257</v>
      </c>
      <c r="L230" t="s">
        <v>67</v>
      </c>
      <c r="M230" t="s">
        <v>62</v>
      </c>
      <c r="N230">
        <f>(  Posts__2[[#This Row],[Likes]]+Posts__2[[#This Row],[Comments]]+Posts__2[[#This Row],[Shares]] ) / Posts__2[[#This Row],[Impressions]]</f>
        <v>9.191926295801392E-2</v>
      </c>
    </row>
    <row r="231" spans="1:14" x14ac:dyDescent="0.3">
      <c r="A231" t="s">
        <v>289</v>
      </c>
      <c r="B231" t="s">
        <v>13</v>
      </c>
      <c r="C231" s="12">
        <v>45791</v>
      </c>
      <c r="D231" t="s">
        <v>45</v>
      </c>
      <c r="E231" t="s">
        <v>19</v>
      </c>
      <c r="F231">
        <v>1701</v>
      </c>
      <c r="G231">
        <v>272</v>
      </c>
      <c r="H231">
        <v>385</v>
      </c>
      <c r="I231">
        <v>47496</v>
      </c>
      <c r="J231">
        <v>40832</v>
      </c>
      <c r="K231">
        <v>246</v>
      </c>
      <c r="L231" t="s">
        <v>67</v>
      </c>
      <c r="M231" t="s">
        <v>62</v>
      </c>
      <c r="N231">
        <f>(  Posts__2[[#This Row],[Likes]]+Posts__2[[#This Row],[Comments]]+Posts__2[[#This Row],[Shares]] ) / Posts__2[[#This Row],[Impressions]]</f>
        <v>4.9646286003031836E-2</v>
      </c>
    </row>
    <row r="232" spans="1:14" x14ac:dyDescent="0.3">
      <c r="A232" t="s">
        <v>290</v>
      </c>
      <c r="B232" t="s">
        <v>10</v>
      </c>
      <c r="C232" s="12">
        <v>45379</v>
      </c>
      <c r="D232" t="s">
        <v>45</v>
      </c>
      <c r="E232" t="s">
        <v>23</v>
      </c>
      <c r="F232">
        <v>1673</v>
      </c>
      <c r="G232">
        <v>280</v>
      </c>
      <c r="H232">
        <v>67</v>
      </c>
      <c r="I232">
        <v>29847</v>
      </c>
      <c r="J232">
        <v>48016</v>
      </c>
      <c r="K232">
        <v>213</v>
      </c>
      <c r="L232" t="s">
        <v>59</v>
      </c>
      <c r="M232" t="s">
        <v>60</v>
      </c>
      <c r="N232">
        <f>(  Posts__2[[#This Row],[Likes]]+Posts__2[[#This Row],[Comments]]+Posts__2[[#This Row],[Shares]] ) / Posts__2[[#This Row],[Impressions]]</f>
        <v>6.76784936509532E-2</v>
      </c>
    </row>
    <row r="233" spans="1:14" x14ac:dyDescent="0.3">
      <c r="A233" t="s">
        <v>291</v>
      </c>
      <c r="B233" t="s">
        <v>13</v>
      </c>
      <c r="C233" s="12">
        <v>45723</v>
      </c>
      <c r="D233" t="s">
        <v>45</v>
      </c>
      <c r="E233" t="s">
        <v>32</v>
      </c>
      <c r="F233">
        <v>4310</v>
      </c>
      <c r="G233">
        <v>284</v>
      </c>
      <c r="H233">
        <v>306</v>
      </c>
      <c r="I233">
        <v>44606</v>
      </c>
      <c r="J233">
        <v>42604</v>
      </c>
      <c r="K233">
        <v>290</v>
      </c>
      <c r="L233" t="s">
        <v>67</v>
      </c>
      <c r="M233" t="s">
        <v>62</v>
      </c>
      <c r="N233">
        <f>(  Posts__2[[#This Row],[Likes]]+Posts__2[[#This Row],[Comments]]+Posts__2[[#This Row],[Shares]] ) / Posts__2[[#This Row],[Impressions]]</f>
        <v>0.10985069273191947</v>
      </c>
    </row>
    <row r="234" spans="1:14" x14ac:dyDescent="0.3">
      <c r="A234" t="s">
        <v>292</v>
      </c>
      <c r="B234" t="s">
        <v>7</v>
      </c>
      <c r="C234" s="12">
        <v>45585</v>
      </c>
      <c r="D234" t="s">
        <v>45</v>
      </c>
      <c r="E234" t="s">
        <v>26</v>
      </c>
      <c r="F234">
        <v>2752</v>
      </c>
      <c r="G234">
        <v>309</v>
      </c>
      <c r="H234">
        <v>91</v>
      </c>
      <c r="I234">
        <v>39038</v>
      </c>
      <c r="J234">
        <v>28095</v>
      </c>
      <c r="K234">
        <v>277</v>
      </c>
      <c r="L234" t="s">
        <v>33</v>
      </c>
      <c r="M234" t="s">
        <v>60</v>
      </c>
      <c r="N234">
        <f>(  Posts__2[[#This Row],[Likes]]+Posts__2[[#This Row],[Comments]]+Posts__2[[#This Row],[Shares]] ) / Posts__2[[#This Row],[Impressions]]</f>
        <v>8.0741841282852611E-2</v>
      </c>
    </row>
    <row r="235" spans="1:14" x14ac:dyDescent="0.3">
      <c r="A235" t="s">
        <v>293</v>
      </c>
      <c r="B235" t="s">
        <v>7</v>
      </c>
      <c r="C235" s="12">
        <v>45324</v>
      </c>
      <c r="D235" t="s">
        <v>45</v>
      </c>
      <c r="E235" t="s">
        <v>26</v>
      </c>
      <c r="F235">
        <v>3818</v>
      </c>
      <c r="G235">
        <v>115</v>
      </c>
      <c r="H235">
        <v>286</v>
      </c>
      <c r="I235">
        <v>25127</v>
      </c>
      <c r="J235">
        <v>22277</v>
      </c>
      <c r="K235">
        <v>263</v>
      </c>
      <c r="L235" t="s">
        <v>33</v>
      </c>
      <c r="M235" t="s">
        <v>60</v>
      </c>
      <c r="N235">
        <f>(  Posts__2[[#This Row],[Likes]]+Posts__2[[#This Row],[Comments]]+Posts__2[[#This Row],[Shares]] ) / Posts__2[[#This Row],[Impressions]]</f>
        <v>0.16790703227603773</v>
      </c>
    </row>
    <row r="236" spans="1:14" x14ac:dyDescent="0.3">
      <c r="A236" t="s">
        <v>294</v>
      </c>
      <c r="B236" t="s">
        <v>13</v>
      </c>
      <c r="C236" s="12">
        <v>45542</v>
      </c>
      <c r="D236" t="s">
        <v>45</v>
      </c>
      <c r="E236" t="s">
        <v>78</v>
      </c>
      <c r="F236">
        <v>2101</v>
      </c>
      <c r="G236">
        <v>411</v>
      </c>
      <c r="H236">
        <v>190</v>
      </c>
      <c r="I236">
        <v>41791</v>
      </c>
      <c r="J236">
        <v>57090</v>
      </c>
      <c r="K236">
        <v>172</v>
      </c>
      <c r="L236" t="s">
        <v>67</v>
      </c>
      <c r="M236" t="s">
        <v>62</v>
      </c>
      <c r="N236">
        <f>(  Posts__2[[#This Row],[Likes]]+Posts__2[[#This Row],[Comments]]+Posts__2[[#This Row],[Shares]] ) / Posts__2[[#This Row],[Impressions]]</f>
        <v>6.4655069273288512E-2</v>
      </c>
    </row>
    <row r="237" spans="1:14" x14ac:dyDescent="0.3">
      <c r="A237" t="s">
        <v>295</v>
      </c>
      <c r="B237" t="s">
        <v>10</v>
      </c>
      <c r="C237" s="12">
        <v>45646</v>
      </c>
      <c r="D237" t="s">
        <v>45</v>
      </c>
      <c r="E237" t="s">
        <v>19</v>
      </c>
      <c r="F237">
        <v>2519</v>
      </c>
      <c r="G237">
        <v>202</v>
      </c>
      <c r="H237">
        <v>239</v>
      </c>
      <c r="I237">
        <v>36245</v>
      </c>
      <c r="J237">
        <v>48606</v>
      </c>
      <c r="K237">
        <v>145</v>
      </c>
      <c r="L237" t="s">
        <v>27</v>
      </c>
      <c r="M237" t="s">
        <v>62</v>
      </c>
      <c r="N237">
        <f>(  Posts__2[[#This Row],[Likes]]+Posts__2[[#This Row],[Comments]]+Posts__2[[#This Row],[Shares]] ) / Posts__2[[#This Row],[Impressions]]</f>
        <v>8.1666436749896543E-2</v>
      </c>
    </row>
    <row r="238" spans="1:14" x14ac:dyDescent="0.3">
      <c r="A238" t="s">
        <v>296</v>
      </c>
      <c r="B238" t="s">
        <v>13</v>
      </c>
      <c r="C238" s="12">
        <v>45305</v>
      </c>
      <c r="D238" t="s">
        <v>45</v>
      </c>
      <c r="E238" t="s">
        <v>23</v>
      </c>
      <c r="F238">
        <v>4502</v>
      </c>
      <c r="G238">
        <v>238</v>
      </c>
      <c r="H238">
        <v>386</v>
      </c>
      <c r="I238">
        <v>39198</v>
      </c>
      <c r="J238">
        <v>25050</v>
      </c>
      <c r="K238">
        <v>297</v>
      </c>
      <c r="L238" t="s">
        <v>67</v>
      </c>
      <c r="M238" t="s">
        <v>62</v>
      </c>
      <c r="N238">
        <f>(  Posts__2[[#This Row],[Likes]]+Posts__2[[#This Row],[Comments]]+Posts__2[[#This Row],[Shares]] ) / Posts__2[[#This Row],[Impressions]]</f>
        <v>0.13077197816215114</v>
      </c>
    </row>
    <row r="239" spans="1:14" x14ac:dyDescent="0.3">
      <c r="A239" t="s">
        <v>297</v>
      </c>
      <c r="B239" t="s">
        <v>10</v>
      </c>
      <c r="C239" s="12">
        <v>45823</v>
      </c>
      <c r="D239" t="s">
        <v>45</v>
      </c>
      <c r="E239" t="s">
        <v>15</v>
      </c>
      <c r="F239">
        <v>2478</v>
      </c>
      <c r="G239">
        <v>427</v>
      </c>
      <c r="H239">
        <v>242</v>
      </c>
      <c r="I239">
        <v>59272</v>
      </c>
      <c r="J239">
        <v>37833</v>
      </c>
      <c r="K239">
        <v>214</v>
      </c>
      <c r="L239" t="s">
        <v>59</v>
      </c>
      <c r="M239" t="s">
        <v>60</v>
      </c>
      <c r="N239">
        <f>(  Posts__2[[#This Row],[Likes]]+Posts__2[[#This Row],[Comments]]+Posts__2[[#This Row],[Shares]] ) / Posts__2[[#This Row],[Impressions]]</f>
        <v>5.3094209744904843E-2</v>
      </c>
    </row>
    <row r="240" spans="1:14" x14ac:dyDescent="0.3">
      <c r="A240" t="s">
        <v>298</v>
      </c>
      <c r="B240" t="s">
        <v>7</v>
      </c>
      <c r="C240" s="12">
        <v>45639</v>
      </c>
      <c r="D240" t="s">
        <v>44</v>
      </c>
      <c r="E240" t="s">
        <v>12</v>
      </c>
      <c r="F240">
        <v>4984</v>
      </c>
      <c r="G240">
        <v>300</v>
      </c>
      <c r="H240">
        <v>338</v>
      </c>
      <c r="I240">
        <v>32900</v>
      </c>
      <c r="J240">
        <v>31691</v>
      </c>
      <c r="K240">
        <v>160</v>
      </c>
      <c r="L240" t="s">
        <v>64</v>
      </c>
      <c r="M240" t="s">
        <v>60</v>
      </c>
      <c r="N240">
        <f>(  Posts__2[[#This Row],[Likes]]+Posts__2[[#This Row],[Comments]]+Posts__2[[#This Row],[Shares]] ) / Posts__2[[#This Row],[Impressions]]</f>
        <v>0.17088145896656534</v>
      </c>
    </row>
    <row r="241" spans="1:14" x14ac:dyDescent="0.3">
      <c r="A241" t="s">
        <v>299</v>
      </c>
      <c r="B241" t="s">
        <v>13</v>
      </c>
      <c r="C241" s="12">
        <v>45533</v>
      </c>
      <c r="D241" t="s">
        <v>45</v>
      </c>
      <c r="E241" t="s">
        <v>29</v>
      </c>
      <c r="F241">
        <v>4774</v>
      </c>
      <c r="G241">
        <v>389</v>
      </c>
      <c r="H241">
        <v>358</v>
      </c>
      <c r="I241">
        <v>52346</v>
      </c>
      <c r="J241">
        <v>30518</v>
      </c>
      <c r="K241">
        <v>277</v>
      </c>
      <c r="L241" t="s">
        <v>67</v>
      </c>
      <c r="M241" t="s">
        <v>62</v>
      </c>
      <c r="N241">
        <f>(  Posts__2[[#This Row],[Likes]]+Posts__2[[#This Row],[Comments]]+Posts__2[[#This Row],[Shares]] ) / Posts__2[[#This Row],[Impressions]]</f>
        <v>0.10547128720437092</v>
      </c>
    </row>
    <row r="242" spans="1:14" x14ac:dyDescent="0.3">
      <c r="A242" t="s">
        <v>300</v>
      </c>
      <c r="B242" t="s">
        <v>7</v>
      </c>
      <c r="C242" s="12">
        <v>45550</v>
      </c>
      <c r="D242" t="s">
        <v>45</v>
      </c>
      <c r="E242" t="s">
        <v>9</v>
      </c>
      <c r="F242">
        <v>2145</v>
      </c>
      <c r="G242">
        <v>340</v>
      </c>
      <c r="H242">
        <v>85</v>
      </c>
      <c r="I242">
        <v>53323</v>
      </c>
      <c r="J242">
        <v>49938</v>
      </c>
      <c r="K242">
        <v>104</v>
      </c>
      <c r="L242" t="s">
        <v>33</v>
      </c>
      <c r="M242" t="s">
        <v>60</v>
      </c>
      <c r="N242">
        <f>(  Posts__2[[#This Row],[Likes]]+Posts__2[[#This Row],[Comments]]+Posts__2[[#This Row],[Shares]] ) / Posts__2[[#This Row],[Impressions]]</f>
        <v>4.819683813738912E-2</v>
      </c>
    </row>
    <row r="243" spans="1:14" x14ac:dyDescent="0.3">
      <c r="A243" t="s">
        <v>301</v>
      </c>
      <c r="B243" t="s">
        <v>7</v>
      </c>
      <c r="C243" s="12">
        <v>45759</v>
      </c>
      <c r="D243" t="s">
        <v>44</v>
      </c>
      <c r="E243" t="s">
        <v>26</v>
      </c>
      <c r="F243">
        <v>4315</v>
      </c>
      <c r="G243">
        <v>208</v>
      </c>
      <c r="H243">
        <v>273</v>
      </c>
      <c r="I243">
        <v>35780</v>
      </c>
      <c r="J243">
        <v>44349</v>
      </c>
      <c r="K243">
        <v>133</v>
      </c>
      <c r="L243" t="s">
        <v>70</v>
      </c>
      <c r="M243" t="s">
        <v>60</v>
      </c>
      <c r="N243">
        <f>(  Posts__2[[#This Row],[Likes]]+Posts__2[[#This Row],[Comments]]+Posts__2[[#This Row],[Shares]] ) / Posts__2[[#This Row],[Impressions]]</f>
        <v>0.13404136389044158</v>
      </c>
    </row>
    <row r="244" spans="1:14" x14ac:dyDescent="0.3">
      <c r="A244" t="s">
        <v>302</v>
      </c>
      <c r="B244" t="s">
        <v>7</v>
      </c>
      <c r="C244" s="12">
        <v>45636</v>
      </c>
      <c r="D244" t="s">
        <v>44</v>
      </c>
      <c r="E244" t="s">
        <v>29</v>
      </c>
      <c r="F244">
        <v>2267</v>
      </c>
      <c r="G244">
        <v>230</v>
      </c>
      <c r="H244">
        <v>243</v>
      </c>
      <c r="I244">
        <v>27904</v>
      </c>
      <c r="J244">
        <v>69771</v>
      </c>
      <c r="K244">
        <v>255</v>
      </c>
      <c r="L244" t="s">
        <v>70</v>
      </c>
      <c r="M244" t="s">
        <v>60</v>
      </c>
      <c r="N244">
        <f>(  Posts__2[[#This Row],[Likes]]+Posts__2[[#This Row],[Comments]]+Posts__2[[#This Row],[Shares]] ) / Posts__2[[#This Row],[Impressions]]</f>
        <v>9.8193807339449546E-2</v>
      </c>
    </row>
    <row r="245" spans="1:14" x14ac:dyDescent="0.3">
      <c r="A245" t="s">
        <v>303</v>
      </c>
      <c r="B245" t="s">
        <v>13</v>
      </c>
      <c r="C245" s="12">
        <v>45816</v>
      </c>
      <c r="D245" t="s">
        <v>45</v>
      </c>
      <c r="E245" t="s">
        <v>35</v>
      </c>
      <c r="F245">
        <v>4375</v>
      </c>
      <c r="G245">
        <v>303</v>
      </c>
      <c r="H245">
        <v>294</v>
      </c>
      <c r="I245">
        <v>57468</v>
      </c>
      <c r="J245">
        <v>53397</v>
      </c>
      <c r="K245">
        <v>159</v>
      </c>
      <c r="L245" t="s">
        <v>67</v>
      </c>
      <c r="M245" t="s">
        <v>62</v>
      </c>
      <c r="N245">
        <f>(  Posts__2[[#This Row],[Likes]]+Posts__2[[#This Row],[Comments]]+Posts__2[[#This Row],[Shares]] ) / Posts__2[[#This Row],[Impressions]]</f>
        <v>8.6517714206166912E-2</v>
      </c>
    </row>
    <row r="246" spans="1:14" x14ac:dyDescent="0.3">
      <c r="A246" t="s">
        <v>304</v>
      </c>
      <c r="B246" t="s">
        <v>7</v>
      </c>
      <c r="C246" s="12">
        <v>45666</v>
      </c>
      <c r="D246" t="s">
        <v>44</v>
      </c>
      <c r="E246" t="s">
        <v>78</v>
      </c>
      <c r="F246">
        <v>3817</v>
      </c>
      <c r="G246">
        <v>284</v>
      </c>
      <c r="H246">
        <v>204</v>
      </c>
      <c r="I246">
        <v>46434</v>
      </c>
      <c r="J246">
        <v>53396</v>
      </c>
      <c r="K246">
        <v>104</v>
      </c>
      <c r="L246" t="s">
        <v>64</v>
      </c>
      <c r="M246" t="s">
        <v>60</v>
      </c>
      <c r="N246">
        <f>(  Posts__2[[#This Row],[Likes]]+Posts__2[[#This Row],[Comments]]+Posts__2[[#This Row],[Shares]] ) / Posts__2[[#This Row],[Impressions]]</f>
        <v>9.2712236723090841E-2</v>
      </c>
    </row>
    <row r="247" spans="1:14" x14ac:dyDescent="0.3">
      <c r="A247" t="s">
        <v>305</v>
      </c>
      <c r="B247" t="s">
        <v>7</v>
      </c>
      <c r="C247" s="12">
        <v>45481</v>
      </c>
      <c r="D247" t="s">
        <v>44</v>
      </c>
      <c r="E247" t="s">
        <v>32</v>
      </c>
      <c r="F247">
        <v>2981</v>
      </c>
      <c r="G247">
        <v>258</v>
      </c>
      <c r="H247">
        <v>168</v>
      </c>
      <c r="I247">
        <v>20677</v>
      </c>
      <c r="J247">
        <v>68290</v>
      </c>
      <c r="K247">
        <v>130</v>
      </c>
      <c r="L247" t="s">
        <v>59</v>
      </c>
      <c r="M247" t="s">
        <v>60</v>
      </c>
      <c r="N247">
        <f>(  Posts__2[[#This Row],[Likes]]+Posts__2[[#This Row],[Comments]]+Posts__2[[#This Row],[Shares]] ) / Posts__2[[#This Row],[Impressions]]</f>
        <v>0.16477245248343569</v>
      </c>
    </row>
    <row r="248" spans="1:14" x14ac:dyDescent="0.3">
      <c r="A248" t="s">
        <v>306</v>
      </c>
      <c r="B248" t="s">
        <v>7</v>
      </c>
      <c r="C248" s="12">
        <v>45551</v>
      </c>
      <c r="D248" t="s">
        <v>44</v>
      </c>
      <c r="E248" t="s">
        <v>78</v>
      </c>
      <c r="F248">
        <v>3300</v>
      </c>
      <c r="G248">
        <v>354</v>
      </c>
      <c r="H248">
        <v>397</v>
      </c>
      <c r="I248">
        <v>56773</v>
      </c>
      <c r="J248">
        <v>72110</v>
      </c>
      <c r="K248">
        <v>163</v>
      </c>
      <c r="L248" t="s">
        <v>70</v>
      </c>
      <c r="M248" t="s">
        <v>60</v>
      </c>
      <c r="N248">
        <f>(  Posts__2[[#This Row],[Likes]]+Posts__2[[#This Row],[Comments]]+Posts__2[[#This Row],[Shares]] ) / Posts__2[[#This Row],[Impressions]]</f>
        <v>7.1354340971940891E-2</v>
      </c>
    </row>
    <row r="249" spans="1:14" x14ac:dyDescent="0.3">
      <c r="A249" t="s">
        <v>28</v>
      </c>
      <c r="B249" t="s">
        <v>13</v>
      </c>
      <c r="C249" s="12">
        <v>45457</v>
      </c>
      <c r="D249" t="s">
        <v>46</v>
      </c>
      <c r="E249" t="s">
        <v>29</v>
      </c>
      <c r="F249">
        <v>4722</v>
      </c>
      <c r="G249">
        <v>310</v>
      </c>
      <c r="H249">
        <v>344</v>
      </c>
      <c r="I249">
        <v>27911</v>
      </c>
      <c r="J249">
        <v>19000</v>
      </c>
      <c r="K249">
        <v>225</v>
      </c>
      <c r="L249" t="s">
        <v>84</v>
      </c>
      <c r="M249" t="s">
        <v>85</v>
      </c>
      <c r="N249">
        <f>(  Posts__2[[#This Row],[Likes]]+Posts__2[[#This Row],[Comments]]+Posts__2[[#This Row],[Shares]] ) / Posts__2[[#This Row],[Impressions]]</f>
        <v>0.19261223173659131</v>
      </c>
    </row>
    <row r="250" spans="1:14" x14ac:dyDescent="0.3">
      <c r="A250" t="s">
        <v>307</v>
      </c>
      <c r="B250" t="s">
        <v>10</v>
      </c>
      <c r="C250" s="12">
        <v>45357</v>
      </c>
      <c r="D250" t="s">
        <v>45</v>
      </c>
      <c r="E250" t="s">
        <v>23</v>
      </c>
      <c r="F250">
        <v>3529</v>
      </c>
      <c r="G250">
        <v>263</v>
      </c>
      <c r="H250">
        <v>107</v>
      </c>
      <c r="I250">
        <v>26570</v>
      </c>
      <c r="J250">
        <v>19367</v>
      </c>
      <c r="K250">
        <v>96</v>
      </c>
      <c r="L250" t="s">
        <v>27</v>
      </c>
      <c r="M250" t="s">
        <v>62</v>
      </c>
      <c r="N250">
        <f>(  Posts__2[[#This Row],[Likes]]+Posts__2[[#This Row],[Comments]]+Posts__2[[#This Row],[Shares]] ) / Posts__2[[#This Row],[Impressions]]</f>
        <v>0.14674444862627023</v>
      </c>
    </row>
    <row r="251" spans="1:14" x14ac:dyDescent="0.3">
      <c r="A251" t="s">
        <v>308</v>
      </c>
      <c r="B251" t="s">
        <v>7</v>
      </c>
      <c r="C251" s="12">
        <v>45792</v>
      </c>
      <c r="D251" t="s">
        <v>45</v>
      </c>
      <c r="E251" t="s">
        <v>78</v>
      </c>
      <c r="F251">
        <v>4782</v>
      </c>
      <c r="G251">
        <v>210</v>
      </c>
      <c r="H251">
        <v>311</v>
      </c>
      <c r="I251">
        <v>29793</v>
      </c>
      <c r="J251">
        <v>37543</v>
      </c>
      <c r="K251">
        <v>145</v>
      </c>
      <c r="L251" t="s">
        <v>33</v>
      </c>
      <c r="M251" t="s">
        <v>60</v>
      </c>
      <c r="N251">
        <f>(  Posts__2[[#This Row],[Likes]]+Posts__2[[#This Row],[Comments]]+Posts__2[[#This Row],[Shares]] ) / Posts__2[[#This Row],[Impressions]]</f>
        <v>0.17799483100057059</v>
      </c>
    </row>
    <row r="252" spans="1:14" x14ac:dyDescent="0.3">
      <c r="A252" t="s">
        <v>309</v>
      </c>
      <c r="B252" t="s">
        <v>7</v>
      </c>
      <c r="C252" s="12">
        <v>45480</v>
      </c>
      <c r="D252" t="s">
        <v>45</v>
      </c>
      <c r="E252" t="s">
        <v>23</v>
      </c>
      <c r="F252">
        <v>1848</v>
      </c>
      <c r="G252">
        <v>417</v>
      </c>
      <c r="H252">
        <v>294</v>
      </c>
      <c r="I252">
        <v>57819</v>
      </c>
      <c r="J252">
        <v>19798</v>
      </c>
      <c r="K252">
        <v>262</v>
      </c>
      <c r="L252" t="s">
        <v>30</v>
      </c>
      <c r="M252" t="s">
        <v>62</v>
      </c>
      <c r="N252">
        <f>(  Posts__2[[#This Row],[Likes]]+Posts__2[[#This Row],[Comments]]+Posts__2[[#This Row],[Shares]] ) / Posts__2[[#This Row],[Impressions]]</f>
        <v>4.4258807658382193E-2</v>
      </c>
    </row>
    <row r="253" spans="1:14" x14ac:dyDescent="0.3">
      <c r="A253" t="s">
        <v>310</v>
      </c>
      <c r="B253" t="s">
        <v>13</v>
      </c>
      <c r="C253" s="12">
        <v>45591</v>
      </c>
      <c r="D253" t="s">
        <v>45</v>
      </c>
      <c r="E253" t="s">
        <v>12</v>
      </c>
      <c r="F253">
        <v>4676</v>
      </c>
      <c r="G253">
        <v>211</v>
      </c>
      <c r="H253">
        <v>55</v>
      </c>
      <c r="I253">
        <v>45917</v>
      </c>
      <c r="J253">
        <v>73503</v>
      </c>
      <c r="K253">
        <v>248</v>
      </c>
      <c r="L253" t="s">
        <v>67</v>
      </c>
      <c r="M253" t="s">
        <v>62</v>
      </c>
      <c r="N253">
        <f>(  Posts__2[[#This Row],[Likes]]+Posts__2[[#This Row],[Comments]]+Posts__2[[#This Row],[Shares]] ) / Posts__2[[#This Row],[Impressions]]</f>
        <v>0.10762898272970794</v>
      </c>
    </row>
    <row r="254" spans="1:14" x14ac:dyDescent="0.3">
      <c r="A254" t="s">
        <v>311</v>
      </c>
      <c r="B254" t="s">
        <v>13</v>
      </c>
      <c r="C254" s="12">
        <v>45512</v>
      </c>
      <c r="D254" t="s">
        <v>45</v>
      </c>
      <c r="E254" t="s">
        <v>26</v>
      </c>
      <c r="F254">
        <v>1994</v>
      </c>
      <c r="G254">
        <v>197</v>
      </c>
      <c r="H254">
        <v>290</v>
      </c>
      <c r="I254">
        <v>49500</v>
      </c>
      <c r="J254">
        <v>23343</v>
      </c>
      <c r="K254">
        <v>160</v>
      </c>
      <c r="L254" t="s">
        <v>67</v>
      </c>
      <c r="M254" t="s">
        <v>62</v>
      </c>
      <c r="N254">
        <f>(  Posts__2[[#This Row],[Likes]]+Posts__2[[#This Row],[Comments]]+Posts__2[[#This Row],[Shares]] ) / Posts__2[[#This Row],[Impressions]]</f>
        <v>5.0121212121212122E-2</v>
      </c>
    </row>
    <row r="255" spans="1:14" x14ac:dyDescent="0.3">
      <c r="A255" t="s">
        <v>312</v>
      </c>
      <c r="B255" t="s">
        <v>7</v>
      </c>
      <c r="C255" s="12">
        <v>45691</v>
      </c>
      <c r="D255" t="s">
        <v>45</v>
      </c>
      <c r="E255" t="s">
        <v>23</v>
      </c>
      <c r="F255">
        <v>4995</v>
      </c>
      <c r="G255">
        <v>231</v>
      </c>
      <c r="H255">
        <v>94</v>
      </c>
      <c r="I255">
        <v>34431</v>
      </c>
      <c r="J255">
        <v>32560</v>
      </c>
      <c r="K255">
        <v>262</v>
      </c>
      <c r="L255" t="s">
        <v>33</v>
      </c>
      <c r="M255" t="s">
        <v>60</v>
      </c>
      <c r="N255">
        <f>(  Posts__2[[#This Row],[Likes]]+Posts__2[[#This Row],[Comments]]+Posts__2[[#This Row],[Shares]] ) / Posts__2[[#This Row],[Impressions]]</f>
        <v>0.15451192239551567</v>
      </c>
    </row>
    <row r="256" spans="1:14" x14ac:dyDescent="0.3">
      <c r="A256" t="s">
        <v>313</v>
      </c>
      <c r="B256" t="s">
        <v>7</v>
      </c>
      <c r="C256" s="12">
        <v>45385</v>
      </c>
      <c r="D256" t="s">
        <v>44</v>
      </c>
      <c r="E256" t="s">
        <v>32</v>
      </c>
      <c r="F256">
        <v>2291</v>
      </c>
      <c r="G256">
        <v>146</v>
      </c>
      <c r="H256">
        <v>399</v>
      </c>
      <c r="I256">
        <v>49319</v>
      </c>
      <c r="J256">
        <v>28056</v>
      </c>
      <c r="K256">
        <v>90</v>
      </c>
      <c r="L256" t="s">
        <v>70</v>
      </c>
      <c r="M256" t="s">
        <v>60</v>
      </c>
      <c r="N256">
        <f>(  Posts__2[[#This Row],[Likes]]+Posts__2[[#This Row],[Comments]]+Posts__2[[#This Row],[Shares]] ) / Posts__2[[#This Row],[Impressions]]</f>
        <v>5.7503193495407452E-2</v>
      </c>
    </row>
    <row r="257" spans="1:14" x14ac:dyDescent="0.3">
      <c r="A257" t="s">
        <v>314</v>
      </c>
      <c r="B257" t="s">
        <v>7</v>
      </c>
      <c r="C257" s="12">
        <v>45481</v>
      </c>
      <c r="D257" t="s">
        <v>44</v>
      </c>
      <c r="E257" t="s">
        <v>29</v>
      </c>
      <c r="F257">
        <v>2304</v>
      </c>
      <c r="G257">
        <v>289</v>
      </c>
      <c r="H257">
        <v>161</v>
      </c>
      <c r="I257">
        <v>52645</v>
      </c>
      <c r="J257">
        <v>66262</v>
      </c>
      <c r="K257">
        <v>146</v>
      </c>
      <c r="L257" t="s">
        <v>64</v>
      </c>
      <c r="M257" t="s">
        <v>60</v>
      </c>
      <c r="N257">
        <f>(  Posts__2[[#This Row],[Likes]]+Posts__2[[#This Row],[Comments]]+Posts__2[[#This Row],[Shares]] ) / Posts__2[[#This Row],[Impressions]]</f>
        <v>5.2312660271630736E-2</v>
      </c>
    </row>
    <row r="258" spans="1:14" x14ac:dyDescent="0.3">
      <c r="A258" t="s">
        <v>315</v>
      </c>
      <c r="B258" t="s">
        <v>7</v>
      </c>
      <c r="C258" s="12">
        <v>45451</v>
      </c>
      <c r="D258" t="s">
        <v>44</v>
      </c>
      <c r="E258" t="s">
        <v>32</v>
      </c>
      <c r="F258">
        <v>3413</v>
      </c>
      <c r="G258">
        <v>326</v>
      </c>
      <c r="H258">
        <v>86</v>
      </c>
      <c r="I258">
        <v>44680</v>
      </c>
      <c r="J258">
        <v>52719</v>
      </c>
      <c r="K258">
        <v>272</v>
      </c>
      <c r="L258" t="s">
        <v>70</v>
      </c>
      <c r="M258" t="s">
        <v>60</v>
      </c>
      <c r="N258">
        <f>(  Posts__2[[#This Row],[Likes]]+Posts__2[[#This Row],[Comments]]+Posts__2[[#This Row],[Shares]] ) / Posts__2[[#This Row],[Impressions]]</f>
        <v>8.5608773500447627E-2</v>
      </c>
    </row>
    <row r="259" spans="1:14" x14ac:dyDescent="0.3">
      <c r="A259" t="s">
        <v>316</v>
      </c>
      <c r="B259" t="s">
        <v>13</v>
      </c>
      <c r="C259" s="12">
        <v>45736</v>
      </c>
      <c r="D259" t="s">
        <v>46</v>
      </c>
      <c r="E259" t="s">
        <v>26</v>
      </c>
      <c r="F259">
        <v>1453</v>
      </c>
      <c r="G259">
        <v>156</v>
      </c>
      <c r="H259">
        <v>178</v>
      </c>
      <c r="I259">
        <v>52980</v>
      </c>
      <c r="J259">
        <v>57180</v>
      </c>
      <c r="K259">
        <v>286</v>
      </c>
      <c r="L259" t="s">
        <v>84</v>
      </c>
      <c r="M259" t="s">
        <v>85</v>
      </c>
      <c r="N259">
        <f>(  Posts__2[[#This Row],[Likes]]+Posts__2[[#This Row],[Comments]]+Posts__2[[#This Row],[Shares]] ) / Posts__2[[#This Row],[Impressions]]</f>
        <v>3.3729709324273313E-2</v>
      </c>
    </row>
    <row r="260" spans="1:14" x14ac:dyDescent="0.3">
      <c r="A260" t="s">
        <v>317</v>
      </c>
      <c r="B260" t="s">
        <v>7</v>
      </c>
      <c r="C260" s="12">
        <v>45676</v>
      </c>
      <c r="D260" t="s">
        <v>44</v>
      </c>
      <c r="E260" t="s">
        <v>35</v>
      </c>
      <c r="F260">
        <v>1651</v>
      </c>
      <c r="G260">
        <v>480</v>
      </c>
      <c r="H260">
        <v>282</v>
      </c>
      <c r="I260">
        <v>32140</v>
      </c>
      <c r="J260">
        <v>70560</v>
      </c>
      <c r="K260">
        <v>138</v>
      </c>
      <c r="L260" t="s">
        <v>59</v>
      </c>
      <c r="M260" t="s">
        <v>60</v>
      </c>
      <c r="N260">
        <f>(  Posts__2[[#This Row],[Likes]]+Posts__2[[#This Row],[Comments]]+Posts__2[[#This Row],[Shares]] ) / Posts__2[[#This Row],[Impressions]]</f>
        <v>7.5077784691972627E-2</v>
      </c>
    </row>
    <row r="261" spans="1:14" x14ac:dyDescent="0.3">
      <c r="A261" t="s">
        <v>318</v>
      </c>
      <c r="B261" t="s">
        <v>7</v>
      </c>
      <c r="C261" s="12">
        <v>45662</v>
      </c>
      <c r="D261" t="s">
        <v>44</v>
      </c>
      <c r="E261" t="s">
        <v>15</v>
      </c>
      <c r="F261">
        <v>3341</v>
      </c>
      <c r="G261">
        <v>154</v>
      </c>
      <c r="H261">
        <v>123</v>
      </c>
      <c r="I261">
        <v>43369</v>
      </c>
      <c r="J261">
        <v>49035</v>
      </c>
      <c r="K261">
        <v>128</v>
      </c>
      <c r="L261" t="s">
        <v>64</v>
      </c>
      <c r="M261" t="s">
        <v>60</v>
      </c>
      <c r="N261">
        <f>(  Posts__2[[#This Row],[Likes]]+Posts__2[[#This Row],[Comments]]+Posts__2[[#This Row],[Shares]] ) / Posts__2[[#This Row],[Impressions]]</f>
        <v>8.3423643616408028E-2</v>
      </c>
    </row>
    <row r="262" spans="1:14" x14ac:dyDescent="0.3">
      <c r="A262" t="s">
        <v>319</v>
      </c>
      <c r="B262" t="s">
        <v>7</v>
      </c>
      <c r="C262" s="12">
        <v>45612</v>
      </c>
      <c r="D262" t="s">
        <v>45</v>
      </c>
      <c r="E262" t="s">
        <v>26</v>
      </c>
      <c r="F262">
        <v>2972</v>
      </c>
      <c r="G262">
        <v>263</v>
      </c>
      <c r="H262">
        <v>308</v>
      </c>
      <c r="I262">
        <v>51740</v>
      </c>
      <c r="J262">
        <v>28214</v>
      </c>
      <c r="K262">
        <v>190</v>
      </c>
      <c r="L262" t="s">
        <v>30</v>
      </c>
      <c r="M262" t="s">
        <v>62</v>
      </c>
      <c r="N262">
        <f>(  Posts__2[[#This Row],[Likes]]+Posts__2[[#This Row],[Comments]]+Posts__2[[#This Row],[Shares]] ) / Posts__2[[#This Row],[Impressions]]</f>
        <v>6.8477000386548123E-2</v>
      </c>
    </row>
    <row r="263" spans="1:14" x14ac:dyDescent="0.3">
      <c r="A263" t="s">
        <v>320</v>
      </c>
      <c r="B263" t="s">
        <v>7</v>
      </c>
      <c r="C263" s="12">
        <v>45626</v>
      </c>
      <c r="D263" t="s">
        <v>44</v>
      </c>
      <c r="E263" t="s">
        <v>15</v>
      </c>
      <c r="F263">
        <v>4963</v>
      </c>
      <c r="G263">
        <v>255</v>
      </c>
      <c r="H263">
        <v>193</v>
      </c>
      <c r="I263">
        <v>44386</v>
      </c>
      <c r="J263">
        <v>28415</v>
      </c>
      <c r="K263">
        <v>174</v>
      </c>
      <c r="L263" t="s">
        <v>64</v>
      </c>
      <c r="M263" t="s">
        <v>60</v>
      </c>
      <c r="N263">
        <f>(  Posts__2[[#This Row],[Likes]]+Posts__2[[#This Row],[Comments]]+Posts__2[[#This Row],[Shares]] ) / Posts__2[[#This Row],[Impressions]]</f>
        <v>0.12190780876853062</v>
      </c>
    </row>
    <row r="264" spans="1:14" x14ac:dyDescent="0.3">
      <c r="A264" t="s">
        <v>321</v>
      </c>
      <c r="B264" t="s">
        <v>13</v>
      </c>
      <c r="C264" s="12">
        <v>45378</v>
      </c>
      <c r="D264" t="s">
        <v>45</v>
      </c>
      <c r="E264" t="s">
        <v>35</v>
      </c>
      <c r="F264">
        <v>2399</v>
      </c>
      <c r="G264">
        <v>191</v>
      </c>
      <c r="H264">
        <v>221</v>
      </c>
      <c r="I264">
        <v>51603</v>
      </c>
      <c r="J264">
        <v>40033</v>
      </c>
      <c r="K264">
        <v>173</v>
      </c>
      <c r="L264" t="s">
        <v>67</v>
      </c>
      <c r="M264" t="s">
        <v>62</v>
      </c>
      <c r="N264">
        <f>(  Posts__2[[#This Row],[Likes]]+Posts__2[[#This Row],[Comments]]+Posts__2[[#This Row],[Shares]] ) / Posts__2[[#This Row],[Impressions]]</f>
        <v>5.4473577117609438E-2</v>
      </c>
    </row>
    <row r="265" spans="1:14" x14ac:dyDescent="0.3">
      <c r="A265" t="s">
        <v>322</v>
      </c>
      <c r="B265" t="s">
        <v>13</v>
      </c>
      <c r="C265" s="12">
        <v>45808</v>
      </c>
      <c r="D265" t="s">
        <v>46</v>
      </c>
      <c r="E265" t="s">
        <v>9</v>
      </c>
      <c r="F265">
        <v>2162</v>
      </c>
      <c r="G265">
        <v>318</v>
      </c>
      <c r="H265">
        <v>83</v>
      </c>
      <c r="I265">
        <v>46719</v>
      </c>
      <c r="J265">
        <v>20482</v>
      </c>
      <c r="K265">
        <v>185</v>
      </c>
      <c r="L265" t="s">
        <v>84</v>
      </c>
      <c r="M265" t="s">
        <v>85</v>
      </c>
      <c r="N265">
        <f>(  Posts__2[[#This Row],[Likes]]+Posts__2[[#This Row],[Comments]]+Posts__2[[#This Row],[Shares]] ) / Posts__2[[#This Row],[Impressions]]</f>
        <v>5.4859907104176028E-2</v>
      </c>
    </row>
    <row r="266" spans="1:14" x14ac:dyDescent="0.3">
      <c r="A266" t="s">
        <v>323</v>
      </c>
      <c r="B266" t="s">
        <v>7</v>
      </c>
      <c r="C266" s="12">
        <v>45825</v>
      </c>
      <c r="D266" t="s">
        <v>44</v>
      </c>
      <c r="E266" t="s">
        <v>15</v>
      </c>
      <c r="F266">
        <v>4341</v>
      </c>
      <c r="G266">
        <v>141</v>
      </c>
      <c r="H266">
        <v>63</v>
      </c>
      <c r="I266">
        <v>50081</v>
      </c>
      <c r="J266">
        <v>27507</v>
      </c>
      <c r="K266">
        <v>221</v>
      </c>
      <c r="L266" t="s">
        <v>70</v>
      </c>
      <c r="M266" t="s">
        <v>60</v>
      </c>
      <c r="N266">
        <f>(  Posts__2[[#This Row],[Likes]]+Posts__2[[#This Row],[Comments]]+Posts__2[[#This Row],[Shares]] ) / Posts__2[[#This Row],[Impressions]]</f>
        <v>9.0752980172121162E-2</v>
      </c>
    </row>
    <row r="267" spans="1:14" x14ac:dyDescent="0.3">
      <c r="A267" t="s">
        <v>324</v>
      </c>
      <c r="B267" t="s">
        <v>10</v>
      </c>
      <c r="C267" s="12">
        <v>45442</v>
      </c>
      <c r="D267" t="s">
        <v>44</v>
      </c>
      <c r="E267" t="s">
        <v>9</v>
      </c>
      <c r="F267">
        <v>2448</v>
      </c>
      <c r="G267">
        <v>464</v>
      </c>
      <c r="H267">
        <v>98</v>
      </c>
      <c r="I267">
        <v>25737</v>
      </c>
      <c r="J267">
        <v>48545</v>
      </c>
      <c r="K267">
        <v>246</v>
      </c>
      <c r="L267" t="s">
        <v>33</v>
      </c>
      <c r="M267" t="s">
        <v>82</v>
      </c>
      <c r="N267">
        <f>(  Posts__2[[#This Row],[Likes]]+Posts__2[[#This Row],[Comments]]+Posts__2[[#This Row],[Shares]] ) / Posts__2[[#This Row],[Impressions]]</f>
        <v>0.11695224773672146</v>
      </c>
    </row>
    <row r="268" spans="1:14" x14ac:dyDescent="0.3">
      <c r="A268" t="s">
        <v>325</v>
      </c>
      <c r="B268" t="s">
        <v>13</v>
      </c>
      <c r="C268" s="12">
        <v>45604</v>
      </c>
      <c r="D268" t="s">
        <v>45</v>
      </c>
      <c r="E268" t="s">
        <v>32</v>
      </c>
      <c r="F268">
        <v>2471</v>
      </c>
      <c r="G268">
        <v>166</v>
      </c>
      <c r="H268">
        <v>320</v>
      </c>
      <c r="I268">
        <v>48254</v>
      </c>
      <c r="J268">
        <v>46900</v>
      </c>
      <c r="K268">
        <v>111</v>
      </c>
      <c r="L268" t="s">
        <v>67</v>
      </c>
      <c r="M268" t="s">
        <v>62</v>
      </c>
      <c r="N268">
        <f>(  Posts__2[[#This Row],[Likes]]+Posts__2[[#This Row],[Comments]]+Posts__2[[#This Row],[Shares]] ) / Posts__2[[#This Row],[Impressions]]</f>
        <v>6.1279893894806647E-2</v>
      </c>
    </row>
    <row r="269" spans="1:14" x14ac:dyDescent="0.3">
      <c r="A269" t="s">
        <v>326</v>
      </c>
      <c r="B269" t="s">
        <v>13</v>
      </c>
      <c r="C269" s="12">
        <v>45368</v>
      </c>
      <c r="D269" t="s">
        <v>46</v>
      </c>
      <c r="E269" t="s">
        <v>15</v>
      </c>
      <c r="F269">
        <v>2692</v>
      </c>
      <c r="G269">
        <v>446</v>
      </c>
      <c r="H269">
        <v>216</v>
      </c>
      <c r="I269">
        <v>45818</v>
      </c>
      <c r="J269">
        <v>62723</v>
      </c>
      <c r="K269">
        <v>85</v>
      </c>
      <c r="L269" t="s">
        <v>84</v>
      </c>
      <c r="M269" t="s">
        <v>85</v>
      </c>
      <c r="N269">
        <f>(  Posts__2[[#This Row],[Likes]]+Posts__2[[#This Row],[Comments]]+Posts__2[[#This Row],[Shares]] ) / Posts__2[[#This Row],[Impressions]]</f>
        <v>7.3202671439172376E-2</v>
      </c>
    </row>
    <row r="270" spans="1:14" x14ac:dyDescent="0.3">
      <c r="A270" t="s">
        <v>327</v>
      </c>
      <c r="B270" t="s">
        <v>13</v>
      </c>
      <c r="C270" s="12">
        <v>45464</v>
      </c>
      <c r="D270" t="s">
        <v>46</v>
      </c>
      <c r="E270" t="s">
        <v>35</v>
      </c>
      <c r="F270">
        <v>4621</v>
      </c>
      <c r="G270">
        <v>374</v>
      </c>
      <c r="H270">
        <v>298</v>
      </c>
      <c r="I270">
        <v>56979</v>
      </c>
      <c r="J270">
        <v>24098</v>
      </c>
      <c r="K270">
        <v>205</v>
      </c>
      <c r="L270" t="s">
        <v>84</v>
      </c>
      <c r="M270" t="s">
        <v>85</v>
      </c>
      <c r="N270">
        <f>(  Posts__2[[#This Row],[Likes]]+Posts__2[[#This Row],[Comments]]+Posts__2[[#This Row],[Shares]] ) / Posts__2[[#This Row],[Impressions]]</f>
        <v>9.2893873181347508E-2</v>
      </c>
    </row>
    <row r="271" spans="1:14" x14ac:dyDescent="0.3">
      <c r="A271" t="s">
        <v>328</v>
      </c>
      <c r="B271" t="s">
        <v>7</v>
      </c>
      <c r="C271" s="12">
        <v>45609</v>
      </c>
      <c r="D271" t="s">
        <v>44</v>
      </c>
      <c r="E271" t="s">
        <v>12</v>
      </c>
      <c r="F271">
        <v>1409</v>
      </c>
      <c r="G271">
        <v>466</v>
      </c>
      <c r="H271">
        <v>105</v>
      </c>
      <c r="I271">
        <v>58923</v>
      </c>
      <c r="J271">
        <v>38753</v>
      </c>
      <c r="K271">
        <v>265</v>
      </c>
      <c r="L271" t="s">
        <v>70</v>
      </c>
      <c r="M271" t="s">
        <v>60</v>
      </c>
      <c r="N271">
        <f>(  Posts__2[[#This Row],[Likes]]+Posts__2[[#This Row],[Comments]]+Posts__2[[#This Row],[Shares]] ) / Posts__2[[#This Row],[Impressions]]</f>
        <v>3.3603177027646251E-2</v>
      </c>
    </row>
    <row r="272" spans="1:14" x14ac:dyDescent="0.3">
      <c r="A272" t="s">
        <v>329</v>
      </c>
      <c r="B272" t="s">
        <v>7</v>
      </c>
      <c r="C272" s="12">
        <v>45693</v>
      </c>
      <c r="D272" t="s">
        <v>44</v>
      </c>
      <c r="E272" t="s">
        <v>19</v>
      </c>
      <c r="F272">
        <v>3029</v>
      </c>
      <c r="G272">
        <v>440</v>
      </c>
      <c r="H272">
        <v>66</v>
      </c>
      <c r="I272">
        <v>23815</v>
      </c>
      <c r="J272">
        <v>47895</v>
      </c>
      <c r="K272">
        <v>210</v>
      </c>
      <c r="L272" t="s">
        <v>70</v>
      </c>
      <c r="M272" t="s">
        <v>60</v>
      </c>
      <c r="N272">
        <f>(  Posts__2[[#This Row],[Likes]]+Posts__2[[#This Row],[Comments]]+Posts__2[[#This Row],[Shares]] ) / Posts__2[[#This Row],[Impressions]]</f>
        <v>0.14843585975225698</v>
      </c>
    </row>
    <row r="273" spans="1:14" x14ac:dyDescent="0.3">
      <c r="A273" t="s">
        <v>330</v>
      </c>
      <c r="B273" t="s">
        <v>7</v>
      </c>
      <c r="C273" s="12">
        <v>45603</v>
      </c>
      <c r="D273" t="s">
        <v>45</v>
      </c>
      <c r="E273" t="s">
        <v>15</v>
      </c>
      <c r="F273">
        <v>2229</v>
      </c>
      <c r="G273">
        <v>395</v>
      </c>
      <c r="H273">
        <v>328</v>
      </c>
      <c r="I273">
        <v>56921</v>
      </c>
      <c r="J273">
        <v>37176</v>
      </c>
      <c r="K273">
        <v>126</v>
      </c>
      <c r="L273" t="s">
        <v>30</v>
      </c>
      <c r="M273" t="s">
        <v>62</v>
      </c>
      <c r="N273">
        <f>(  Posts__2[[#This Row],[Likes]]+Posts__2[[#This Row],[Comments]]+Posts__2[[#This Row],[Shares]] ) / Posts__2[[#This Row],[Impressions]]</f>
        <v>5.1861351697967357E-2</v>
      </c>
    </row>
    <row r="274" spans="1:14" x14ac:dyDescent="0.3">
      <c r="A274" t="s">
        <v>331</v>
      </c>
      <c r="B274" t="s">
        <v>7</v>
      </c>
      <c r="C274" s="12">
        <v>45334</v>
      </c>
      <c r="D274" t="s">
        <v>45</v>
      </c>
      <c r="E274" t="s">
        <v>15</v>
      </c>
      <c r="F274">
        <v>2691</v>
      </c>
      <c r="G274">
        <v>486</v>
      </c>
      <c r="H274">
        <v>206</v>
      </c>
      <c r="I274">
        <v>51133</v>
      </c>
      <c r="J274">
        <v>44583</v>
      </c>
      <c r="K274">
        <v>276</v>
      </c>
      <c r="L274" t="s">
        <v>33</v>
      </c>
      <c r="M274" t="s">
        <v>60</v>
      </c>
      <c r="N274">
        <f>(  Posts__2[[#This Row],[Likes]]+Posts__2[[#This Row],[Comments]]+Posts__2[[#This Row],[Shares]] ) / Posts__2[[#This Row],[Impressions]]</f>
        <v>6.6160796354604659E-2</v>
      </c>
    </row>
    <row r="275" spans="1:14" x14ac:dyDescent="0.3">
      <c r="A275" t="s">
        <v>332</v>
      </c>
      <c r="B275" t="s">
        <v>10</v>
      </c>
      <c r="C275" s="12">
        <v>45573</v>
      </c>
      <c r="D275" t="s">
        <v>45</v>
      </c>
      <c r="E275" t="s">
        <v>15</v>
      </c>
      <c r="F275">
        <v>2110</v>
      </c>
      <c r="G275">
        <v>384</v>
      </c>
      <c r="H275">
        <v>236</v>
      </c>
      <c r="I275">
        <v>49965</v>
      </c>
      <c r="J275">
        <v>61555</v>
      </c>
      <c r="K275">
        <v>195</v>
      </c>
      <c r="L275" t="s">
        <v>27</v>
      </c>
      <c r="M275" t="s">
        <v>62</v>
      </c>
      <c r="N275">
        <f>(  Posts__2[[#This Row],[Likes]]+Posts__2[[#This Row],[Comments]]+Posts__2[[#This Row],[Shares]] ) / Posts__2[[#This Row],[Impressions]]</f>
        <v>5.4638246772740921E-2</v>
      </c>
    </row>
    <row r="276" spans="1:14" x14ac:dyDescent="0.3">
      <c r="A276" t="s">
        <v>333</v>
      </c>
      <c r="B276" t="s">
        <v>10</v>
      </c>
      <c r="C276" s="12">
        <v>45341</v>
      </c>
      <c r="D276" t="s">
        <v>45</v>
      </c>
      <c r="E276" t="s">
        <v>29</v>
      </c>
      <c r="F276">
        <v>4752</v>
      </c>
      <c r="G276">
        <v>449</v>
      </c>
      <c r="H276">
        <v>309</v>
      </c>
      <c r="I276">
        <v>58530</v>
      </c>
      <c r="J276">
        <v>26630</v>
      </c>
      <c r="K276">
        <v>234</v>
      </c>
      <c r="L276" t="s">
        <v>27</v>
      </c>
      <c r="M276" t="s">
        <v>62</v>
      </c>
      <c r="N276">
        <f>(  Posts__2[[#This Row],[Likes]]+Posts__2[[#This Row],[Comments]]+Posts__2[[#This Row],[Shares]] ) / Posts__2[[#This Row],[Impressions]]</f>
        <v>9.4139757389372969E-2</v>
      </c>
    </row>
    <row r="277" spans="1:14" x14ac:dyDescent="0.3">
      <c r="A277" t="s">
        <v>334</v>
      </c>
      <c r="B277" t="s">
        <v>7</v>
      </c>
      <c r="C277" s="12">
        <v>45720</v>
      </c>
      <c r="D277" t="s">
        <v>45</v>
      </c>
      <c r="E277" t="s">
        <v>19</v>
      </c>
      <c r="F277">
        <v>2177</v>
      </c>
      <c r="G277">
        <v>258</v>
      </c>
      <c r="H277">
        <v>292</v>
      </c>
      <c r="I277">
        <v>47276</v>
      </c>
      <c r="J277">
        <v>51324</v>
      </c>
      <c r="K277">
        <v>143</v>
      </c>
      <c r="L277" t="s">
        <v>33</v>
      </c>
      <c r="M277" t="s">
        <v>60</v>
      </c>
      <c r="N277">
        <f>(  Posts__2[[#This Row],[Likes]]+Posts__2[[#This Row],[Comments]]+Posts__2[[#This Row],[Shares]] ) / Posts__2[[#This Row],[Impressions]]</f>
        <v>5.7682545054573146E-2</v>
      </c>
    </row>
    <row r="278" spans="1:14" x14ac:dyDescent="0.3">
      <c r="A278" t="s">
        <v>335</v>
      </c>
      <c r="B278" t="s">
        <v>10</v>
      </c>
      <c r="C278" s="12">
        <v>45691</v>
      </c>
      <c r="D278" t="s">
        <v>44</v>
      </c>
      <c r="E278" t="s">
        <v>12</v>
      </c>
      <c r="F278">
        <v>1205</v>
      </c>
      <c r="G278">
        <v>486</v>
      </c>
      <c r="H278">
        <v>269</v>
      </c>
      <c r="I278">
        <v>23341</v>
      </c>
      <c r="J278">
        <v>42411</v>
      </c>
      <c r="K278">
        <v>184</v>
      </c>
      <c r="L278" t="s">
        <v>33</v>
      </c>
      <c r="M278" t="s">
        <v>82</v>
      </c>
      <c r="N278">
        <f>(  Posts__2[[#This Row],[Likes]]+Posts__2[[#This Row],[Comments]]+Posts__2[[#This Row],[Shares]] ) / Posts__2[[#This Row],[Impressions]]</f>
        <v>8.3972409065592737E-2</v>
      </c>
    </row>
    <row r="279" spans="1:14" x14ac:dyDescent="0.3">
      <c r="A279" t="s">
        <v>336</v>
      </c>
      <c r="B279" t="s">
        <v>10</v>
      </c>
      <c r="C279" s="12">
        <v>45628</v>
      </c>
      <c r="D279" t="s">
        <v>45</v>
      </c>
      <c r="E279" t="s">
        <v>32</v>
      </c>
      <c r="F279">
        <v>3194</v>
      </c>
      <c r="G279">
        <v>292</v>
      </c>
      <c r="H279">
        <v>245</v>
      </c>
      <c r="I279">
        <v>56371</v>
      </c>
      <c r="J279">
        <v>65597</v>
      </c>
      <c r="K279">
        <v>163</v>
      </c>
      <c r="L279" t="s">
        <v>59</v>
      </c>
      <c r="M279" t="s">
        <v>60</v>
      </c>
      <c r="N279">
        <f>(  Posts__2[[#This Row],[Likes]]+Posts__2[[#This Row],[Comments]]+Posts__2[[#This Row],[Shares]] ) / Posts__2[[#This Row],[Impressions]]</f>
        <v>6.6186514342481059E-2</v>
      </c>
    </row>
    <row r="280" spans="1:14" x14ac:dyDescent="0.3">
      <c r="A280" t="s">
        <v>16</v>
      </c>
      <c r="B280" t="s">
        <v>7</v>
      </c>
      <c r="C280" s="12">
        <v>45676</v>
      </c>
      <c r="D280" t="s">
        <v>44</v>
      </c>
      <c r="E280" t="s">
        <v>12</v>
      </c>
      <c r="F280">
        <v>3507</v>
      </c>
      <c r="G280">
        <v>295</v>
      </c>
      <c r="H280">
        <v>371</v>
      </c>
      <c r="I280">
        <v>20410</v>
      </c>
      <c r="J280">
        <v>53965</v>
      </c>
      <c r="K280">
        <v>212</v>
      </c>
      <c r="L280" t="s">
        <v>59</v>
      </c>
      <c r="M280" t="s">
        <v>60</v>
      </c>
      <c r="N280">
        <f>(  Posts__2[[#This Row],[Likes]]+Posts__2[[#This Row],[Comments]]+Posts__2[[#This Row],[Shares]] ) / Posts__2[[#This Row],[Impressions]]</f>
        <v>0.20445859872611466</v>
      </c>
    </row>
    <row r="281" spans="1:14" x14ac:dyDescent="0.3">
      <c r="A281" t="s">
        <v>337</v>
      </c>
      <c r="B281" t="s">
        <v>7</v>
      </c>
      <c r="C281" s="12">
        <v>45563</v>
      </c>
      <c r="D281" t="s">
        <v>44</v>
      </c>
      <c r="E281" t="s">
        <v>29</v>
      </c>
      <c r="F281">
        <v>4471</v>
      </c>
      <c r="G281">
        <v>317</v>
      </c>
      <c r="H281">
        <v>249</v>
      </c>
      <c r="I281">
        <v>44862</v>
      </c>
      <c r="J281">
        <v>33365</v>
      </c>
      <c r="K281">
        <v>184</v>
      </c>
      <c r="L281" t="s">
        <v>70</v>
      </c>
      <c r="M281" t="s">
        <v>60</v>
      </c>
      <c r="N281">
        <f>(  Posts__2[[#This Row],[Likes]]+Posts__2[[#This Row],[Comments]]+Posts__2[[#This Row],[Shares]] ) / Posts__2[[#This Row],[Impressions]]</f>
        <v>0.1122776514644911</v>
      </c>
    </row>
    <row r="282" spans="1:14" x14ac:dyDescent="0.3">
      <c r="A282" t="s">
        <v>338</v>
      </c>
      <c r="B282" t="s">
        <v>10</v>
      </c>
      <c r="C282" s="12">
        <v>45298</v>
      </c>
      <c r="D282" t="s">
        <v>45</v>
      </c>
      <c r="E282" t="s">
        <v>32</v>
      </c>
      <c r="F282">
        <v>4931</v>
      </c>
      <c r="G282">
        <v>469</v>
      </c>
      <c r="H282">
        <v>193</v>
      </c>
      <c r="I282">
        <v>56701</v>
      </c>
      <c r="J282">
        <v>69437</v>
      </c>
      <c r="K282">
        <v>291</v>
      </c>
      <c r="L282" t="s">
        <v>59</v>
      </c>
      <c r="M282" t="s">
        <v>60</v>
      </c>
      <c r="N282">
        <f>(  Posts__2[[#This Row],[Likes]]+Posts__2[[#This Row],[Comments]]+Posts__2[[#This Row],[Shares]] ) / Posts__2[[#This Row],[Impressions]]</f>
        <v>9.8640235621946709E-2</v>
      </c>
    </row>
    <row r="283" spans="1:14" x14ac:dyDescent="0.3">
      <c r="A283" t="s">
        <v>339</v>
      </c>
      <c r="B283" t="s">
        <v>7</v>
      </c>
      <c r="C283" s="12">
        <v>45343</v>
      </c>
      <c r="D283" t="s">
        <v>44</v>
      </c>
      <c r="E283" t="s">
        <v>9</v>
      </c>
      <c r="F283">
        <v>2604</v>
      </c>
      <c r="G283">
        <v>439</v>
      </c>
      <c r="H283">
        <v>148</v>
      </c>
      <c r="I283">
        <v>58468</v>
      </c>
      <c r="J283">
        <v>39629</v>
      </c>
      <c r="K283">
        <v>163</v>
      </c>
      <c r="L283" t="s">
        <v>64</v>
      </c>
      <c r="M283" t="s">
        <v>60</v>
      </c>
      <c r="N283">
        <f>(  Posts__2[[#This Row],[Likes]]+Posts__2[[#This Row],[Comments]]+Posts__2[[#This Row],[Shares]] ) / Posts__2[[#This Row],[Impressions]]</f>
        <v>5.4576862557296296E-2</v>
      </c>
    </row>
    <row r="284" spans="1:14" x14ac:dyDescent="0.3">
      <c r="A284" t="s">
        <v>340</v>
      </c>
      <c r="B284" t="s">
        <v>10</v>
      </c>
      <c r="C284" s="12">
        <v>45531</v>
      </c>
      <c r="D284" t="s">
        <v>45</v>
      </c>
      <c r="E284" t="s">
        <v>35</v>
      </c>
      <c r="F284">
        <v>4197</v>
      </c>
      <c r="G284">
        <v>359</v>
      </c>
      <c r="H284">
        <v>280</v>
      </c>
      <c r="I284">
        <v>56048</v>
      </c>
      <c r="J284">
        <v>70930</v>
      </c>
      <c r="K284">
        <v>295</v>
      </c>
      <c r="L284" t="s">
        <v>27</v>
      </c>
      <c r="M284" t="s">
        <v>62</v>
      </c>
      <c r="N284">
        <f>(  Posts__2[[#This Row],[Likes]]+Posts__2[[#This Row],[Comments]]+Posts__2[[#This Row],[Shares]] ) / Posts__2[[#This Row],[Impressions]]</f>
        <v>8.628318584070796E-2</v>
      </c>
    </row>
    <row r="285" spans="1:14" x14ac:dyDescent="0.3">
      <c r="A285" t="s">
        <v>341</v>
      </c>
      <c r="B285" t="s">
        <v>10</v>
      </c>
      <c r="C285" s="12">
        <v>45589</v>
      </c>
      <c r="D285" t="s">
        <v>44</v>
      </c>
      <c r="E285" t="s">
        <v>32</v>
      </c>
      <c r="F285">
        <v>1914</v>
      </c>
      <c r="G285">
        <v>255</v>
      </c>
      <c r="H285">
        <v>156</v>
      </c>
      <c r="I285">
        <v>27660</v>
      </c>
      <c r="J285">
        <v>47776</v>
      </c>
      <c r="K285">
        <v>111</v>
      </c>
      <c r="L285" t="s">
        <v>33</v>
      </c>
      <c r="M285" t="s">
        <v>82</v>
      </c>
      <c r="N285">
        <f>(  Posts__2[[#This Row],[Likes]]+Posts__2[[#This Row],[Comments]]+Posts__2[[#This Row],[Shares]] ) / Posts__2[[#This Row],[Impressions]]</f>
        <v>8.4056399132321047E-2</v>
      </c>
    </row>
    <row r="286" spans="1:14" x14ac:dyDescent="0.3">
      <c r="A286" t="s">
        <v>342</v>
      </c>
      <c r="B286" t="s">
        <v>13</v>
      </c>
      <c r="C286" s="12">
        <v>45686</v>
      </c>
      <c r="D286" t="s">
        <v>45</v>
      </c>
      <c r="E286" t="s">
        <v>12</v>
      </c>
      <c r="F286">
        <v>1334</v>
      </c>
      <c r="G286">
        <v>357</v>
      </c>
      <c r="H286">
        <v>257</v>
      </c>
      <c r="I286">
        <v>56910</v>
      </c>
      <c r="J286">
        <v>70606</v>
      </c>
      <c r="K286">
        <v>228</v>
      </c>
      <c r="L286" t="s">
        <v>67</v>
      </c>
      <c r="M286" t="s">
        <v>62</v>
      </c>
      <c r="N286">
        <f>(  Posts__2[[#This Row],[Likes]]+Posts__2[[#This Row],[Comments]]+Posts__2[[#This Row],[Shares]] ) / Posts__2[[#This Row],[Impressions]]</f>
        <v>3.4229485151994379E-2</v>
      </c>
    </row>
    <row r="287" spans="1:14" x14ac:dyDescent="0.3">
      <c r="A287" t="s">
        <v>343</v>
      </c>
      <c r="B287" t="s">
        <v>10</v>
      </c>
      <c r="C287" s="12">
        <v>45413</v>
      </c>
      <c r="D287" t="s">
        <v>45</v>
      </c>
      <c r="E287" t="s">
        <v>9</v>
      </c>
      <c r="F287">
        <v>3359</v>
      </c>
      <c r="G287">
        <v>137</v>
      </c>
      <c r="H287">
        <v>387</v>
      </c>
      <c r="I287">
        <v>33861</v>
      </c>
      <c r="J287">
        <v>47257</v>
      </c>
      <c r="K287">
        <v>198</v>
      </c>
      <c r="L287" t="s">
        <v>27</v>
      </c>
      <c r="M287" t="s">
        <v>62</v>
      </c>
      <c r="N287">
        <f>(  Posts__2[[#This Row],[Likes]]+Posts__2[[#This Row],[Comments]]+Posts__2[[#This Row],[Shares]] ) / Posts__2[[#This Row],[Impressions]]</f>
        <v>0.11467469950680724</v>
      </c>
    </row>
    <row r="288" spans="1:14" x14ac:dyDescent="0.3">
      <c r="A288" t="s">
        <v>344</v>
      </c>
      <c r="B288" t="s">
        <v>13</v>
      </c>
      <c r="C288" s="12">
        <v>45468</v>
      </c>
      <c r="D288" t="s">
        <v>45</v>
      </c>
      <c r="E288" t="s">
        <v>78</v>
      </c>
      <c r="F288">
        <v>2172</v>
      </c>
      <c r="G288">
        <v>338</v>
      </c>
      <c r="H288">
        <v>70</v>
      </c>
      <c r="I288">
        <v>30515</v>
      </c>
      <c r="J288">
        <v>57853</v>
      </c>
      <c r="K288">
        <v>156</v>
      </c>
      <c r="L288" t="s">
        <v>67</v>
      </c>
      <c r="M288" t="s">
        <v>62</v>
      </c>
      <c r="N288">
        <f>(  Posts__2[[#This Row],[Likes]]+Posts__2[[#This Row],[Comments]]+Posts__2[[#This Row],[Shares]] ) / Posts__2[[#This Row],[Impressions]]</f>
        <v>8.4548582664263475E-2</v>
      </c>
    </row>
    <row r="289" spans="1:14" x14ac:dyDescent="0.3">
      <c r="A289" t="s">
        <v>345</v>
      </c>
      <c r="B289" t="s">
        <v>7</v>
      </c>
      <c r="C289" s="12">
        <v>45513</v>
      </c>
      <c r="D289" t="s">
        <v>44</v>
      </c>
      <c r="E289" t="s">
        <v>26</v>
      </c>
      <c r="F289">
        <v>4877</v>
      </c>
      <c r="G289">
        <v>442</v>
      </c>
      <c r="H289">
        <v>236</v>
      </c>
      <c r="I289">
        <v>52673</v>
      </c>
      <c r="J289">
        <v>48241</v>
      </c>
      <c r="K289">
        <v>114</v>
      </c>
      <c r="L289" t="s">
        <v>70</v>
      </c>
      <c r="M289" t="s">
        <v>60</v>
      </c>
      <c r="N289">
        <f>(  Posts__2[[#This Row],[Likes]]+Posts__2[[#This Row],[Comments]]+Posts__2[[#This Row],[Shares]] ) / Posts__2[[#This Row],[Impressions]]</f>
        <v>0.10546200140489435</v>
      </c>
    </row>
    <row r="290" spans="1:14" x14ac:dyDescent="0.3">
      <c r="A290" t="s">
        <v>346</v>
      </c>
      <c r="B290" t="s">
        <v>10</v>
      </c>
      <c r="C290" s="12">
        <v>45678</v>
      </c>
      <c r="D290" t="s">
        <v>44</v>
      </c>
      <c r="E290" t="s">
        <v>12</v>
      </c>
      <c r="F290">
        <v>4918</v>
      </c>
      <c r="G290">
        <v>440</v>
      </c>
      <c r="H290">
        <v>149</v>
      </c>
      <c r="I290">
        <v>53269</v>
      </c>
      <c r="J290">
        <v>64370</v>
      </c>
      <c r="K290">
        <v>269</v>
      </c>
      <c r="L290" t="s">
        <v>33</v>
      </c>
      <c r="M290" t="s">
        <v>82</v>
      </c>
      <c r="N290">
        <f>(  Posts__2[[#This Row],[Likes]]+Posts__2[[#This Row],[Comments]]+Posts__2[[#This Row],[Shares]] ) / Posts__2[[#This Row],[Impressions]]</f>
        <v>0.10338095327488783</v>
      </c>
    </row>
    <row r="291" spans="1:14" x14ac:dyDescent="0.3">
      <c r="A291" t="s">
        <v>347</v>
      </c>
      <c r="B291" t="s">
        <v>7</v>
      </c>
      <c r="C291" s="12">
        <v>45517</v>
      </c>
      <c r="D291" t="s">
        <v>45</v>
      </c>
      <c r="E291" t="s">
        <v>15</v>
      </c>
      <c r="F291">
        <v>3418</v>
      </c>
      <c r="G291">
        <v>107</v>
      </c>
      <c r="H291">
        <v>221</v>
      </c>
      <c r="I291">
        <v>23927</v>
      </c>
      <c r="J291">
        <v>26182</v>
      </c>
      <c r="K291">
        <v>155</v>
      </c>
      <c r="L291" t="s">
        <v>30</v>
      </c>
      <c r="M291" t="s">
        <v>62</v>
      </c>
      <c r="N291">
        <f>(  Posts__2[[#This Row],[Likes]]+Posts__2[[#This Row],[Comments]]+Posts__2[[#This Row],[Shares]] ) / Posts__2[[#This Row],[Impressions]]</f>
        <v>0.1565595352530614</v>
      </c>
    </row>
    <row r="292" spans="1:14" x14ac:dyDescent="0.3">
      <c r="A292" t="s">
        <v>348</v>
      </c>
      <c r="B292" t="s">
        <v>10</v>
      </c>
      <c r="C292" s="12">
        <v>45472</v>
      </c>
      <c r="D292" t="s">
        <v>45</v>
      </c>
      <c r="E292" t="s">
        <v>78</v>
      </c>
      <c r="F292">
        <v>2088</v>
      </c>
      <c r="G292">
        <v>490</v>
      </c>
      <c r="H292">
        <v>124</v>
      </c>
      <c r="I292">
        <v>46544</v>
      </c>
      <c r="J292">
        <v>69346</v>
      </c>
      <c r="K292">
        <v>178</v>
      </c>
      <c r="L292" t="s">
        <v>59</v>
      </c>
      <c r="M292" t="s">
        <v>60</v>
      </c>
      <c r="N292">
        <f>(  Posts__2[[#This Row],[Likes]]+Posts__2[[#This Row],[Comments]]+Posts__2[[#This Row],[Shares]] ) / Posts__2[[#This Row],[Impressions]]</f>
        <v>5.8052595393606049E-2</v>
      </c>
    </row>
    <row r="293" spans="1:14" x14ac:dyDescent="0.3">
      <c r="A293" t="s">
        <v>349</v>
      </c>
      <c r="B293" t="s">
        <v>7</v>
      </c>
      <c r="C293" s="12">
        <v>45599</v>
      </c>
      <c r="D293" t="s">
        <v>44</v>
      </c>
      <c r="E293" t="s">
        <v>15</v>
      </c>
      <c r="F293">
        <v>3061</v>
      </c>
      <c r="G293">
        <v>320</v>
      </c>
      <c r="H293">
        <v>76</v>
      </c>
      <c r="I293">
        <v>26640</v>
      </c>
      <c r="J293">
        <v>24306</v>
      </c>
      <c r="K293">
        <v>112</v>
      </c>
      <c r="L293" t="s">
        <v>64</v>
      </c>
      <c r="M293" t="s">
        <v>60</v>
      </c>
      <c r="N293">
        <f>(  Posts__2[[#This Row],[Likes]]+Posts__2[[#This Row],[Comments]]+Posts__2[[#This Row],[Shares]] ) / Posts__2[[#This Row],[Impressions]]</f>
        <v>0.12976726726726726</v>
      </c>
    </row>
    <row r="294" spans="1:14" x14ac:dyDescent="0.3">
      <c r="A294" t="s">
        <v>350</v>
      </c>
      <c r="B294" t="s">
        <v>13</v>
      </c>
      <c r="C294" s="12">
        <v>45765</v>
      </c>
      <c r="D294" t="s">
        <v>46</v>
      </c>
      <c r="E294" t="s">
        <v>78</v>
      </c>
      <c r="F294">
        <v>1265</v>
      </c>
      <c r="G294">
        <v>230</v>
      </c>
      <c r="H294">
        <v>364</v>
      </c>
      <c r="I294">
        <v>41312</v>
      </c>
      <c r="J294">
        <v>50382</v>
      </c>
      <c r="K294">
        <v>106</v>
      </c>
      <c r="L294" t="s">
        <v>84</v>
      </c>
      <c r="M294" t="s">
        <v>85</v>
      </c>
      <c r="N294">
        <f>(  Posts__2[[#This Row],[Likes]]+Posts__2[[#This Row],[Comments]]+Posts__2[[#This Row],[Shares]] ) / Posts__2[[#This Row],[Impressions]]</f>
        <v>4.4999031758326875E-2</v>
      </c>
    </row>
    <row r="295" spans="1:14" x14ac:dyDescent="0.3">
      <c r="A295" t="s">
        <v>351</v>
      </c>
      <c r="B295" t="s">
        <v>10</v>
      </c>
      <c r="C295" s="12">
        <v>45653</v>
      </c>
      <c r="D295" t="s">
        <v>45</v>
      </c>
      <c r="E295" t="s">
        <v>26</v>
      </c>
      <c r="F295">
        <v>1436</v>
      </c>
      <c r="G295">
        <v>219</v>
      </c>
      <c r="H295">
        <v>229</v>
      </c>
      <c r="I295">
        <v>58488</v>
      </c>
      <c r="J295">
        <v>24314</v>
      </c>
      <c r="K295">
        <v>147</v>
      </c>
      <c r="L295" t="s">
        <v>27</v>
      </c>
      <c r="M295" t="s">
        <v>62</v>
      </c>
      <c r="N295">
        <f>(  Posts__2[[#This Row],[Likes]]+Posts__2[[#This Row],[Comments]]+Posts__2[[#This Row],[Shares]] ) / Posts__2[[#This Row],[Impressions]]</f>
        <v>3.221173574066475E-2</v>
      </c>
    </row>
    <row r="296" spans="1:14" x14ac:dyDescent="0.3">
      <c r="A296" t="s">
        <v>352</v>
      </c>
      <c r="B296" t="s">
        <v>10</v>
      </c>
      <c r="C296" s="12">
        <v>45724</v>
      </c>
      <c r="D296" t="s">
        <v>44</v>
      </c>
      <c r="E296" t="s">
        <v>32</v>
      </c>
      <c r="F296">
        <v>2244</v>
      </c>
      <c r="G296">
        <v>392</v>
      </c>
      <c r="H296">
        <v>231</v>
      </c>
      <c r="I296">
        <v>25834</v>
      </c>
      <c r="J296">
        <v>50906</v>
      </c>
      <c r="K296">
        <v>165</v>
      </c>
      <c r="L296" t="s">
        <v>33</v>
      </c>
      <c r="M296" t="s">
        <v>82</v>
      </c>
      <c r="N296">
        <f>(  Posts__2[[#This Row],[Likes]]+Posts__2[[#This Row],[Comments]]+Posts__2[[#This Row],[Shares]] ) / Posts__2[[#This Row],[Impressions]]</f>
        <v>0.1109777812185492</v>
      </c>
    </row>
    <row r="297" spans="1:14" x14ac:dyDescent="0.3">
      <c r="A297" t="s">
        <v>353</v>
      </c>
      <c r="B297" t="s">
        <v>7</v>
      </c>
      <c r="C297" s="12">
        <v>45736</v>
      </c>
      <c r="D297" t="s">
        <v>44</v>
      </c>
      <c r="E297" t="s">
        <v>78</v>
      </c>
      <c r="F297">
        <v>3393</v>
      </c>
      <c r="G297">
        <v>104</v>
      </c>
      <c r="H297">
        <v>79</v>
      </c>
      <c r="I297">
        <v>30025</v>
      </c>
      <c r="J297">
        <v>21593</v>
      </c>
      <c r="K297">
        <v>165</v>
      </c>
      <c r="L297" t="s">
        <v>64</v>
      </c>
      <c r="M297" t="s">
        <v>60</v>
      </c>
      <c r="N297">
        <f>(  Posts__2[[#This Row],[Likes]]+Posts__2[[#This Row],[Comments]]+Posts__2[[#This Row],[Shares]] ) / Posts__2[[#This Row],[Impressions]]</f>
        <v>0.1191007493755204</v>
      </c>
    </row>
    <row r="298" spans="1:14" x14ac:dyDescent="0.3">
      <c r="A298" t="s">
        <v>354</v>
      </c>
      <c r="B298" t="s">
        <v>7</v>
      </c>
      <c r="C298" s="12">
        <v>45612</v>
      </c>
      <c r="D298" t="s">
        <v>45</v>
      </c>
      <c r="E298" t="s">
        <v>15</v>
      </c>
      <c r="F298">
        <v>2901</v>
      </c>
      <c r="G298">
        <v>108</v>
      </c>
      <c r="H298">
        <v>86</v>
      </c>
      <c r="I298">
        <v>51777</v>
      </c>
      <c r="J298">
        <v>23773</v>
      </c>
      <c r="K298">
        <v>160</v>
      </c>
      <c r="L298" t="s">
        <v>30</v>
      </c>
      <c r="M298" t="s">
        <v>62</v>
      </c>
      <c r="N298">
        <f>(  Posts__2[[#This Row],[Likes]]+Posts__2[[#This Row],[Comments]]+Posts__2[[#This Row],[Shares]] ) / Posts__2[[#This Row],[Impressions]]</f>
        <v>5.9775576027966085E-2</v>
      </c>
    </row>
    <row r="299" spans="1:14" x14ac:dyDescent="0.3">
      <c r="A299" t="s">
        <v>355</v>
      </c>
      <c r="B299" t="s">
        <v>7</v>
      </c>
      <c r="C299" s="12">
        <v>45838</v>
      </c>
      <c r="D299" t="s">
        <v>45</v>
      </c>
      <c r="E299" t="s">
        <v>23</v>
      </c>
      <c r="F299">
        <v>2275</v>
      </c>
      <c r="G299">
        <v>285</v>
      </c>
      <c r="H299">
        <v>125</v>
      </c>
      <c r="I299">
        <v>43970</v>
      </c>
      <c r="J299">
        <v>74761</v>
      </c>
      <c r="K299">
        <v>83</v>
      </c>
      <c r="L299" t="s">
        <v>33</v>
      </c>
      <c r="M299" t="s">
        <v>60</v>
      </c>
      <c r="N299">
        <f>(  Posts__2[[#This Row],[Likes]]+Posts__2[[#This Row],[Comments]]+Posts__2[[#This Row],[Shares]] ) / Posts__2[[#This Row],[Impressions]]</f>
        <v>6.1064362065044349E-2</v>
      </c>
    </row>
    <row r="300" spans="1:14" x14ac:dyDescent="0.3">
      <c r="A300" t="s">
        <v>356</v>
      </c>
      <c r="B300" t="s">
        <v>7</v>
      </c>
      <c r="C300" s="12">
        <v>45303</v>
      </c>
      <c r="D300" t="s">
        <v>44</v>
      </c>
      <c r="E300" t="s">
        <v>29</v>
      </c>
      <c r="F300">
        <v>2227</v>
      </c>
      <c r="G300">
        <v>494</v>
      </c>
      <c r="H300">
        <v>161</v>
      </c>
      <c r="I300">
        <v>51651</v>
      </c>
      <c r="J300">
        <v>68074</v>
      </c>
      <c r="K300">
        <v>240</v>
      </c>
      <c r="L300" t="s">
        <v>70</v>
      </c>
      <c r="M300" t="s">
        <v>60</v>
      </c>
      <c r="N300">
        <f>(  Posts__2[[#This Row],[Likes]]+Posts__2[[#This Row],[Comments]]+Posts__2[[#This Row],[Shares]] ) / Posts__2[[#This Row],[Impressions]]</f>
        <v>5.5797564422760453E-2</v>
      </c>
    </row>
    <row r="301" spans="1:14" x14ac:dyDescent="0.3">
      <c r="A301" t="s">
        <v>357</v>
      </c>
      <c r="B301" t="s">
        <v>10</v>
      </c>
      <c r="C301" s="12">
        <v>45329</v>
      </c>
      <c r="D301" t="s">
        <v>45</v>
      </c>
      <c r="E301" t="s">
        <v>35</v>
      </c>
      <c r="F301">
        <v>1883</v>
      </c>
      <c r="G301">
        <v>432</v>
      </c>
      <c r="H301">
        <v>397</v>
      </c>
      <c r="I301">
        <v>28759</v>
      </c>
      <c r="J301">
        <v>18691</v>
      </c>
      <c r="K301">
        <v>270</v>
      </c>
      <c r="L301" t="s">
        <v>59</v>
      </c>
      <c r="M301" t="s">
        <v>60</v>
      </c>
      <c r="N301">
        <f>(  Posts__2[[#This Row],[Likes]]+Posts__2[[#This Row],[Comments]]+Posts__2[[#This Row],[Shares]] ) / Posts__2[[#This Row],[Impressions]]</f>
        <v>9.4300914496331587E-2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D669C-4BD5-4261-BA6E-9508027EEE50}">
  <dimension ref="A1:M484"/>
  <sheetViews>
    <sheetView workbookViewId="0">
      <selection activeCell="H14" sqref="H14"/>
    </sheetView>
  </sheetViews>
  <sheetFormatPr defaultRowHeight="14.4" x14ac:dyDescent="0.3"/>
  <cols>
    <col min="1" max="1" width="9.109375" bestFit="1" customWidth="1"/>
    <col min="2" max="2" width="10.5546875" bestFit="1" customWidth="1"/>
    <col min="3" max="3" width="10.33203125" bestFit="1" customWidth="1"/>
    <col min="4" max="4" width="14.5546875" bestFit="1" customWidth="1"/>
    <col min="5" max="5" width="36.77734375" bestFit="1" customWidth="1"/>
    <col min="6" max="6" width="7.33203125" bestFit="1" customWidth="1"/>
    <col min="7" max="7" width="8.77734375" bestFit="1" customWidth="1"/>
    <col min="8" max="8" width="12.33203125" bestFit="1" customWidth="1"/>
    <col min="9" max="9" width="13.21875" bestFit="1" customWidth="1"/>
    <col min="10" max="10" width="8.33203125" bestFit="1" customWidth="1"/>
    <col min="11" max="11" width="7.88671875" bestFit="1" customWidth="1"/>
    <col min="12" max="12" width="17.21875" bestFit="1" customWidth="1"/>
    <col min="13" max="13" width="17.77734375" bestFit="1" customWidth="1"/>
  </cols>
  <sheetData>
    <row r="1" spans="1:13" x14ac:dyDescent="0.3">
      <c r="A1" s="13" t="s">
        <v>4</v>
      </c>
      <c r="B1" s="13" t="s">
        <v>2</v>
      </c>
      <c r="C1" s="13" t="s">
        <v>48</v>
      </c>
      <c r="D1" s="13" t="s">
        <v>40</v>
      </c>
      <c r="E1" s="13" t="s">
        <v>5</v>
      </c>
      <c r="F1" s="13" t="s">
        <v>49</v>
      </c>
      <c r="G1" s="13" t="s">
        <v>50</v>
      </c>
      <c r="H1" s="13" t="s">
        <v>51</v>
      </c>
      <c r="I1" s="13" t="s">
        <v>52</v>
      </c>
      <c r="J1" s="13" t="s">
        <v>53</v>
      </c>
      <c r="K1" s="13" t="s">
        <v>54</v>
      </c>
      <c r="L1" s="13" t="s">
        <v>55</v>
      </c>
      <c r="M1" s="13" t="s">
        <v>56</v>
      </c>
    </row>
    <row r="2" spans="1:13" x14ac:dyDescent="0.3">
      <c r="A2" s="14" t="s">
        <v>58</v>
      </c>
      <c r="B2" s="14" t="s">
        <v>10</v>
      </c>
      <c r="C2" s="15">
        <v>45781</v>
      </c>
      <c r="D2" s="14" t="s">
        <v>45</v>
      </c>
      <c r="E2" s="14" t="s">
        <v>19</v>
      </c>
      <c r="F2" s="14">
        <v>2414</v>
      </c>
      <c r="G2" s="14">
        <v>245</v>
      </c>
      <c r="H2" s="14">
        <v>137</v>
      </c>
      <c r="I2" s="14">
        <v>21181</v>
      </c>
      <c r="J2" s="14">
        <v>45292</v>
      </c>
      <c r="K2" s="14">
        <v>133</v>
      </c>
      <c r="L2" s="14" t="s">
        <v>30</v>
      </c>
      <c r="M2" s="14" t="s">
        <v>60</v>
      </c>
    </row>
    <row r="3" spans="1:13" x14ac:dyDescent="0.3">
      <c r="A3" t="s">
        <v>58</v>
      </c>
      <c r="B3" t="s">
        <v>10</v>
      </c>
      <c r="C3" s="12">
        <v>45781</v>
      </c>
      <c r="D3" t="s">
        <v>45</v>
      </c>
      <c r="E3" t="s">
        <v>19</v>
      </c>
      <c r="F3">
        <v>2414</v>
      </c>
      <c r="G3">
        <v>245</v>
      </c>
      <c r="H3">
        <v>137</v>
      </c>
      <c r="I3">
        <v>21181</v>
      </c>
      <c r="J3">
        <v>45292</v>
      </c>
      <c r="K3">
        <v>133</v>
      </c>
      <c r="L3" t="s">
        <v>33</v>
      </c>
      <c r="M3" t="s">
        <v>60</v>
      </c>
    </row>
    <row r="4" spans="1:13" x14ac:dyDescent="0.3">
      <c r="A4" s="14" t="s">
        <v>61</v>
      </c>
      <c r="B4" s="14" t="s">
        <v>10</v>
      </c>
      <c r="C4" s="15">
        <v>45689</v>
      </c>
      <c r="D4" s="14" t="s">
        <v>45</v>
      </c>
      <c r="E4" s="14" t="s">
        <v>15</v>
      </c>
      <c r="F4" s="14">
        <v>1934</v>
      </c>
      <c r="G4" s="14">
        <v>210</v>
      </c>
      <c r="H4" s="14">
        <v>393</v>
      </c>
      <c r="I4" s="14">
        <v>29129</v>
      </c>
      <c r="J4" s="14">
        <v>73287</v>
      </c>
      <c r="K4" s="14">
        <v>273</v>
      </c>
      <c r="L4" s="14" t="s">
        <v>27</v>
      </c>
      <c r="M4" s="14" t="s">
        <v>62</v>
      </c>
    </row>
    <row r="5" spans="1:13" x14ac:dyDescent="0.3">
      <c r="A5" t="s">
        <v>63</v>
      </c>
      <c r="B5" t="s">
        <v>7</v>
      </c>
      <c r="C5" s="12">
        <v>45629</v>
      </c>
      <c r="D5" t="s">
        <v>44</v>
      </c>
      <c r="E5" t="s">
        <v>12</v>
      </c>
      <c r="F5">
        <v>3092</v>
      </c>
      <c r="G5">
        <v>177</v>
      </c>
      <c r="H5">
        <v>81</v>
      </c>
      <c r="I5">
        <v>47533</v>
      </c>
      <c r="J5">
        <v>29220</v>
      </c>
      <c r="K5">
        <v>121</v>
      </c>
      <c r="L5" t="s">
        <v>36</v>
      </c>
      <c r="M5" t="s">
        <v>60</v>
      </c>
    </row>
    <row r="6" spans="1:13" x14ac:dyDescent="0.3">
      <c r="A6" s="14" t="s">
        <v>63</v>
      </c>
      <c r="B6" s="14" t="s">
        <v>7</v>
      </c>
      <c r="C6" s="15">
        <v>45629</v>
      </c>
      <c r="D6" s="14" t="s">
        <v>44</v>
      </c>
      <c r="E6" s="14" t="s">
        <v>12</v>
      </c>
      <c r="F6" s="14">
        <v>3092</v>
      </c>
      <c r="G6" s="14">
        <v>177</v>
      </c>
      <c r="H6" s="14">
        <v>81</v>
      </c>
      <c r="I6" s="14">
        <v>47533</v>
      </c>
      <c r="J6" s="14">
        <v>29220</v>
      </c>
      <c r="K6" s="14">
        <v>121</v>
      </c>
      <c r="L6" s="14" t="s">
        <v>33</v>
      </c>
      <c r="M6" s="14" t="s">
        <v>60</v>
      </c>
    </row>
    <row r="7" spans="1:13" x14ac:dyDescent="0.3">
      <c r="A7" t="s">
        <v>65</v>
      </c>
      <c r="B7" t="s">
        <v>10</v>
      </c>
      <c r="C7" s="12">
        <v>45629</v>
      </c>
      <c r="D7" t="s">
        <v>45</v>
      </c>
      <c r="E7" t="s">
        <v>29</v>
      </c>
      <c r="F7">
        <v>3173</v>
      </c>
      <c r="G7">
        <v>229</v>
      </c>
      <c r="H7">
        <v>197</v>
      </c>
      <c r="I7">
        <v>29604</v>
      </c>
      <c r="J7">
        <v>21809</v>
      </c>
      <c r="K7">
        <v>272</v>
      </c>
      <c r="L7" t="s">
        <v>30</v>
      </c>
      <c r="M7" t="s">
        <v>60</v>
      </c>
    </row>
    <row r="8" spans="1:13" x14ac:dyDescent="0.3">
      <c r="A8" s="14" t="s">
        <v>65</v>
      </c>
      <c r="B8" s="14" t="s">
        <v>10</v>
      </c>
      <c r="C8" s="15">
        <v>45629</v>
      </c>
      <c r="D8" s="14" t="s">
        <v>45</v>
      </c>
      <c r="E8" s="14" t="s">
        <v>29</v>
      </c>
      <c r="F8" s="14">
        <v>3173</v>
      </c>
      <c r="G8" s="14">
        <v>229</v>
      </c>
      <c r="H8" s="14">
        <v>197</v>
      </c>
      <c r="I8" s="14">
        <v>29604</v>
      </c>
      <c r="J8" s="14">
        <v>21809</v>
      </c>
      <c r="K8" s="14">
        <v>272</v>
      </c>
      <c r="L8" s="14" t="s">
        <v>33</v>
      </c>
      <c r="M8" s="14" t="s">
        <v>60</v>
      </c>
    </row>
    <row r="9" spans="1:13" x14ac:dyDescent="0.3">
      <c r="A9" t="s">
        <v>66</v>
      </c>
      <c r="B9" t="s">
        <v>13</v>
      </c>
      <c r="C9" s="12">
        <v>45388</v>
      </c>
      <c r="D9" t="s">
        <v>45</v>
      </c>
      <c r="E9" t="s">
        <v>35</v>
      </c>
      <c r="F9">
        <v>2748</v>
      </c>
      <c r="G9">
        <v>145</v>
      </c>
      <c r="H9">
        <v>315</v>
      </c>
      <c r="I9">
        <v>24401</v>
      </c>
      <c r="J9">
        <v>61182</v>
      </c>
      <c r="K9">
        <v>200</v>
      </c>
      <c r="L9" t="s">
        <v>27</v>
      </c>
      <c r="M9" t="s">
        <v>62</v>
      </c>
    </row>
    <row r="10" spans="1:13" x14ac:dyDescent="0.3">
      <c r="A10" s="14" t="s">
        <v>66</v>
      </c>
      <c r="B10" s="14" t="s">
        <v>13</v>
      </c>
      <c r="C10" s="15">
        <v>45388</v>
      </c>
      <c r="D10" s="14" t="s">
        <v>45</v>
      </c>
      <c r="E10" s="14" t="s">
        <v>35</v>
      </c>
      <c r="F10" s="14">
        <v>2748</v>
      </c>
      <c r="G10" s="14">
        <v>145</v>
      </c>
      <c r="H10" s="14">
        <v>315</v>
      </c>
      <c r="I10" s="14">
        <v>24401</v>
      </c>
      <c r="J10" s="14">
        <v>61182</v>
      </c>
      <c r="K10" s="14">
        <v>200</v>
      </c>
      <c r="L10" s="14" t="s">
        <v>24</v>
      </c>
      <c r="M10" s="14" t="s">
        <v>62</v>
      </c>
    </row>
    <row r="11" spans="1:13" x14ac:dyDescent="0.3">
      <c r="A11" t="s">
        <v>68</v>
      </c>
      <c r="B11" t="s">
        <v>13</v>
      </c>
      <c r="C11" s="12">
        <v>45456</v>
      </c>
      <c r="D11" t="s">
        <v>45</v>
      </c>
      <c r="E11" t="s">
        <v>23</v>
      </c>
      <c r="F11">
        <v>3882</v>
      </c>
      <c r="G11">
        <v>239</v>
      </c>
      <c r="H11">
        <v>275</v>
      </c>
      <c r="I11">
        <v>58748</v>
      </c>
      <c r="J11">
        <v>44646</v>
      </c>
      <c r="K11">
        <v>149</v>
      </c>
      <c r="L11" t="s">
        <v>27</v>
      </c>
      <c r="M11" t="s">
        <v>62</v>
      </c>
    </row>
    <row r="12" spans="1:13" x14ac:dyDescent="0.3">
      <c r="A12" s="14" t="s">
        <v>68</v>
      </c>
      <c r="B12" s="14" t="s">
        <v>13</v>
      </c>
      <c r="C12" s="15">
        <v>45456</v>
      </c>
      <c r="D12" s="14" t="s">
        <v>45</v>
      </c>
      <c r="E12" s="14" t="s">
        <v>23</v>
      </c>
      <c r="F12" s="14">
        <v>3882</v>
      </c>
      <c r="G12" s="14">
        <v>239</v>
      </c>
      <c r="H12" s="14">
        <v>275</v>
      </c>
      <c r="I12" s="14">
        <v>58748</v>
      </c>
      <c r="J12" s="14">
        <v>44646</v>
      </c>
      <c r="K12" s="14">
        <v>149</v>
      </c>
      <c r="L12" s="14" t="s">
        <v>24</v>
      </c>
      <c r="M12" s="14" t="s">
        <v>62</v>
      </c>
    </row>
    <row r="13" spans="1:13" x14ac:dyDescent="0.3">
      <c r="A13" t="s">
        <v>8</v>
      </c>
      <c r="B13" t="s">
        <v>7</v>
      </c>
      <c r="C13" s="12">
        <v>45645</v>
      </c>
      <c r="D13" t="s">
        <v>44</v>
      </c>
      <c r="E13" t="s">
        <v>9</v>
      </c>
      <c r="F13">
        <v>4674</v>
      </c>
      <c r="G13">
        <v>409</v>
      </c>
      <c r="H13">
        <v>327</v>
      </c>
      <c r="I13">
        <v>20756</v>
      </c>
      <c r="J13">
        <v>63599</v>
      </c>
      <c r="K13">
        <v>212</v>
      </c>
      <c r="L13" t="s">
        <v>30</v>
      </c>
      <c r="M13" t="s">
        <v>60</v>
      </c>
    </row>
    <row r="14" spans="1:13" x14ac:dyDescent="0.3">
      <c r="A14" s="14" t="s">
        <v>8</v>
      </c>
      <c r="B14" s="14" t="s">
        <v>7</v>
      </c>
      <c r="C14" s="15">
        <v>45645</v>
      </c>
      <c r="D14" s="14" t="s">
        <v>44</v>
      </c>
      <c r="E14" s="14" t="s">
        <v>9</v>
      </c>
      <c r="F14" s="14">
        <v>4674</v>
      </c>
      <c r="G14" s="14">
        <v>409</v>
      </c>
      <c r="H14" s="14">
        <v>327</v>
      </c>
      <c r="I14" s="14">
        <v>20756</v>
      </c>
      <c r="J14" s="14">
        <v>63599</v>
      </c>
      <c r="K14" s="14">
        <v>212</v>
      </c>
      <c r="L14" s="14" t="s">
        <v>33</v>
      </c>
      <c r="M14" s="14" t="s">
        <v>60</v>
      </c>
    </row>
    <row r="15" spans="1:13" x14ac:dyDescent="0.3">
      <c r="A15" t="s">
        <v>69</v>
      </c>
      <c r="B15" t="s">
        <v>7</v>
      </c>
      <c r="C15" s="12">
        <v>45421</v>
      </c>
      <c r="D15" t="s">
        <v>44</v>
      </c>
      <c r="E15" t="s">
        <v>29</v>
      </c>
      <c r="F15">
        <v>1428</v>
      </c>
      <c r="G15">
        <v>347</v>
      </c>
      <c r="H15">
        <v>67</v>
      </c>
      <c r="I15">
        <v>21148</v>
      </c>
      <c r="J15">
        <v>19712</v>
      </c>
      <c r="K15">
        <v>120</v>
      </c>
      <c r="L15" t="s">
        <v>27</v>
      </c>
      <c r="M15" t="s">
        <v>60</v>
      </c>
    </row>
    <row r="16" spans="1:13" x14ac:dyDescent="0.3">
      <c r="A16" s="14" t="s">
        <v>69</v>
      </c>
      <c r="B16" s="14" t="s">
        <v>7</v>
      </c>
      <c r="C16" s="15">
        <v>45421</v>
      </c>
      <c r="D16" s="14" t="s">
        <v>44</v>
      </c>
      <c r="E16" s="14" t="s">
        <v>29</v>
      </c>
      <c r="F16" s="14">
        <v>1428</v>
      </c>
      <c r="G16" s="14">
        <v>347</v>
      </c>
      <c r="H16" s="14">
        <v>67</v>
      </c>
      <c r="I16" s="14">
        <v>21148</v>
      </c>
      <c r="J16" s="14">
        <v>19712</v>
      </c>
      <c r="K16" s="14">
        <v>120</v>
      </c>
      <c r="L16" s="14" t="s">
        <v>36</v>
      </c>
      <c r="M16" s="14" t="s">
        <v>60</v>
      </c>
    </row>
    <row r="17" spans="1:13" x14ac:dyDescent="0.3">
      <c r="A17" t="s">
        <v>71</v>
      </c>
      <c r="B17" t="s">
        <v>7</v>
      </c>
      <c r="C17" s="12">
        <v>45823</v>
      </c>
      <c r="D17" t="s">
        <v>45</v>
      </c>
      <c r="E17" t="s">
        <v>32</v>
      </c>
      <c r="F17">
        <v>4432</v>
      </c>
      <c r="G17">
        <v>223</v>
      </c>
      <c r="H17">
        <v>299</v>
      </c>
      <c r="I17">
        <v>59016</v>
      </c>
      <c r="J17">
        <v>21742</v>
      </c>
      <c r="K17">
        <v>171</v>
      </c>
      <c r="L17" t="s">
        <v>33</v>
      </c>
      <c r="M17" t="s">
        <v>60</v>
      </c>
    </row>
    <row r="18" spans="1:13" x14ac:dyDescent="0.3">
      <c r="A18" s="14" t="s">
        <v>72</v>
      </c>
      <c r="B18" s="14" t="s">
        <v>7</v>
      </c>
      <c r="C18" s="15">
        <v>45630</v>
      </c>
      <c r="D18" s="14" t="s">
        <v>45</v>
      </c>
      <c r="E18" s="14" t="s">
        <v>29</v>
      </c>
      <c r="F18" s="14">
        <v>2357</v>
      </c>
      <c r="G18" s="14">
        <v>274</v>
      </c>
      <c r="H18" s="14">
        <v>172</v>
      </c>
      <c r="I18" s="14">
        <v>21566</v>
      </c>
      <c r="J18" s="14">
        <v>66829</v>
      </c>
      <c r="K18" s="14">
        <v>284</v>
      </c>
      <c r="L18" s="14" t="s">
        <v>33</v>
      </c>
      <c r="M18" s="14" t="s">
        <v>60</v>
      </c>
    </row>
    <row r="19" spans="1:13" x14ac:dyDescent="0.3">
      <c r="A19" t="s">
        <v>73</v>
      </c>
      <c r="B19" t="s">
        <v>7</v>
      </c>
      <c r="C19" s="12">
        <v>45357</v>
      </c>
      <c r="D19" t="s">
        <v>45</v>
      </c>
      <c r="E19" t="s">
        <v>19</v>
      </c>
      <c r="F19">
        <v>1971</v>
      </c>
      <c r="G19">
        <v>370</v>
      </c>
      <c r="H19">
        <v>306</v>
      </c>
      <c r="I19">
        <v>31316</v>
      </c>
      <c r="J19">
        <v>27897</v>
      </c>
      <c r="K19">
        <v>88</v>
      </c>
      <c r="L19" t="s">
        <v>30</v>
      </c>
      <c r="M19" t="s">
        <v>62</v>
      </c>
    </row>
    <row r="20" spans="1:13" x14ac:dyDescent="0.3">
      <c r="A20" s="14" t="s">
        <v>74</v>
      </c>
      <c r="B20" s="14" t="s">
        <v>10</v>
      </c>
      <c r="C20" s="15">
        <v>45426</v>
      </c>
      <c r="D20" s="14" t="s">
        <v>45</v>
      </c>
      <c r="E20" s="14" t="s">
        <v>19</v>
      </c>
      <c r="F20" s="14">
        <v>1485</v>
      </c>
      <c r="G20" s="14">
        <v>353</v>
      </c>
      <c r="H20" s="14">
        <v>244</v>
      </c>
      <c r="I20" s="14">
        <v>38419</v>
      </c>
      <c r="J20" s="14">
        <v>38556</v>
      </c>
      <c r="K20" s="14">
        <v>86</v>
      </c>
      <c r="L20" s="14" t="s">
        <v>30</v>
      </c>
      <c r="M20" s="14" t="s">
        <v>60</v>
      </c>
    </row>
    <row r="21" spans="1:13" x14ac:dyDescent="0.3">
      <c r="A21" t="s">
        <v>74</v>
      </c>
      <c r="B21" t="s">
        <v>10</v>
      </c>
      <c r="C21" s="12">
        <v>45426</v>
      </c>
      <c r="D21" t="s">
        <v>45</v>
      </c>
      <c r="E21" t="s">
        <v>19</v>
      </c>
      <c r="F21">
        <v>1485</v>
      </c>
      <c r="G21">
        <v>353</v>
      </c>
      <c r="H21">
        <v>244</v>
      </c>
      <c r="I21">
        <v>38419</v>
      </c>
      <c r="J21">
        <v>38556</v>
      </c>
      <c r="K21">
        <v>86</v>
      </c>
      <c r="L21" t="s">
        <v>33</v>
      </c>
      <c r="M21" t="s">
        <v>60</v>
      </c>
    </row>
    <row r="22" spans="1:13" x14ac:dyDescent="0.3">
      <c r="A22" s="14" t="s">
        <v>75</v>
      </c>
      <c r="B22" s="14" t="s">
        <v>7</v>
      </c>
      <c r="C22" s="15">
        <v>45826</v>
      </c>
      <c r="D22" s="14" t="s">
        <v>44</v>
      </c>
      <c r="E22" s="14" t="s">
        <v>19</v>
      </c>
      <c r="F22" s="14">
        <v>3956</v>
      </c>
      <c r="G22" s="14">
        <v>319</v>
      </c>
      <c r="H22" s="14">
        <v>61</v>
      </c>
      <c r="I22" s="14">
        <v>58162</v>
      </c>
      <c r="J22" s="14">
        <v>28720</v>
      </c>
      <c r="K22" s="14">
        <v>213</v>
      </c>
      <c r="L22" s="14" t="s">
        <v>36</v>
      </c>
      <c r="M22" s="14" t="s">
        <v>60</v>
      </c>
    </row>
    <row r="23" spans="1:13" x14ac:dyDescent="0.3">
      <c r="A23" t="s">
        <v>75</v>
      </c>
      <c r="B23" t="s">
        <v>7</v>
      </c>
      <c r="C23" s="12">
        <v>45826</v>
      </c>
      <c r="D23" t="s">
        <v>44</v>
      </c>
      <c r="E23" t="s">
        <v>19</v>
      </c>
      <c r="F23">
        <v>3956</v>
      </c>
      <c r="G23">
        <v>319</v>
      </c>
      <c r="H23">
        <v>61</v>
      </c>
      <c r="I23">
        <v>58162</v>
      </c>
      <c r="J23">
        <v>28720</v>
      </c>
      <c r="K23">
        <v>213</v>
      </c>
      <c r="L23" t="s">
        <v>33</v>
      </c>
      <c r="M23" t="s">
        <v>60</v>
      </c>
    </row>
    <row r="24" spans="1:13" x14ac:dyDescent="0.3">
      <c r="A24" s="14" t="s">
        <v>76</v>
      </c>
      <c r="B24" s="14" t="s">
        <v>7</v>
      </c>
      <c r="C24" s="15">
        <v>45573</v>
      </c>
      <c r="D24" s="14" t="s">
        <v>45</v>
      </c>
      <c r="E24" s="14" t="s">
        <v>26</v>
      </c>
      <c r="F24" s="14">
        <v>2460</v>
      </c>
      <c r="G24" s="14">
        <v>409</v>
      </c>
      <c r="H24" s="14">
        <v>253</v>
      </c>
      <c r="I24" s="14">
        <v>36702</v>
      </c>
      <c r="J24" s="14">
        <v>46122</v>
      </c>
      <c r="K24" s="14">
        <v>264</v>
      </c>
      <c r="L24" s="14" t="s">
        <v>33</v>
      </c>
      <c r="M24" s="14" t="s">
        <v>60</v>
      </c>
    </row>
    <row r="25" spans="1:13" x14ac:dyDescent="0.3">
      <c r="A25" t="s">
        <v>77</v>
      </c>
      <c r="B25" t="s">
        <v>7</v>
      </c>
      <c r="C25" s="12">
        <v>45418</v>
      </c>
      <c r="D25" t="s">
        <v>45</v>
      </c>
      <c r="E25" t="s">
        <v>78</v>
      </c>
      <c r="F25">
        <v>3476</v>
      </c>
      <c r="G25">
        <v>355</v>
      </c>
      <c r="H25">
        <v>396</v>
      </c>
      <c r="I25">
        <v>37492</v>
      </c>
      <c r="J25">
        <v>27285</v>
      </c>
      <c r="K25">
        <v>179</v>
      </c>
      <c r="L25" t="s">
        <v>33</v>
      </c>
      <c r="M25" t="s">
        <v>60</v>
      </c>
    </row>
    <row r="26" spans="1:13" x14ac:dyDescent="0.3">
      <c r="A26" s="14" t="s">
        <v>79</v>
      </c>
      <c r="B26" s="14" t="s">
        <v>7</v>
      </c>
      <c r="C26" s="15">
        <v>45655</v>
      </c>
      <c r="D26" s="14" t="s">
        <v>44</v>
      </c>
      <c r="E26" s="14" t="s">
        <v>12</v>
      </c>
      <c r="F26" s="14">
        <v>4049</v>
      </c>
      <c r="G26" s="14">
        <v>377</v>
      </c>
      <c r="H26" s="14">
        <v>94</v>
      </c>
      <c r="I26" s="14">
        <v>48182</v>
      </c>
      <c r="J26" s="14">
        <v>42875</v>
      </c>
      <c r="K26" s="14">
        <v>172</v>
      </c>
      <c r="L26" s="14" t="s">
        <v>36</v>
      </c>
      <c r="M26" s="14" t="s">
        <v>60</v>
      </c>
    </row>
    <row r="27" spans="1:13" x14ac:dyDescent="0.3">
      <c r="A27" t="s">
        <v>79</v>
      </c>
      <c r="B27" t="s">
        <v>7</v>
      </c>
      <c r="C27" s="12">
        <v>45655</v>
      </c>
      <c r="D27" t="s">
        <v>44</v>
      </c>
      <c r="E27" t="s">
        <v>12</v>
      </c>
      <c r="F27">
        <v>4049</v>
      </c>
      <c r="G27">
        <v>377</v>
      </c>
      <c r="H27">
        <v>94</v>
      </c>
      <c r="I27">
        <v>48182</v>
      </c>
      <c r="J27">
        <v>42875</v>
      </c>
      <c r="K27">
        <v>172</v>
      </c>
      <c r="L27" t="s">
        <v>33</v>
      </c>
      <c r="M27" t="s">
        <v>60</v>
      </c>
    </row>
    <row r="28" spans="1:13" x14ac:dyDescent="0.3">
      <c r="A28" s="14" t="s">
        <v>80</v>
      </c>
      <c r="B28" s="14" t="s">
        <v>7</v>
      </c>
      <c r="C28" s="15">
        <v>45453</v>
      </c>
      <c r="D28" s="14" t="s">
        <v>45</v>
      </c>
      <c r="E28" s="14" t="s">
        <v>23</v>
      </c>
      <c r="F28" s="14">
        <v>1514</v>
      </c>
      <c r="G28" s="14">
        <v>164</v>
      </c>
      <c r="H28" s="14">
        <v>275</v>
      </c>
      <c r="I28" s="14">
        <v>41364</v>
      </c>
      <c r="J28" s="14">
        <v>44389</v>
      </c>
      <c r="K28" s="14">
        <v>83</v>
      </c>
      <c r="L28" s="14" t="s">
        <v>33</v>
      </c>
      <c r="M28" s="14" t="s">
        <v>60</v>
      </c>
    </row>
    <row r="29" spans="1:13" x14ac:dyDescent="0.3">
      <c r="A29" t="s">
        <v>81</v>
      </c>
      <c r="B29" t="s">
        <v>10</v>
      </c>
      <c r="C29" s="12">
        <v>45325</v>
      </c>
      <c r="D29" t="s">
        <v>44</v>
      </c>
      <c r="E29" t="s">
        <v>35</v>
      </c>
      <c r="F29">
        <v>4281</v>
      </c>
      <c r="G29">
        <v>101</v>
      </c>
      <c r="H29">
        <v>163</v>
      </c>
      <c r="I29">
        <v>32278</v>
      </c>
      <c r="J29">
        <v>53382</v>
      </c>
      <c r="K29">
        <v>235</v>
      </c>
      <c r="L29" t="s">
        <v>33</v>
      </c>
      <c r="M29" t="s">
        <v>82</v>
      </c>
    </row>
    <row r="30" spans="1:13" x14ac:dyDescent="0.3">
      <c r="A30" s="14" t="s">
        <v>83</v>
      </c>
      <c r="B30" s="14" t="s">
        <v>13</v>
      </c>
      <c r="C30" s="15">
        <v>45458</v>
      </c>
      <c r="D30" s="14" t="s">
        <v>46</v>
      </c>
      <c r="E30" s="14" t="s">
        <v>9</v>
      </c>
      <c r="F30" s="14">
        <v>1751</v>
      </c>
      <c r="G30" s="14">
        <v>143</v>
      </c>
      <c r="H30" s="14">
        <v>151</v>
      </c>
      <c r="I30" s="14">
        <v>31826</v>
      </c>
      <c r="J30" s="14">
        <v>47729</v>
      </c>
      <c r="K30" s="14">
        <v>95</v>
      </c>
      <c r="L30" s="14" t="s">
        <v>27</v>
      </c>
      <c r="M30" s="14" t="s">
        <v>85</v>
      </c>
    </row>
    <row r="31" spans="1:13" x14ac:dyDescent="0.3">
      <c r="A31" t="s">
        <v>83</v>
      </c>
      <c r="B31" t="s">
        <v>13</v>
      </c>
      <c r="C31" s="12">
        <v>45458</v>
      </c>
      <c r="D31" t="s">
        <v>46</v>
      </c>
      <c r="E31" t="s">
        <v>9</v>
      </c>
      <c r="F31">
        <v>1751</v>
      </c>
      <c r="G31">
        <v>143</v>
      </c>
      <c r="H31">
        <v>151</v>
      </c>
      <c r="I31">
        <v>31826</v>
      </c>
      <c r="J31">
        <v>47729</v>
      </c>
      <c r="K31">
        <v>95</v>
      </c>
      <c r="L31" t="s">
        <v>30</v>
      </c>
      <c r="M31" t="s">
        <v>85</v>
      </c>
    </row>
    <row r="32" spans="1:13" x14ac:dyDescent="0.3">
      <c r="A32" s="14" t="s">
        <v>86</v>
      </c>
      <c r="B32" s="14" t="s">
        <v>10</v>
      </c>
      <c r="C32" s="15">
        <v>45478</v>
      </c>
      <c r="D32" s="14" t="s">
        <v>45</v>
      </c>
      <c r="E32" s="14" t="s">
        <v>78</v>
      </c>
      <c r="F32" s="14">
        <v>3753</v>
      </c>
      <c r="G32" s="14">
        <v>411</v>
      </c>
      <c r="H32" s="14">
        <v>308</v>
      </c>
      <c r="I32" s="14">
        <v>29138</v>
      </c>
      <c r="J32" s="14">
        <v>27678</v>
      </c>
      <c r="K32" s="14">
        <v>90</v>
      </c>
      <c r="L32" s="14" t="s">
        <v>27</v>
      </c>
      <c r="M32" s="14" t="s">
        <v>62</v>
      </c>
    </row>
    <row r="33" spans="1:13" x14ac:dyDescent="0.3">
      <c r="A33" t="s">
        <v>87</v>
      </c>
      <c r="B33" t="s">
        <v>10</v>
      </c>
      <c r="C33" s="12">
        <v>45603</v>
      </c>
      <c r="D33" t="s">
        <v>44</v>
      </c>
      <c r="E33" t="s">
        <v>29</v>
      </c>
      <c r="F33">
        <v>1678</v>
      </c>
      <c r="G33">
        <v>423</v>
      </c>
      <c r="H33">
        <v>323</v>
      </c>
      <c r="I33">
        <v>55668</v>
      </c>
      <c r="J33">
        <v>37945</v>
      </c>
      <c r="K33">
        <v>230</v>
      </c>
      <c r="L33" t="s">
        <v>33</v>
      </c>
      <c r="M33" t="s">
        <v>82</v>
      </c>
    </row>
    <row r="34" spans="1:13" x14ac:dyDescent="0.3">
      <c r="A34" t="s">
        <v>22</v>
      </c>
      <c r="B34" t="s">
        <v>10</v>
      </c>
      <c r="C34" s="12">
        <v>45823</v>
      </c>
      <c r="D34" t="s">
        <v>45</v>
      </c>
      <c r="E34" t="s">
        <v>23</v>
      </c>
      <c r="F34">
        <v>4896</v>
      </c>
      <c r="G34">
        <v>466</v>
      </c>
      <c r="H34">
        <v>233</v>
      </c>
      <c r="I34">
        <v>28621</v>
      </c>
      <c r="J34">
        <v>34270</v>
      </c>
      <c r="K34">
        <v>84</v>
      </c>
      <c r="L34" t="s">
        <v>30</v>
      </c>
      <c r="M34" t="s">
        <v>60</v>
      </c>
    </row>
    <row r="35" spans="1:13" x14ac:dyDescent="0.3">
      <c r="A35" t="s">
        <v>22</v>
      </c>
      <c r="B35" t="s">
        <v>10</v>
      </c>
      <c r="C35" s="12">
        <v>45823</v>
      </c>
      <c r="D35" t="s">
        <v>45</v>
      </c>
      <c r="E35" t="s">
        <v>23</v>
      </c>
      <c r="F35">
        <v>4896</v>
      </c>
      <c r="G35">
        <v>466</v>
      </c>
      <c r="H35">
        <v>233</v>
      </c>
      <c r="I35">
        <v>28621</v>
      </c>
      <c r="J35">
        <v>34270</v>
      </c>
      <c r="K35">
        <v>84</v>
      </c>
      <c r="L35" t="s">
        <v>33</v>
      </c>
      <c r="M35" t="s">
        <v>60</v>
      </c>
    </row>
    <row r="36" spans="1:13" x14ac:dyDescent="0.3">
      <c r="A36" t="s">
        <v>88</v>
      </c>
      <c r="B36" t="s">
        <v>13</v>
      </c>
      <c r="C36" s="12">
        <v>45452</v>
      </c>
      <c r="D36" t="s">
        <v>46</v>
      </c>
      <c r="E36" t="s">
        <v>26</v>
      </c>
      <c r="F36">
        <v>2786</v>
      </c>
      <c r="G36">
        <v>368</v>
      </c>
      <c r="H36">
        <v>208</v>
      </c>
      <c r="I36">
        <v>42000</v>
      </c>
      <c r="J36">
        <v>39967</v>
      </c>
      <c r="K36">
        <v>103</v>
      </c>
      <c r="L36" t="s">
        <v>27</v>
      </c>
      <c r="M36" t="s">
        <v>85</v>
      </c>
    </row>
    <row r="37" spans="1:13" x14ac:dyDescent="0.3">
      <c r="A37" t="s">
        <v>88</v>
      </c>
      <c r="B37" t="s">
        <v>13</v>
      </c>
      <c r="C37" s="12">
        <v>45452</v>
      </c>
      <c r="D37" t="s">
        <v>46</v>
      </c>
      <c r="E37" t="s">
        <v>26</v>
      </c>
      <c r="F37">
        <v>2786</v>
      </c>
      <c r="G37">
        <v>368</v>
      </c>
      <c r="H37">
        <v>208</v>
      </c>
      <c r="I37">
        <v>42000</v>
      </c>
      <c r="J37">
        <v>39967</v>
      </c>
      <c r="K37">
        <v>103</v>
      </c>
      <c r="L37" t="s">
        <v>30</v>
      </c>
      <c r="M37" t="s">
        <v>85</v>
      </c>
    </row>
    <row r="38" spans="1:13" x14ac:dyDescent="0.3">
      <c r="A38" t="s">
        <v>89</v>
      </c>
      <c r="B38" t="s">
        <v>7</v>
      </c>
      <c r="C38" s="12">
        <v>45583</v>
      </c>
      <c r="D38" t="s">
        <v>45</v>
      </c>
      <c r="E38" t="s">
        <v>12</v>
      </c>
      <c r="F38">
        <v>2607</v>
      </c>
      <c r="G38">
        <v>379</v>
      </c>
      <c r="H38">
        <v>180</v>
      </c>
      <c r="I38">
        <v>28712</v>
      </c>
      <c r="J38">
        <v>61620</v>
      </c>
      <c r="K38">
        <v>174</v>
      </c>
      <c r="L38" t="s">
        <v>30</v>
      </c>
      <c r="M38" t="s">
        <v>62</v>
      </c>
    </row>
    <row r="39" spans="1:13" x14ac:dyDescent="0.3">
      <c r="A39" t="s">
        <v>90</v>
      </c>
      <c r="B39" t="s">
        <v>13</v>
      </c>
      <c r="C39" s="12">
        <v>45575</v>
      </c>
      <c r="D39" t="s">
        <v>46</v>
      </c>
      <c r="E39" t="s">
        <v>26</v>
      </c>
      <c r="F39">
        <v>4013</v>
      </c>
      <c r="G39">
        <v>320</v>
      </c>
      <c r="H39">
        <v>92</v>
      </c>
      <c r="I39">
        <v>54605</v>
      </c>
      <c r="J39">
        <v>60169</v>
      </c>
      <c r="K39">
        <v>232</v>
      </c>
      <c r="L39" t="s">
        <v>27</v>
      </c>
      <c r="M39" t="s">
        <v>85</v>
      </c>
    </row>
    <row r="40" spans="1:13" x14ac:dyDescent="0.3">
      <c r="A40" t="s">
        <v>90</v>
      </c>
      <c r="B40" t="s">
        <v>13</v>
      </c>
      <c r="C40" s="12">
        <v>45575</v>
      </c>
      <c r="D40" t="s">
        <v>46</v>
      </c>
      <c r="E40" t="s">
        <v>26</v>
      </c>
      <c r="F40">
        <v>4013</v>
      </c>
      <c r="G40">
        <v>320</v>
      </c>
      <c r="H40">
        <v>92</v>
      </c>
      <c r="I40">
        <v>54605</v>
      </c>
      <c r="J40">
        <v>60169</v>
      </c>
      <c r="K40">
        <v>232</v>
      </c>
      <c r="L40" t="s">
        <v>30</v>
      </c>
      <c r="M40" t="s">
        <v>85</v>
      </c>
    </row>
    <row r="41" spans="1:13" x14ac:dyDescent="0.3">
      <c r="A41" t="s">
        <v>91</v>
      </c>
      <c r="B41" t="s">
        <v>7</v>
      </c>
      <c r="C41" s="12">
        <v>45791</v>
      </c>
      <c r="D41" t="s">
        <v>44</v>
      </c>
      <c r="E41" t="s">
        <v>26</v>
      </c>
      <c r="F41">
        <v>2707</v>
      </c>
      <c r="G41">
        <v>103</v>
      </c>
      <c r="H41">
        <v>51</v>
      </c>
      <c r="I41">
        <v>55302</v>
      </c>
      <c r="J41">
        <v>18801</v>
      </c>
      <c r="K41">
        <v>147</v>
      </c>
      <c r="L41" t="s">
        <v>27</v>
      </c>
      <c r="M41" t="s">
        <v>60</v>
      </c>
    </row>
    <row r="42" spans="1:13" x14ac:dyDescent="0.3">
      <c r="A42" t="s">
        <v>91</v>
      </c>
      <c r="B42" t="s">
        <v>7</v>
      </c>
      <c r="C42" s="12">
        <v>45791</v>
      </c>
      <c r="D42" t="s">
        <v>44</v>
      </c>
      <c r="E42" t="s">
        <v>26</v>
      </c>
      <c r="F42">
        <v>2707</v>
      </c>
      <c r="G42">
        <v>103</v>
      </c>
      <c r="H42">
        <v>51</v>
      </c>
      <c r="I42">
        <v>55302</v>
      </c>
      <c r="J42">
        <v>18801</v>
      </c>
      <c r="K42">
        <v>147</v>
      </c>
      <c r="L42" t="s">
        <v>36</v>
      </c>
      <c r="M42" t="s">
        <v>60</v>
      </c>
    </row>
    <row r="43" spans="1:13" x14ac:dyDescent="0.3">
      <c r="A43" t="s">
        <v>92</v>
      </c>
      <c r="B43" t="s">
        <v>10</v>
      </c>
      <c r="C43" s="12">
        <v>45625</v>
      </c>
      <c r="D43" t="s">
        <v>45</v>
      </c>
      <c r="E43" t="s">
        <v>23</v>
      </c>
      <c r="F43">
        <v>2824</v>
      </c>
      <c r="G43">
        <v>425</v>
      </c>
      <c r="H43">
        <v>274</v>
      </c>
      <c r="I43">
        <v>31004</v>
      </c>
      <c r="J43">
        <v>53488</v>
      </c>
      <c r="K43">
        <v>268</v>
      </c>
      <c r="L43" t="s">
        <v>30</v>
      </c>
      <c r="M43" t="s">
        <v>60</v>
      </c>
    </row>
    <row r="44" spans="1:13" x14ac:dyDescent="0.3">
      <c r="A44" t="s">
        <v>92</v>
      </c>
      <c r="B44" t="s">
        <v>10</v>
      </c>
      <c r="C44" s="12">
        <v>45625</v>
      </c>
      <c r="D44" t="s">
        <v>45</v>
      </c>
      <c r="E44" t="s">
        <v>23</v>
      </c>
      <c r="F44">
        <v>2824</v>
      </c>
      <c r="G44">
        <v>425</v>
      </c>
      <c r="H44">
        <v>274</v>
      </c>
      <c r="I44">
        <v>31004</v>
      </c>
      <c r="J44">
        <v>53488</v>
      </c>
      <c r="K44">
        <v>268</v>
      </c>
      <c r="L44" t="s">
        <v>33</v>
      </c>
      <c r="M44" t="s">
        <v>60</v>
      </c>
    </row>
    <row r="45" spans="1:13" x14ac:dyDescent="0.3">
      <c r="A45" t="s">
        <v>93</v>
      </c>
      <c r="B45" t="s">
        <v>13</v>
      </c>
      <c r="C45" s="12">
        <v>45356</v>
      </c>
      <c r="D45" t="s">
        <v>46</v>
      </c>
      <c r="E45" t="s">
        <v>15</v>
      </c>
      <c r="F45">
        <v>3558</v>
      </c>
      <c r="G45">
        <v>314</v>
      </c>
      <c r="H45">
        <v>199</v>
      </c>
      <c r="I45">
        <v>49612</v>
      </c>
      <c r="J45">
        <v>53929</v>
      </c>
      <c r="K45">
        <v>206</v>
      </c>
      <c r="L45" t="s">
        <v>27</v>
      </c>
      <c r="M45" t="s">
        <v>85</v>
      </c>
    </row>
    <row r="46" spans="1:13" x14ac:dyDescent="0.3">
      <c r="A46" t="s">
        <v>93</v>
      </c>
      <c r="B46" t="s">
        <v>13</v>
      </c>
      <c r="C46" s="12">
        <v>45356</v>
      </c>
      <c r="D46" t="s">
        <v>46</v>
      </c>
      <c r="E46" t="s">
        <v>15</v>
      </c>
      <c r="F46">
        <v>3558</v>
      </c>
      <c r="G46">
        <v>314</v>
      </c>
      <c r="H46">
        <v>199</v>
      </c>
      <c r="I46">
        <v>49612</v>
      </c>
      <c r="J46">
        <v>53929</v>
      </c>
      <c r="K46">
        <v>206</v>
      </c>
      <c r="L46" t="s">
        <v>30</v>
      </c>
      <c r="M46" t="s">
        <v>85</v>
      </c>
    </row>
    <row r="47" spans="1:13" x14ac:dyDescent="0.3">
      <c r="A47" t="s">
        <v>94</v>
      </c>
      <c r="B47" t="s">
        <v>7</v>
      </c>
      <c r="C47" s="12">
        <v>45734</v>
      </c>
      <c r="D47" t="s">
        <v>44</v>
      </c>
      <c r="E47" t="s">
        <v>15</v>
      </c>
      <c r="F47">
        <v>3418</v>
      </c>
      <c r="G47">
        <v>188</v>
      </c>
      <c r="H47">
        <v>387</v>
      </c>
      <c r="I47">
        <v>57431</v>
      </c>
      <c r="J47">
        <v>36933</v>
      </c>
      <c r="K47">
        <v>202</v>
      </c>
      <c r="L47" t="s">
        <v>36</v>
      </c>
      <c r="M47" t="s">
        <v>60</v>
      </c>
    </row>
    <row r="48" spans="1:13" x14ac:dyDescent="0.3">
      <c r="A48" t="s">
        <v>94</v>
      </c>
      <c r="B48" t="s">
        <v>7</v>
      </c>
      <c r="C48" s="12">
        <v>45734</v>
      </c>
      <c r="D48" t="s">
        <v>44</v>
      </c>
      <c r="E48" t="s">
        <v>15</v>
      </c>
      <c r="F48">
        <v>3418</v>
      </c>
      <c r="G48">
        <v>188</v>
      </c>
      <c r="H48">
        <v>387</v>
      </c>
      <c r="I48">
        <v>57431</v>
      </c>
      <c r="J48">
        <v>36933</v>
      </c>
      <c r="K48">
        <v>202</v>
      </c>
      <c r="L48" t="s">
        <v>33</v>
      </c>
      <c r="M48" t="s">
        <v>60</v>
      </c>
    </row>
    <row r="49" spans="1:13" x14ac:dyDescent="0.3">
      <c r="A49" t="s">
        <v>95</v>
      </c>
      <c r="B49" t="s">
        <v>7</v>
      </c>
      <c r="C49" s="12">
        <v>45773</v>
      </c>
      <c r="D49" t="s">
        <v>45</v>
      </c>
      <c r="E49" t="s">
        <v>19</v>
      </c>
      <c r="F49">
        <v>2411</v>
      </c>
      <c r="G49">
        <v>194</v>
      </c>
      <c r="H49">
        <v>168</v>
      </c>
      <c r="I49">
        <v>26665</v>
      </c>
      <c r="J49">
        <v>71699</v>
      </c>
      <c r="K49">
        <v>197</v>
      </c>
      <c r="L49" t="s">
        <v>33</v>
      </c>
      <c r="M49" t="s">
        <v>60</v>
      </c>
    </row>
    <row r="50" spans="1:13" x14ac:dyDescent="0.3">
      <c r="A50" t="s">
        <v>96</v>
      </c>
      <c r="B50" t="s">
        <v>10</v>
      </c>
      <c r="C50" s="12">
        <v>45658</v>
      </c>
      <c r="D50" t="s">
        <v>45</v>
      </c>
      <c r="E50" t="s">
        <v>12</v>
      </c>
      <c r="F50">
        <v>4036</v>
      </c>
      <c r="G50">
        <v>112</v>
      </c>
      <c r="H50">
        <v>382</v>
      </c>
      <c r="I50">
        <v>56284</v>
      </c>
      <c r="J50">
        <v>29440</v>
      </c>
      <c r="K50">
        <v>279</v>
      </c>
      <c r="L50" t="s">
        <v>30</v>
      </c>
      <c r="M50" t="s">
        <v>60</v>
      </c>
    </row>
    <row r="51" spans="1:13" x14ac:dyDescent="0.3">
      <c r="A51" t="s">
        <v>96</v>
      </c>
      <c r="B51" t="s">
        <v>10</v>
      </c>
      <c r="C51" s="12">
        <v>45658</v>
      </c>
      <c r="D51" t="s">
        <v>45</v>
      </c>
      <c r="E51" t="s">
        <v>12</v>
      </c>
      <c r="F51">
        <v>4036</v>
      </c>
      <c r="G51">
        <v>112</v>
      </c>
      <c r="H51">
        <v>382</v>
      </c>
      <c r="I51">
        <v>56284</v>
      </c>
      <c r="J51">
        <v>29440</v>
      </c>
      <c r="K51">
        <v>279</v>
      </c>
      <c r="L51" t="s">
        <v>33</v>
      </c>
      <c r="M51" t="s">
        <v>60</v>
      </c>
    </row>
    <row r="52" spans="1:13" x14ac:dyDescent="0.3">
      <c r="A52" t="s">
        <v>97</v>
      </c>
      <c r="B52" t="s">
        <v>7</v>
      </c>
      <c r="C52" s="12">
        <v>45419</v>
      </c>
      <c r="D52" t="s">
        <v>44</v>
      </c>
      <c r="E52" t="s">
        <v>15</v>
      </c>
      <c r="F52">
        <v>2776</v>
      </c>
      <c r="G52">
        <v>307</v>
      </c>
      <c r="H52">
        <v>178</v>
      </c>
      <c r="I52">
        <v>43365</v>
      </c>
      <c r="J52">
        <v>48408</v>
      </c>
      <c r="K52">
        <v>138</v>
      </c>
      <c r="L52" t="s">
        <v>30</v>
      </c>
      <c r="M52" t="s">
        <v>60</v>
      </c>
    </row>
    <row r="53" spans="1:13" x14ac:dyDescent="0.3">
      <c r="A53" t="s">
        <v>97</v>
      </c>
      <c r="B53" t="s">
        <v>7</v>
      </c>
      <c r="C53" s="12">
        <v>45419</v>
      </c>
      <c r="D53" t="s">
        <v>44</v>
      </c>
      <c r="E53" t="s">
        <v>15</v>
      </c>
      <c r="F53">
        <v>2776</v>
      </c>
      <c r="G53">
        <v>307</v>
      </c>
      <c r="H53">
        <v>178</v>
      </c>
      <c r="I53">
        <v>43365</v>
      </c>
      <c r="J53">
        <v>48408</v>
      </c>
      <c r="K53">
        <v>138</v>
      </c>
      <c r="L53" t="s">
        <v>33</v>
      </c>
      <c r="M53" t="s">
        <v>60</v>
      </c>
    </row>
    <row r="54" spans="1:13" x14ac:dyDescent="0.3">
      <c r="A54" t="s">
        <v>98</v>
      </c>
      <c r="B54" t="s">
        <v>7</v>
      </c>
      <c r="C54" s="12">
        <v>45574</v>
      </c>
      <c r="D54" t="s">
        <v>44</v>
      </c>
      <c r="E54" t="s">
        <v>19</v>
      </c>
      <c r="F54">
        <v>4929</v>
      </c>
      <c r="G54">
        <v>182</v>
      </c>
      <c r="H54">
        <v>95</v>
      </c>
      <c r="I54">
        <v>32181</v>
      </c>
      <c r="J54">
        <v>31084</v>
      </c>
      <c r="K54">
        <v>289</v>
      </c>
      <c r="L54" t="s">
        <v>27</v>
      </c>
      <c r="M54" t="s">
        <v>60</v>
      </c>
    </row>
    <row r="55" spans="1:13" x14ac:dyDescent="0.3">
      <c r="A55" t="s">
        <v>98</v>
      </c>
      <c r="B55" t="s">
        <v>7</v>
      </c>
      <c r="C55" s="12">
        <v>45574</v>
      </c>
      <c r="D55" t="s">
        <v>44</v>
      </c>
      <c r="E55" t="s">
        <v>19</v>
      </c>
      <c r="F55">
        <v>4929</v>
      </c>
      <c r="G55">
        <v>182</v>
      </c>
      <c r="H55">
        <v>95</v>
      </c>
      <c r="I55">
        <v>32181</v>
      </c>
      <c r="J55">
        <v>31084</v>
      </c>
      <c r="K55">
        <v>289</v>
      </c>
      <c r="L55" t="s">
        <v>36</v>
      </c>
      <c r="M55" t="s">
        <v>60</v>
      </c>
    </row>
    <row r="56" spans="1:13" x14ac:dyDescent="0.3">
      <c r="A56" t="s">
        <v>99</v>
      </c>
      <c r="B56" t="s">
        <v>10</v>
      </c>
      <c r="C56" s="12">
        <v>45666</v>
      </c>
      <c r="D56" t="s">
        <v>45</v>
      </c>
      <c r="E56" t="s">
        <v>12</v>
      </c>
      <c r="F56">
        <v>1015</v>
      </c>
      <c r="G56">
        <v>366</v>
      </c>
      <c r="H56">
        <v>308</v>
      </c>
      <c r="I56">
        <v>38127</v>
      </c>
      <c r="J56">
        <v>63790</v>
      </c>
      <c r="K56">
        <v>287</v>
      </c>
      <c r="L56" t="s">
        <v>30</v>
      </c>
      <c r="M56" t="s">
        <v>60</v>
      </c>
    </row>
    <row r="57" spans="1:13" x14ac:dyDescent="0.3">
      <c r="A57" t="s">
        <v>99</v>
      </c>
      <c r="B57" t="s">
        <v>10</v>
      </c>
      <c r="C57" s="12">
        <v>45666</v>
      </c>
      <c r="D57" t="s">
        <v>45</v>
      </c>
      <c r="E57" t="s">
        <v>12</v>
      </c>
      <c r="F57">
        <v>1015</v>
      </c>
      <c r="G57">
        <v>366</v>
      </c>
      <c r="H57">
        <v>308</v>
      </c>
      <c r="I57">
        <v>38127</v>
      </c>
      <c r="J57">
        <v>63790</v>
      </c>
      <c r="K57">
        <v>287</v>
      </c>
      <c r="L57" t="s">
        <v>33</v>
      </c>
      <c r="M57" t="s">
        <v>60</v>
      </c>
    </row>
    <row r="58" spans="1:13" x14ac:dyDescent="0.3">
      <c r="A58" t="s">
        <v>100</v>
      </c>
      <c r="B58" t="s">
        <v>7</v>
      </c>
      <c r="C58" s="12">
        <v>45785</v>
      </c>
      <c r="D58" t="s">
        <v>44</v>
      </c>
      <c r="E58" t="s">
        <v>78</v>
      </c>
      <c r="F58">
        <v>3316</v>
      </c>
      <c r="G58">
        <v>332</v>
      </c>
      <c r="H58">
        <v>268</v>
      </c>
      <c r="I58">
        <v>40095</v>
      </c>
      <c r="J58">
        <v>36913</v>
      </c>
      <c r="K58">
        <v>265</v>
      </c>
      <c r="L58" t="s">
        <v>36</v>
      </c>
      <c r="M58" t="s">
        <v>60</v>
      </c>
    </row>
    <row r="59" spans="1:13" x14ac:dyDescent="0.3">
      <c r="A59" t="s">
        <v>100</v>
      </c>
      <c r="B59" t="s">
        <v>7</v>
      </c>
      <c r="C59" s="12">
        <v>45785</v>
      </c>
      <c r="D59" t="s">
        <v>44</v>
      </c>
      <c r="E59" t="s">
        <v>78</v>
      </c>
      <c r="F59">
        <v>3316</v>
      </c>
      <c r="G59">
        <v>332</v>
      </c>
      <c r="H59">
        <v>268</v>
      </c>
      <c r="I59">
        <v>40095</v>
      </c>
      <c r="J59">
        <v>36913</v>
      </c>
      <c r="K59">
        <v>265</v>
      </c>
      <c r="L59" t="s">
        <v>33</v>
      </c>
      <c r="M59" t="s">
        <v>60</v>
      </c>
    </row>
    <row r="60" spans="1:13" x14ac:dyDescent="0.3">
      <c r="A60" t="s">
        <v>101</v>
      </c>
      <c r="B60" t="s">
        <v>10</v>
      </c>
      <c r="C60" s="12">
        <v>45416</v>
      </c>
      <c r="D60" t="s">
        <v>45</v>
      </c>
      <c r="E60" t="s">
        <v>29</v>
      </c>
      <c r="F60">
        <v>2274</v>
      </c>
      <c r="G60">
        <v>243</v>
      </c>
      <c r="H60">
        <v>222</v>
      </c>
      <c r="I60">
        <v>43066</v>
      </c>
      <c r="J60">
        <v>59174</v>
      </c>
      <c r="K60">
        <v>80</v>
      </c>
      <c r="L60" t="s">
        <v>27</v>
      </c>
      <c r="M60" t="s">
        <v>62</v>
      </c>
    </row>
    <row r="61" spans="1:13" x14ac:dyDescent="0.3">
      <c r="A61" t="s">
        <v>102</v>
      </c>
      <c r="B61" t="s">
        <v>7</v>
      </c>
      <c r="C61" s="12">
        <v>45804</v>
      </c>
      <c r="D61" t="s">
        <v>44</v>
      </c>
      <c r="E61" t="s">
        <v>15</v>
      </c>
      <c r="F61">
        <v>4095</v>
      </c>
      <c r="G61">
        <v>385</v>
      </c>
      <c r="H61">
        <v>400</v>
      </c>
      <c r="I61">
        <v>45300</v>
      </c>
      <c r="J61">
        <v>31795</v>
      </c>
      <c r="K61">
        <v>80</v>
      </c>
      <c r="L61" t="s">
        <v>36</v>
      </c>
      <c r="M61" t="s">
        <v>60</v>
      </c>
    </row>
    <row r="62" spans="1:13" x14ac:dyDescent="0.3">
      <c r="A62" t="s">
        <v>102</v>
      </c>
      <c r="B62" t="s">
        <v>7</v>
      </c>
      <c r="C62" s="12">
        <v>45804</v>
      </c>
      <c r="D62" t="s">
        <v>44</v>
      </c>
      <c r="E62" t="s">
        <v>15</v>
      </c>
      <c r="F62">
        <v>4095</v>
      </c>
      <c r="G62">
        <v>385</v>
      </c>
      <c r="H62">
        <v>400</v>
      </c>
      <c r="I62">
        <v>45300</v>
      </c>
      <c r="J62">
        <v>31795</v>
      </c>
      <c r="K62">
        <v>80</v>
      </c>
      <c r="L62" t="s">
        <v>33</v>
      </c>
      <c r="M62" t="s">
        <v>60</v>
      </c>
    </row>
    <row r="63" spans="1:13" x14ac:dyDescent="0.3">
      <c r="A63" t="s">
        <v>103</v>
      </c>
      <c r="B63" t="s">
        <v>10</v>
      </c>
      <c r="C63" s="12">
        <v>45545</v>
      </c>
      <c r="D63" t="s">
        <v>44</v>
      </c>
      <c r="E63" t="s">
        <v>12</v>
      </c>
      <c r="F63">
        <v>1230</v>
      </c>
      <c r="G63">
        <v>309</v>
      </c>
      <c r="H63">
        <v>207</v>
      </c>
      <c r="I63">
        <v>44629</v>
      </c>
      <c r="J63">
        <v>40699</v>
      </c>
      <c r="K63">
        <v>195</v>
      </c>
      <c r="L63" t="s">
        <v>33</v>
      </c>
      <c r="M63" t="s">
        <v>82</v>
      </c>
    </row>
    <row r="64" spans="1:13" x14ac:dyDescent="0.3">
      <c r="A64" t="s">
        <v>104</v>
      </c>
      <c r="B64" t="s">
        <v>10</v>
      </c>
      <c r="C64" s="12">
        <v>45621</v>
      </c>
      <c r="D64" t="s">
        <v>45</v>
      </c>
      <c r="E64" t="s">
        <v>26</v>
      </c>
      <c r="F64">
        <v>1341</v>
      </c>
      <c r="G64">
        <v>472</v>
      </c>
      <c r="H64">
        <v>238</v>
      </c>
      <c r="I64">
        <v>51386</v>
      </c>
      <c r="J64">
        <v>51706</v>
      </c>
      <c r="K64">
        <v>133</v>
      </c>
      <c r="L64" t="s">
        <v>27</v>
      </c>
      <c r="M64" t="s">
        <v>62</v>
      </c>
    </row>
    <row r="65" spans="1:13" x14ac:dyDescent="0.3">
      <c r="A65" t="s">
        <v>105</v>
      </c>
      <c r="B65" t="s">
        <v>7</v>
      </c>
      <c r="C65" s="12">
        <v>45818</v>
      </c>
      <c r="D65" t="s">
        <v>45</v>
      </c>
      <c r="E65" t="s">
        <v>15</v>
      </c>
      <c r="F65">
        <v>3615</v>
      </c>
      <c r="G65">
        <v>192</v>
      </c>
      <c r="H65">
        <v>162</v>
      </c>
      <c r="I65">
        <v>27492</v>
      </c>
      <c r="J65">
        <v>35341</v>
      </c>
      <c r="K65">
        <v>125</v>
      </c>
      <c r="L65" t="s">
        <v>33</v>
      </c>
      <c r="M65" t="s">
        <v>60</v>
      </c>
    </row>
    <row r="66" spans="1:13" x14ac:dyDescent="0.3">
      <c r="A66" t="s">
        <v>106</v>
      </c>
      <c r="B66" t="s">
        <v>10</v>
      </c>
      <c r="C66" s="12">
        <v>45401</v>
      </c>
      <c r="D66" t="s">
        <v>45</v>
      </c>
      <c r="E66" t="s">
        <v>12</v>
      </c>
      <c r="F66">
        <v>4001</v>
      </c>
      <c r="G66">
        <v>353</v>
      </c>
      <c r="H66">
        <v>129</v>
      </c>
      <c r="I66">
        <v>41265</v>
      </c>
      <c r="J66">
        <v>37279</v>
      </c>
      <c r="K66">
        <v>275</v>
      </c>
      <c r="L66" t="s">
        <v>30</v>
      </c>
      <c r="M66" t="s">
        <v>60</v>
      </c>
    </row>
    <row r="67" spans="1:13" x14ac:dyDescent="0.3">
      <c r="A67" t="s">
        <v>106</v>
      </c>
      <c r="B67" t="s">
        <v>10</v>
      </c>
      <c r="C67" s="12">
        <v>45401</v>
      </c>
      <c r="D67" t="s">
        <v>45</v>
      </c>
      <c r="E67" t="s">
        <v>12</v>
      </c>
      <c r="F67">
        <v>4001</v>
      </c>
      <c r="G67">
        <v>353</v>
      </c>
      <c r="H67">
        <v>129</v>
      </c>
      <c r="I67">
        <v>41265</v>
      </c>
      <c r="J67">
        <v>37279</v>
      </c>
      <c r="K67">
        <v>275</v>
      </c>
      <c r="L67" t="s">
        <v>33</v>
      </c>
      <c r="M67" t="s">
        <v>60</v>
      </c>
    </row>
    <row r="68" spans="1:13" x14ac:dyDescent="0.3">
      <c r="A68" t="s">
        <v>107</v>
      </c>
      <c r="B68" t="s">
        <v>10</v>
      </c>
      <c r="C68" s="12">
        <v>45683</v>
      </c>
      <c r="D68" t="s">
        <v>44</v>
      </c>
      <c r="E68" t="s">
        <v>23</v>
      </c>
      <c r="F68">
        <v>3451</v>
      </c>
      <c r="G68">
        <v>363</v>
      </c>
      <c r="H68">
        <v>393</v>
      </c>
      <c r="I68">
        <v>44853</v>
      </c>
      <c r="J68">
        <v>69032</v>
      </c>
      <c r="K68">
        <v>211</v>
      </c>
      <c r="L68" t="s">
        <v>33</v>
      </c>
      <c r="M68" t="s">
        <v>82</v>
      </c>
    </row>
    <row r="69" spans="1:13" x14ac:dyDescent="0.3">
      <c r="A69" t="s">
        <v>108</v>
      </c>
      <c r="B69" t="s">
        <v>10</v>
      </c>
      <c r="C69" s="12">
        <v>45702</v>
      </c>
      <c r="D69" t="s">
        <v>45</v>
      </c>
      <c r="E69" t="s">
        <v>32</v>
      </c>
      <c r="F69">
        <v>4891</v>
      </c>
      <c r="G69">
        <v>450</v>
      </c>
      <c r="H69">
        <v>387</v>
      </c>
      <c r="I69">
        <v>48746</v>
      </c>
      <c r="J69">
        <v>37312</v>
      </c>
      <c r="K69">
        <v>154</v>
      </c>
      <c r="L69" t="s">
        <v>30</v>
      </c>
      <c r="M69" t="s">
        <v>60</v>
      </c>
    </row>
    <row r="70" spans="1:13" x14ac:dyDescent="0.3">
      <c r="A70" t="s">
        <v>108</v>
      </c>
      <c r="B70" t="s">
        <v>10</v>
      </c>
      <c r="C70" s="12">
        <v>45702</v>
      </c>
      <c r="D70" t="s">
        <v>45</v>
      </c>
      <c r="E70" t="s">
        <v>32</v>
      </c>
      <c r="F70">
        <v>4891</v>
      </c>
      <c r="G70">
        <v>450</v>
      </c>
      <c r="H70">
        <v>387</v>
      </c>
      <c r="I70">
        <v>48746</v>
      </c>
      <c r="J70">
        <v>37312</v>
      </c>
      <c r="K70">
        <v>154</v>
      </c>
      <c r="L70" t="s">
        <v>33</v>
      </c>
      <c r="M70" t="s">
        <v>60</v>
      </c>
    </row>
    <row r="71" spans="1:13" x14ac:dyDescent="0.3">
      <c r="A71" t="s">
        <v>109</v>
      </c>
      <c r="B71" t="s">
        <v>10</v>
      </c>
      <c r="C71" s="12">
        <v>45541</v>
      </c>
      <c r="D71" t="s">
        <v>45</v>
      </c>
      <c r="E71" t="s">
        <v>12</v>
      </c>
      <c r="F71">
        <v>1452</v>
      </c>
      <c r="G71">
        <v>281</v>
      </c>
      <c r="H71">
        <v>326</v>
      </c>
      <c r="I71">
        <v>51556</v>
      </c>
      <c r="J71">
        <v>62599</v>
      </c>
      <c r="K71">
        <v>290</v>
      </c>
      <c r="L71" t="s">
        <v>27</v>
      </c>
      <c r="M71" t="s">
        <v>62</v>
      </c>
    </row>
    <row r="72" spans="1:13" x14ac:dyDescent="0.3">
      <c r="A72" t="s">
        <v>110</v>
      </c>
      <c r="B72" t="s">
        <v>13</v>
      </c>
      <c r="C72" s="12">
        <v>45487</v>
      </c>
      <c r="D72" t="s">
        <v>45</v>
      </c>
      <c r="E72" t="s">
        <v>78</v>
      </c>
      <c r="F72">
        <v>3806</v>
      </c>
      <c r="G72">
        <v>114</v>
      </c>
      <c r="H72">
        <v>278</v>
      </c>
      <c r="I72">
        <v>36148</v>
      </c>
      <c r="J72">
        <v>24209</v>
      </c>
      <c r="K72">
        <v>201</v>
      </c>
      <c r="L72" t="s">
        <v>27</v>
      </c>
      <c r="M72" t="s">
        <v>62</v>
      </c>
    </row>
    <row r="73" spans="1:13" x14ac:dyDescent="0.3">
      <c r="A73" t="s">
        <v>110</v>
      </c>
      <c r="B73" t="s">
        <v>13</v>
      </c>
      <c r="C73" s="12">
        <v>45487</v>
      </c>
      <c r="D73" t="s">
        <v>45</v>
      </c>
      <c r="E73" t="s">
        <v>78</v>
      </c>
      <c r="F73">
        <v>3806</v>
      </c>
      <c r="G73">
        <v>114</v>
      </c>
      <c r="H73">
        <v>278</v>
      </c>
      <c r="I73">
        <v>36148</v>
      </c>
      <c r="J73">
        <v>24209</v>
      </c>
      <c r="K73">
        <v>201</v>
      </c>
      <c r="L73" t="s">
        <v>24</v>
      </c>
      <c r="M73" t="s">
        <v>62</v>
      </c>
    </row>
    <row r="74" spans="1:13" x14ac:dyDescent="0.3">
      <c r="A74" t="s">
        <v>111</v>
      </c>
      <c r="B74" t="s">
        <v>10</v>
      </c>
      <c r="C74" s="12">
        <v>45334</v>
      </c>
      <c r="D74" t="s">
        <v>45</v>
      </c>
      <c r="E74" t="s">
        <v>15</v>
      </c>
      <c r="F74">
        <v>2923</v>
      </c>
      <c r="G74">
        <v>330</v>
      </c>
      <c r="H74">
        <v>250</v>
      </c>
      <c r="I74">
        <v>23993</v>
      </c>
      <c r="J74">
        <v>74590</v>
      </c>
      <c r="K74">
        <v>92</v>
      </c>
      <c r="L74" t="s">
        <v>27</v>
      </c>
      <c r="M74" t="s">
        <v>62</v>
      </c>
    </row>
    <row r="75" spans="1:13" x14ac:dyDescent="0.3">
      <c r="A75" t="s">
        <v>112</v>
      </c>
      <c r="B75" t="s">
        <v>13</v>
      </c>
      <c r="C75" s="12">
        <v>45365</v>
      </c>
      <c r="D75" t="s">
        <v>46</v>
      </c>
      <c r="E75" t="s">
        <v>26</v>
      </c>
      <c r="F75">
        <v>3361</v>
      </c>
      <c r="G75">
        <v>188</v>
      </c>
      <c r="H75">
        <v>358</v>
      </c>
      <c r="I75">
        <v>39838</v>
      </c>
      <c r="J75">
        <v>24536</v>
      </c>
      <c r="K75">
        <v>120</v>
      </c>
      <c r="L75" t="s">
        <v>27</v>
      </c>
      <c r="M75" t="s">
        <v>85</v>
      </c>
    </row>
    <row r="76" spans="1:13" x14ac:dyDescent="0.3">
      <c r="A76" t="s">
        <v>112</v>
      </c>
      <c r="B76" t="s">
        <v>13</v>
      </c>
      <c r="C76" s="12">
        <v>45365</v>
      </c>
      <c r="D76" t="s">
        <v>46</v>
      </c>
      <c r="E76" t="s">
        <v>26</v>
      </c>
      <c r="F76">
        <v>3361</v>
      </c>
      <c r="G76">
        <v>188</v>
      </c>
      <c r="H76">
        <v>358</v>
      </c>
      <c r="I76">
        <v>39838</v>
      </c>
      <c r="J76">
        <v>24536</v>
      </c>
      <c r="K76">
        <v>120</v>
      </c>
      <c r="L76" t="s">
        <v>30</v>
      </c>
      <c r="M76" t="s">
        <v>85</v>
      </c>
    </row>
    <row r="77" spans="1:13" x14ac:dyDescent="0.3">
      <c r="A77" t="s">
        <v>113</v>
      </c>
      <c r="B77" t="s">
        <v>10</v>
      </c>
      <c r="C77" s="12">
        <v>45693</v>
      </c>
      <c r="D77" t="s">
        <v>44</v>
      </c>
      <c r="E77" t="s">
        <v>35</v>
      </c>
      <c r="F77">
        <v>3074</v>
      </c>
      <c r="G77">
        <v>371</v>
      </c>
      <c r="H77">
        <v>348</v>
      </c>
      <c r="I77">
        <v>24104</v>
      </c>
      <c r="J77">
        <v>57803</v>
      </c>
      <c r="K77">
        <v>213</v>
      </c>
      <c r="L77" t="s">
        <v>33</v>
      </c>
      <c r="M77" t="s">
        <v>82</v>
      </c>
    </row>
    <row r="78" spans="1:13" x14ac:dyDescent="0.3">
      <c r="A78" t="s">
        <v>114</v>
      </c>
      <c r="B78" t="s">
        <v>7</v>
      </c>
      <c r="C78" s="12">
        <v>45533</v>
      </c>
      <c r="D78" t="s">
        <v>44</v>
      </c>
      <c r="E78" t="s">
        <v>9</v>
      </c>
      <c r="F78">
        <v>4276</v>
      </c>
      <c r="G78">
        <v>227</v>
      </c>
      <c r="H78">
        <v>223</v>
      </c>
      <c r="I78">
        <v>43443</v>
      </c>
      <c r="J78">
        <v>41005</v>
      </c>
      <c r="K78">
        <v>191</v>
      </c>
      <c r="L78" t="s">
        <v>27</v>
      </c>
      <c r="M78" t="s">
        <v>60</v>
      </c>
    </row>
    <row r="79" spans="1:13" x14ac:dyDescent="0.3">
      <c r="A79" t="s">
        <v>114</v>
      </c>
      <c r="B79" t="s">
        <v>7</v>
      </c>
      <c r="C79" s="12">
        <v>45533</v>
      </c>
      <c r="D79" t="s">
        <v>44</v>
      </c>
      <c r="E79" t="s">
        <v>9</v>
      </c>
      <c r="F79">
        <v>4276</v>
      </c>
      <c r="G79">
        <v>227</v>
      </c>
      <c r="H79">
        <v>223</v>
      </c>
      <c r="I79">
        <v>43443</v>
      </c>
      <c r="J79">
        <v>41005</v>
      </c>
      <c r="K79">
        <v>191</v>
      </c>
      <c r="L79" t="s">
        <v>36</v>
      </c>
      <c r="M79" t="s">
        <v>60</v>
      </c>
    </row>
    <row r="80" spans="1:13" x14ac:dyDescent="0.3">
      <c r="A80" t="s">
        <v>18</v>
      </c>
      <c r="B80" t="s">
        <v>7</v>
      </c>
      <c r="C80" s="12">
        <v>45769</v>
      </c>
      <c r="D80" t="s">
        <v>45</v>
      </c>
      <c r="E80" t="s">
        <v>19</v>
      </c>
      <c r="F80">
        <v>4401</v>
      </c>
      <c r="G80">
        <v>421</v>
      </c>
      <c r="H80">
        <v>216</v>
      </c>
      <c r="I80">
        <v>24890</v>
      </c>
      <c r="J80">
        <v>54361</v>
      </c>
      <c r="K80">
        <v>148</v>
      </c>
      <c r="L80" t="s">
        <v>33</v>
      </c>
      <c r="M80" t="s">
        <v>60</v>
      </c>
    </row>
    <row r="81" spans="1:13" x14ac:dyDescent="0.3">
      <c r="A81" t="s">
        <v>115</v>
      </c>
      <c r="B81" t="s">
        <v>13</v>
      </c>
      <c r="C81" s="12">
        <v>45425</v>
      </c>
      <c r="D81" t="s">
        <v>46</v>
      </c>
      <c r="E81" t="s">
        <v>15</v>
      </c>
      <c r="F81">
        <v>4161</v>
      </c>
      <c r="G81">
        <v>481</v>
      </c>
      <c r="H81">
        <v>61</v>
      </c>
      <c r="I81">
        <v>45884</v>
      </c>
      <c r="J81">
        <v>48955</v>
      </c>
      <c r="K81">
        <v>215</v>
      </c>
      <c r="L81" t="s">
        <v>27</v>
      </c>
      <c r="M81" t="s">
        <v>85</v>
      </c>
    </row>
    <row r="82" spans="1:13" x14ac:dyDescent="0.3">
      <c r="A82" t="s">
        <v>115</v>
      </c>
      <c r="B82" t="s">
        <v>13</v>
      </c>
      <c r="C82" s="12">
        <v>45425</v>
      </c>
      <c r="D82" t="s">
        <v>46</v>
      </c>
      <c r="E82" t="s">
        <v>15</v>
      </c>
      <c r="F82">
        <v>4161</v>
      </c>
      <c r="G82">
        <v>481</v>
      </c>
      <c r="H82">
        <v>61</v>
      </c>
      <c r="I82">
        <v>45884</v>
      </c>
      <c r="J82">
        <v>48955</v>
      </c>
      <c r="K82">
        <v>215</v>
      </c>
      <c r="L82" t="s">
        <v>30</v>
      </c>
      <c r="M82" t="s">
        <v>85</v>
      </c>
    </row>
    <row r="83" spans="1:13" x14ac:dyDescent="0.3">
      <c r="A83" t="s">
        <v>116</v>
      </c>
      <c r="B83" t="s">
        <v>7</v>
      </c>
      <c r="C83" s="12">
        <v>45539</v>
      </c>
      <c r="D83" t="s">
        <v>44</v>
      </c>
      <c r="E83" t="s">
        <v>12</v>
      </c>
      <c r="F83">
        <v>2613</v>
      </c>
      <c r="G83">
        <v>455</v>
      </c>
      <c r="H83">
        <v>228</v>
      </c>
      <c r="I83">
        <v>21645</v>
      </c>
      <c r="J83">
        <v>61334</v>
      </c>
      <c r="K83">
        <v>261</v>
      </c>
      <c r="L83" t="s">
        <v>27</v>
      </c>
      <c r="M83" t="s">
        <v>60</v>
      </c>
    </row>
    <row r="84" spans="1:13" x14ac:dyDescent="0.3">
      <c r="A84" t="s">
        <v>116</v>
      </c>
      <c r="B84" t="s">
        <v>7</v>
      </c>
      <c r="C84" s="12">
        <v>45539</v>
      </c>
      <c r="D84" t="s">
        <v>44</v>
      </c>
      <c r="E84" t="s">
        <v>12</v>
      </c>
      <c r="F84">
        <v>2613</v>
      </c>
      <c r="G84">
        <v>455</v>
      </c>
      <c r="H84">
        <v>228</v>
      </c>
      <c r="I84">
        <v>21645</v>
      </c>
      <c r="J84">
        <v>61334</v>
      </c>
      <c r="K84">
        <v>261</v>
      </c>
      <c r="L84" t="s">
        <v>36</v>
      </c>
      <c r="M84" t="s">
        <v>60</v>
      </c>
    </row>
    <row r="85" spans="1:13" x14ac:dyDescent="0.3">
      <c r="A85" t="s">
        <v>117</v>
      </c>
      <c r="B85" t="s">
        <v>7</v>
      </c>
      <c r="C85" s="12">
        <v>45516</v>
      </c>
      <c r="D85" t="s">
        <v>44</v>
      </c>
      <c r="E85" t="s">
        <v>23</v>
      </c>
      <c r="F85">
        <v>2842</v>
      </c>
      <c r="G85">
        <v>213</v>
      </c>
      <c r="H85">
        <v>331</v>
      </c>
      <c r="I85">
        <v>57660</v>
      </c>
      <c r="J85">
        <v>68606</v>
      </c>
      <c r="K85">
        <v>87</v>
      </c>
      <c r="L85" t="s">
        <v>36</v>
      </c>
      <c r="M85" t="s">
        <v>60</v>
      </c>
    </row>
    <row r="86" spans="1:13" x14ac:dyDescent="0.3">
      <c r="A86" t="s">
        <v>117</v>
      </c>
      <c r="B86" t="s">
        <v>7</v>
      </c>
      <c r="C86" s="12">
        <v>45516</v>
      </c>
      <c r="D86" t="s">
        <v>44</v>
      </c>
      <c r="E86" t="s">
        <v>23</v>
      </c>
      <c r="F86">
        <v>2842</v>
      </c>
      <c r="G86">
        <v>213</v>
      </c>
      <c r="H86">
        <v>331</v>
      </c>
      <c r="I86">
        <v>57660</v>
      </c>
      <c r="J86">
        <v>68606</v>
      </c>
      <c r="K86">
        <v>87</v>
      </c>
      <c r="L86" t="s">
        <v>33</v>
      </c>
      <c r="M86" t="s">
        <v>60</v>
      </c>
    </row>
    <row r="87" spans="1:13" x14ac:dyDescent="0.3">
      <c r="A87" t="s">
        <v>118</v>
      </c>
      <c r="B87" t="s">
        <v>10</v>
      </c>
      <c r="C87" s="12">
        <v>45722</v>
      </c>
      <c r="D87" t="s">
        <v>45</v>
      </c>
      <c r="E87" t="s">
        <v>9</v>
      </c>
      <c r="F87">
        <v>4851</v>
      </c>
      <c r="G87">
        <v>460</v>
      </c>
      <c r="H87">
        <v>212</v>
      </c>
      <c r="I87">
        <v>58075</v>
      </c>
      <c r="J87">
        <v>59574</v>
      </c>
      <c r="K87">
        <v>239</v>
      </c>
      <c r="L87" t="s">
        <v>27</v>
      </c>
      <c r="M87" t="s">
        <v>62</v>
      </c>
    </row>
    <row r="88" spans="1:13" x14ac:dyDescent="0.3">
      <c r="A88" t="s">
        <v>119</v>
      </c>
      <c r="B88" t="s">
        <v>7</v>
      </c>
      <c r="C88" s="12">
        <v>45420</v>
      </c>
      <c r="D88" t="s">
        <v>45</v>
      </c>
      <c r="E88" t="s">
        <v>15</v>
      </c>
      <c r="F88">
        <v>1828</v>
      </c>
      <c r="G88">
        <v>450</v>
      </c>
      <c r="H88">
        <v>214</v>
      </c>
      <c r="I88">
        <v>52115</v>
      </c>
      <c r="J88">
        <v>19166</v>
      </c>
      <c r="K88">
        <v>190</v>
      </c>
      <c r="L88" t="s">
        <v>33</v>
      </c>
      <c r="M88" t="s">
        <v>60</v>
      </c>
    </row>
    <row r="89" spans="1:13" x14ac:dyDescent="0.3">
      <c r="A89" t="s">
        <v>120</v>
      </c>
      <c r="B89" t="s">
        <v>10</v>
      </c>
      <c r="C89" s="12">
        <v>45707</v>
      </c>
      <c r="D89" t="s">
        <v>44</v>
      </c>
      <c r="E89" t="s">
        <v>26</v>
      </c>
      <c r="F89">
        <v>2422</v>
      </c>
      <c r="G89">
        <v>455</v>
      </c>
      <c r="H89">
        <v>376</v>
      </c>
      <c r="I89">
        <v>23428</v>
      </c>
      <c r="J89">
        <v>46775</v>
      </c>
      <c r="K89">
        <v>259</v>
      </c>
      <c r="L89" t="s">
        <v>33</v>
      </c>
      <c r="M89" t="s">
        <v>82</v>
      </c>
    </row>
    <row r="90" spans="1:13" x14ac:dyDescent="0.3">
      <c r="A90" t="s">
        <v>121</v>
      </c>
      <c r="B90" t="s">
        <v>10</v>
      </c>
      <c r="C90" s="12">
        <v>45299</v>
      </c>
      <c r="D90" t="s">
        <v>45</v>
      </c>
      <c r="E90" t="s">
        <v>32</v>
      </c>
      <c r="F90">
        <v>2683</v>
      </c>
      <c r="G90">
        <v>405</v>
      </c>
      <c r="H90">
        <v>223</v>
      </c>
      <c r="I90">
        <v>31233</v>
      </c>
      <c r="J90">
        <v>58106</v>
      </c>
      <c r="K90">
        <v>291</v>
      </c>
      <c r="L90" t="s">
        <v>27</v>
      </c>
      <c r="M90" t="s">
        <v>62</v>
      </c>
    </row>
    <row r="91" spans="1:13" x14ac:dyDescent="0.3">
      <c r="A91" t="s">
        <v>122</v>
      </c>
      <c r="B91" t="s">
        <v>13</v>
      </c>
      <c r="C91" s="12">
        <v>45490</v>
      </c>
      <c r="D91" t="s">
        <v>45</v>
      </c>
      <c r="E91" t="s">
        <v>32</v>
      </c>
      <c r="F91">
        <v>3135</v>
      </c>
      <c r="G91">
        <v>110</v>
      </c>
      <c r="H91">
        <v>215</v>
      </c>
      <c r="I91">
        <v>39192</v>
      </c>
      <c r="J91">
        <v>24744</v>
      </c>
      <c r="K91">
        <v>177</v>
      </c>
      <c r="L91" t="s">
        <v>27</v>
      </c>
      <c r="M91" t="s">
        <v>62</v>
      </c>
    </row>
    <row r="92" spans="1:13" x14ac:dyDescent="0.3">
      <c r="A92" t="s">
        <v>122</v>
      </c>
      <c r="B92" t="s">
        <v>13</v>
      </c>
      <c r="C92" s="12">
        <v>45490</v>
      </c>
      <c r="D92" t="s">
        <v>45</v>
      </c>
      <c r="E92" t="s">
        <v>32</v>
      </c>
      <c r="F92">
        <v>3135</v>
      </c>
      <c r="G92">
        <v>110</v>
      </c>
      <c r="H92">
        <v>215</v>
      </c>
      <c r="I92">
        <v>39192</v>
      </c>
      <c r="J92">
        <v>24744</v>
      </c>
      <c r="K92">
        <v>177</v>
      </c>
      <c r="L92" t="s">
        <v>24</v>
      </c>
      <c r="M92" t="s">
        <v>62</v>
      </c>
    </row>
    <row r="93" spans="1:13" x14ac:dyDescent="0.3">
      <c r="A93" t="s">
        <v>123</v>
      </c>
      <c r="B93" t="s">
        <v>13</v>
      </c>
      <c r="C93" s="12">
        <v>45514</v>
      </c>
      <c r="D93" t="s">
        <v>45</v>
      </c>
      <c r="E93" t="s">
        <v>26</v>
      </c>
      <c r="F93">
        <v>1105</v>
      </c>
      <c r="G93">
        <v>181</v>
      </c>
      <c r="H93">
        <v>55</v>
      </c>
      <c r="I93">
        <v>53581</v>
      </c>
      <c r="J93">
        <v>74048</v>
      </c>
      <c r="K93">
        <v>220</v>
      </c>
      <c r="L93" t="s">
        <v>27</v>
      </c>
      <c r="M93" t="s">
        <v>62</v>
      </c>
    </row>
    <row r="94" spans="1:13" x14ac:dyDescent="0.3">
      <c r="A94" t="s">
        <v>123</v>
      </c>
      <c r="B94" t="s">
        <v>13</v>
      </c>
      <c r="C94" s="12">
        <v>45514</v>
      </c>
      <c r="D94" t="s">
        <v>45</v>
      </c>
      <c r="E94" t="s">
        <v>26</v>
      </c>
      <c r="F94">
        <v>1105</v>
      </c>
      <c r="G94">
        <v>181</v>
      </c>
      <c r="H94">
        <v>55</v>
      </c>
      <c r="I94">
        <v>53581</v>
      </c>
      <c r="J94">
        <v>74048</v>
      </c>
      <c r="K94">
        <v>220</v>
      </c>
      <c r="L94" t="s">
        <v>24</v>
      </c>
      <c r="M94" t="s">
        <v>62</v>
      </c>
    </row>
    <row r="95" spans="1:13" x14ac:dyDescent="0.3">
      <c r="A95" t="s">
        <v>124</v>
      </c>
      <c r="B95" t="s">
        <v>13</v>
      </c>
      <c r="C95" s="12">
        <v>45398</v>
      </c>
      <c r="D95" t="s">
        <v>45</v>
      </c>
      <c r="E95" t="s">
        <v>19</v>
      </c>
      <c r="F95">
        <v>4674</v>
      </c>
      <c r="G95">
        <v>326</v>
      </c>
      <c r="H95">
        <v>62</v>
      </c>
      <c r="I95">
        <v>45503</v>
      </c>
      <c r="J95">
        <v>46814</v>
      </c>
      <c r="K95">
        <v>116</v>
      </c>
      <c r="L95" t="s">
        <v>27</v>
      </c>
      <c r="M95" t="s">
        <v>62</v>
      </c>
    </row>
    <row r="96" spans="1:13" x14ac:dyDescent="0.3">
      <c r="A96" t="s">
        <v>124</v>
      </c>
      <c r="B96" t="s">
        <v>13</v>
      </c>
      <c r="C96" s="12">
        <v>45398</v>
      </c>
      <c r="D96" t="s">
        <v>45</v>
      </c>
      <c r="E96" t="s">
        <v>19</v>
      </c>
      <c r="F96">
        <v>4674</v>
      </c>
      <c r="G96">
        <v>326</v>
      </c>
      <c r="H96">
        <v>62</v>
      </c>
      <c r="I96">
        <v>45503</v>
      </c>
      <c r="J96">
        <v>46814</v>
      </c>
      <c r="K96">
        <v>116</v>
      </c>
      <c r="L96" t="s">
        <v>24</v>
      </c>
      <c r="M96" t="s">
        <v>62</v>
      </c>
    </row>
    <row r="97" spans="1:13" x14ac:dyDescent="0.3">
      <c r="A97" t="s">
        <v>125</v>
      </c>
      <c r="B97" t="s">
        <v>13</v>
      </c>
      <c r="C97" s="12">
        <v>45292</v>
      </c>
      <c r="D97" t="s">
        <v>46</v>
      </c>
      <c r="E97" t="s">
        <v>15</v>
      </c>
      <c r="F97">
        <v>3437</v>
      </c>
      <c r="G97">
        <v>129</v>
      </c>
      <c r="H97">
        <v>359</v>
      </c>
      <c r="I97">
        <v>44558</v>
      </c>
      <c r="J97">
        <v>30854</v>
      </c>
      <c r="K97">
        <v>171</v>
      </c>
      <c r="L97" t="s">
        <v>27</v>
      </c>
      <c r="M97" t="s">
        <v>85</v>
      </c>
    </row>
    <row r="98" spans="1:13" x14ac:dyDescent="0.3">
      <c r="A98" t="s">
        <v>125</v>
      </c>
      <c r="B98" t="s">
        <v>13</v>
      </c>
      <c r="C98" s="12">
        <v>45292</v>
      </c>
      <c r="D98" t="s">
        <v>46</v>
      </c>
      <c r="E98" t="s">
        <v>15</v>
      </c>
      <c r="F98">
        <v>3437</v>
      </c>
      <c r="G98">
        <v>129</v>
      </c>
      <c r="H98">
        <v>359</v>
      </c>
      <c r="I98">
        <v>44558</v>
      </c>
      <c r="J98">
        <v>30854</v>
      </c>
      <c r="K98">
        <v>171</v>
      </c>
      <c r="L98" t="s">
        <v>30</v>
      </c>
      <c r="M98" t="s">
        <v>85</v>
      </c>
    </row>
    <row r="99" spans="1:13" x14ac:dyDescent="0.3">
      <c r="A99" t="s">
        <v>126</v>
      </c>
      <c r="B99" t="s">
        <v>7</v>
      </c>
      <c r="C99" s="12">
        <v>45599</v>
      </c>
      <c r="D99" t="s">
        <v>44</v>
      </c>
      <c r="E99" t="s">
        <v>29</v>
      </c>
      <c r="F99">
        <v>1959</v>
      </c>
      <c r="G99">
        <v>316</v>
      </c>
      <c r="H99">
        <v>82</v>
      </c>
      <c r="I99">
        <v>54036</v>
      </c>
      <c r="J99">
        <v>69015</v>
      </c>
      <c r="K99">
        <v>182</v>
      </c>
      <c r="L99" t="s">
        <v>36</v>
      </c>
      <c r="M99" t="s">
        <v>60</v>
      </c>
    </row>
    <row r="100" spans="1:13" x14ac:dyDescent="0.3">
      <c r="A100" t="s">
        <v>126</v>
      </c>
      <c r="B100" t="s">
        <v>7</v>
      </c>
      <c r="C100" s="12">
        <v>45599</v>
      </c>
      <c r="D100" t="s">
        <v>44</v>
      </c>
      <c r="E100" t="s">
        <v>29</v>
      </c>
      <c r="F100">
        <v>1959</v>
      </c>
      <c r="G100">
        <v>316</v>
      </c>
      <c r="H100">
        <v>82</v>
      </c>
      <c r="I100">
        <v>54036</v>
      </c>
      <c r="J100">
        <v>69015</v>
      </c>
      <c r="K100">
        <v>182</v>
      </c>
      <c r="L100" t="s">
        <v>33</v>
      </c>
      <c r="M100" t="s">
        <v>60</v>
      </c>
    </row>
    <row r="101" spans="1:13" x14ac:dyDescent="0.3">
      <c r="A101" t="s">
        <v>127</v>
      </c>
      <c r="B101" t="s">
        <v>7</v>
      </c>
      <c r="C101" s="12">
        <v>45480</v>
      </c>
      <c r="D101" t="s">
        <v>45</v>
      </c>
      <c r="E101" t="s">
        <v>12</v>
      </c>
      <c r="F101">
        <v>1035</v>
      </c>
      <c r="G101">
        <v>137</v>
      </c>
      <c r="H101">
        <v>184</v>
      </c>
      <c r="I101">
        <v>37302</v>
      </c>
      <c r="J101">
        <v>68953</v>
      </c>
      <c r="K101">
        <v>237</v>
      </c>
      <c r="L101" t="s">
        <v>30</v>
      </c>
      <c r="M101" t="s">
        <v>62</v>
      </c>
    </row>
    <row r="102" spans="1:13" x14ac:dyDescent="0.3">
      <c r="A102" t="s">
        <v>128</v>
      </c>
      <c r="B102" t="s">
        <v>7</v>
      </c>
      <c r="C102" s="12">
        <v>45679</v>
      </c>
      <c r="D102" t="s">
        <v>44</v>
      </c>
      <c r="E102" t="s">
        <v>12</v>
      </c>
      <c r="F102">
        <v>4478</v>
      </c>
      <c r="G102">
        <v>101</v>
      </c>
      <c r="H102">
        <v>121</v>
      </c>
      <c r="I102">
        <v>51035</v>
      </c>
      <c r="J102">
        <v>58207</v>
      </c>
      <c r="K102">
        <v>205</v>
      </c>
      <c r="L102" t="s">
        <v>36</v>
      </c>
      <c r="M102" t="s">
        <v>60</v>
      </c>
    </row>
    <row r="103" spans="1:13" x14ac:dyDescent="0.3">
      <c r="A103" t="s">
        <v>128</v>
      </c>
      <c r="B103" t="s">
        <v>7</v>
      </c>
      <c r="C103" s="12">
        <v>45679</v>
      </c>
      <c r="D103" t="s">
        <v>44</v>
      </c>
      <c r="E103" t="s">
        <v>12</v>
      </c>
      <c r="F103">
        <v>4478</v>
      </c>
      <c r="G103">
        <v>101</v>
      </c>
      <c r="H103">
        <v>121</v>
      </c>
      <c r="I103">
        <v>51035</v>
      </c>
      <c r="J103">
        <v>58207</v>
      </c>
      <c r="K103">
        <v>205</v>
      </c>
      <c r="L103" t="s">
        <v>33</v>
      </c>
      <c r="M103" t="s">
        <v>60</v>
      </c>
    </row>
    <row r="104" spans="1:13" x14ac:dyDescent="0.3">
      <c r="A104" t="s">
        <v>129</v>
      </c>
      <c r="B104" t="s">
        <v>13</v>
      </c>
      <c r="C104" s="12">
        <v>45438</v>
      </c>
      <c r="D104" t="s">
        <v>45</v>
      </c>
      <c r="E104" t="s">
        <v>26</v>
      </c>
      <c r="F104">
        <v>1488</v>
      </c>
      <c r="G104">
        <v>327</v>
      </c>
      <c r="H104">
        <v>110</v>
      </c>
      <c r="I104">
        <v>53805</v>
      </c>
      <c r="J104">
        <v>30239</v>
      </c>
      <c r="K104">
        <v>109</v>
      </c>
      <c r="L104" t="s">
        <v>27</v>
      </c>
      <c r="M104" t="s">
        <v>62</v>
      </c>
    </row>
    <row r="105" spans="1:13" x14ac:dyDescent="0.3">
      <c r="A105" t="s">
        <v>129</v>
      </c>
      <c r="B105" t="s">
        <v>13</v>
      </c>
      <c r="C105" s="12">
        <v>45438</v>
      </c>
      <c r="D105" t="s">
        <v>45</v>
      </c>
      <c r="E105" t="s">
        <v>26</v>
      </c>
      <c r="F105">
        <v>1488</v>
      </c>
      <c r="G105">
        <v>327</v>
      </c>
      <c r="H105">
        <v>110</v>
      </c>
      <c r="I105">
        <v>53805</v>
      </c>
      <c r="J105">
        <v>30239</v>
      </c>
      <c r="K105">
        <v>109</v>
      </c>
      <c r="L105" t="s">
        <v>24</v>
      </c>
      <c r="M105" t="s">
        <v>62</v>
      </c>
    </row>
    <row r="106" spans="1:13" x14ac:dyDescent="0.3">
      <c r="A106" t="s">
        <v>130</v>
      </c>
      <c r="B106" t="s">
        <v>10</v>
      </c>
      <c r="C106" s="12">
        <v>45763</v>
      </c>
      <c r="D106" t="s">
        <v>45</v>
      </c>
      <c r="E106" t="s">
        <v>29</v>
      </c>
      <c r="F106">
        <v>4836</v>
      </c>
      <c r="G106">
        <v>331</v>
      </c>
      <c r="H106">
        <v>140</v>
      </c>
      <c r="I106">
        <v>58792</v>
      </c>
      <c r="J106">
        <v>47711</v>
      </c>
      <c r="K106">
        <v>227</v>
      </c>
      <c r="L106" t="s">
        <v>30</v>
      </c>
      <c r="M106" t="s">
        <v>60</v>
      </c>
    </row>
    <row r="107" spans="1:13" x14ac:dyDescent="0.3">
      <c r="A107" t="s">
        <v>130</v>
      </c>
      <c r="B107" t="s">
        <v>10</v>
      </c>
      <c r="C107" s="12">
        <v>45763</v>
      </c>
      <c r="D107" t="s">
        <v>45</v>
      </c>
      <c r="E107" t="s">
        <v>29</v>
      </c>
      <c r="F107">
        <v>4836</v>
      </c>
      <c r="G107">
        <v>331</v>
      </c>
      <c r="H107">
        <v>140</v>
      </c>
      <c r="I107">
        <v>58792</v>
      </c>
      <c r="J107">
        <v>47711</v>
      </c>
      <c r="K107">
        <v>227</v>
      </c>
      <c r="L107" t="s">
        <v>33</v>
      </c>
      <c r="M107" t="s">
        <v>60</v>
      </c>
    </row>
    <row r="108" spans="1:13" x14ac:dyDescent="0.3">
      <c r="A108" t="s">
        <v>131</v>
      </c>
      <c r="B108" t="s">
        <v>13</v>
      </c>
      <c r="C108" s="12">
        <v>45384</v>
      </c>
      <c r="D108" t="s">
        <v>46</v>
      </c>
      <c r="E108" t="s">
        <v>78</v>
      </c>
      <c r="F108">
        <v>4563</v>
      </c>
      <c r="G108">
        <v>488</v>
      </c>
      <c r="H108">
        <v>356</v>
      </c>
      <c r="I108">
        <v>30619</v>
      </c>
      <c r="J108">
        <v>23328</v>
      </c>
      <c r="K108">
        <v>267</v>
      </c>
      <c r="L108" t="s">
        <v>27</v>
      </c>
      <c r="M108" t="s">
        <v>85</v>
      </c>
    </row>
    <row r="109" spans="1:13" x14ac:dyDescent="0.3">
      <c r="A109" t="s">
        <v>131</v>
      </c>
      <c r="B109" t="s">
        <v>13</v>
      </c>
      <c r="C109" s="12">
        <v>45384</v>
      </c>
      <c r="D109" t="s">
        <v>46</v>
      </c>
      <c r="E109" t="s">
        <v>78</v>
      </c>
      <c r="F109">
        <v>4563</v>
      </c>
      <c r="G109">
        <v>488</v>
      </c>
      <c r="H109">
        <v>356</v>
      </c>
      <c r="I109">
        <v>30619</v>
      </c>
      <c r="J109">
        <v>23328</v>
      </c>
      <c r="K109">
        <v>267</v>
      </c>
      <c r="L109" t="s">
        <v>30</v>
      </c>
      <c r="M109" t="s">
        <v>85</v>
      </c>
    </row>
    <row r="110" spans="1:13" x14ac:dyDescent="0.3">
      <c r="A110" t="s">
        <v>34</v>
      </c>
      <c r="B110" t="s">
        <v>7</v>
      </c>
      <c r="C110" s="12">
        <v>45379</v>
      </c>
      <c r="D110" t="s">
        <v>45</v>
      </c>
      <c r="E110" t="s">
        <v>35</v>
      </c>
      <c r="F110">
        <v>3276</v>
      </c>
      <c r="G110">
        <v>421</v>
      </c>
      <c r="H110">
        <v>114</v>
      </c>
      <c r="I110">
        <v>20580</v>
      </c>
      <c r="J110">
        <v>30324</v>
      </c>
      <c r="K110">
        <v>221</v>
      </c>
      <c r="L110" t="s">
        <v>30</v>
      </c>
      <c r="M110" t="s">
        <v>62</v>
      </c>
    </row>
    <row r="111" spans="1:13" x14ac:dyDescent="0.3">
      <c r="A111" t="s">
        <v>132</v>
      </c>
      <c r="B111" t="s">
        <v>7</v>
      </c>
      <c r="C111" s="12">
        <v>45643</v>
      </c>
      <c r="D111" t="s">
        <v>44</v>
      </c>
      <c r="E111" t="s">
        <v>35</v>
      </c>
      <c r="F111">
        <v>1316</v>
      </c>
      <c r="G111">
        <v>472</v>
      </c>
      <c r="H111">
        <v>286</v>
      </c>
      <c r="I111">
        <v>44692</v>
      </c>
      <c r="J111">
        <v>53343</v>
      </c>
      <c r="K111">
        <v>227</v>
      </c>
      <c r="L111" t="s">
        <v>27</v>
      </c>
      <c r="M111" t="s">
        <v>60</v>
      </c>
    </row>
    <row r="112" spans="1:13" x14ac:dyDescent="0.3">
      <c r="A112" t="s">
        <v>132</v>
      </c>
      <c r="B112" t="s">
        <v>7</v>
      </c>
      <c r="C112" s="12">
        <v>45643</v>
      </c>
      <c r="D112" t="s">
        <v>44</v>
      </c>
      <c r="E112" t="s">
        <v>35</v>
      </c>
      <c r="F112">
        <v>1316</v>
      </c>
      <c r="G112">
        <v>472</v>
      </c>
      <c r="H112">
        <v>286</v>
      </c>
      <c r="I112">
        <v>44692</v>
      </c>
      <c r="J112">
        <v>53343</v>
      </c>
      <c r="K112">
        <v>227</v>
      </c>
      <c r="L112" t="s">
        <v>36</v>
      </c>
      <c r="M112" t="s">
        <v>60</v>
      </c>
    </row>
    <row r="113" spans="1:13" x14ac:dyDescent="0.3">
      <c r="A113" t="s">
        <v>133</v>
      </c>
      <c r="B113" t="s">
        <v>7</v>
      </c>
      <c r="C113" s="12">
        <v>45662</v>
      </c>
      <c r="D113" t="s">
        <v>45</v>
      </c>
      <c r="E113" t="s">
        <v>29</v>
      </c>
      <c r="F113">
        <v>4811</v>
      </c>
      <c r="G113">
        <v>473</v>
      </c>
      <c r="H113">
        <v>254</v>
      </c>
      <c r="I113">
        <v>51964</v>
      </c>
      <c r="J113">
        <v>68795</v>
      </c>
      <c r="K113">
        <v>107</v>
      </c>
      <c r="L113" t="s">
        <v>33</v>
      </c>
      <c r="M113" t="s">
        <v>60</v>
      </c>
    </row>
    <row r="114" spans="1:13" x14ac:dyDescent="0.3">
      <c r="A114" t="s">
        <v>134</v>
      </c>
      <c r="B114" t="s">
        <v>7</v>
      </c>
      <c r="C114" s="12">
        <v>45302</v>
      </c>
      <c r="D114" t="s">
        <v>45</v>
      </c>
      <c r="E114" t="s">
        <v>23</v>
      </c>
      <c r="F114">
        <v>4218</v>
      </c>
      <c r="G114">
        <v>247</v>
      </c>
      <c r="H114">
        <v>183</v>
      </c>
      <c r="I114">
        <v>28914</v>
      </c>
      <c r="J114">
        <v>18310</v>
      </c>
      <c r="K114">
        <v>135</v>
      </c>
      <c r="L114" t="s">
        <v>30</v>
      </c>
      <c r="M114" t="s">
        <v>62</v>
      </c>
    </row>
    <row r="115" spans="1:13" x14ac:dyDescent="0.3">
      <c r="A115" t="s">
        <v>135</v>
      </c>
      <c r="B115" t="s">
        <v>10</v>
      </c>
      <c r="C115" s="12">
        <v>45576</v>
      </c>
      <c r="D115" t="s">
        <v>45</v>
      </c>
      <c r="E115" t="s">
        <v>26</v>
      </c>
      <c r="F115">
        <v>1360</v>
      </c>
      <c r="G115">
        <v>249</v>
      </c>
      <c r="H115">
        <v>52</v>
      </c>
      <c r="I115">
        <v>20368</v>
      </c>
      <c r="J115">
        <v>42152</v>
      </c>
      <c r="K115">
        <v>193</v>
      </c>
      <c r="L115" t="s">
        <v>27</v>
      </c>
      <c r="M115" t="s">
        <v>62</v>
      </c>
    </row>
    <row r="116" spans="1:13" x14ac:dyDescent="0.3">
      <c r="A116" t="s">
        <v>136</v>
      </c>
      <c r="B116" t="s">
        <v>13</v>
      </c>
      <c r="C116" s="12">
        <v>45783</v>
      </c>
      <c r="D116" t="s">
        <v>46</v>
      </c>
      <c r="E116" t="s">
        <v>19</v>
      </c>
      <c r="F116">
        <v>1085</v>
      </c>
      <c r="G116">
        <v>496</v>
      </c>
      <c r="H116">
        <v>320</v>
      </c>
      <c r="I116">
        <v>36528</v>
      </c>
      <c r="J116">
        <v>38599</v>
      </c>
      <c r="K116">
        <v>270</v>
      </c>
      <c r="L116" t="s">
        <v>27</v>
      </c>
      <c r="M116" t="s">
        <v>85</v>
      </c>
    </row>
    <row r="117" spans="1:13" x14ac:dyDescent="0.3">
      <c r="A117" t="s">
        <v>136</v>
      </c>
      <c r="B117" t="s">
        <v>13</v>
      </c>
      <c r="C117" s="12">
        <v>45783</v>
      </c>
      <c r="D117" t="s">
        <v>46</v>
      </c>
      <c r="E117" t="s">
        <v>19</v>
      </c>
      <c r="F117">
        <v>1085</v>
      </c>
      <c r="G117">
        <v>496</v>
      </c>
      <c r="H117">
        <v>320</v>
      </c>
      <c r="I117">
        <v>36528</v>
      </c>
      <c r="J117">
        <v>38599</v>
      </c>
      <c r="K117">
        <v>270</v>
      </c>
      <c r="L117" t="s">
        <v>30</v>
      </c>
      <c r="M117" t="s">
        <v>85</v>
      </c>
    </row>
    <row r="118" spans="1:13" x14ac:dyDescent="0.3">
      <c r="A118" t="s">
        <v>137</v>
      </c>
      <c r="B118" t="s">
        <v>7</v>
      </c>
      <c r="C118" s="12">
        <v>45431</v>
      </c>
      <c r="D118" t="s">
        <v>44</v>
      </c>
      <c r="E118" t="s">
        <v>9</v>
      </c>
      <c r="F118">
        <v>1763</v>
      </c>
      <c r="G118">
        <v>206</v>
      </c>
      <c r="H118">
        <v>187</v>
      </c>
      <c r="I118">
        <v>53342</v>
      </c>
      <c r="J118">
        <v>25095</v>
      </c>
      <c r="K118">
        <v>88</v>
      </c>
      <c r="L118" t="s">
        <v>27</v>
      </c>
      <c r="M118" t="s">
        <v>60</v>
      </c>
    </row>
    <row r="119" spans="1:13" x14ac:dyDescent="0.3">
      <c r="A119" t="s">
        <v>137</v>
      </c>
      <c r="B119" t="s">
        <v>7</v>
      </c>
      <c r="C119" s="12">
        <v>45431</v>
      </c>
      <c r="D119" t="s">
        <v>44</v>
      </c>
      <c r="E119" t="s">
        <v>9</v>
      </c>
      <c r="F119">
        <v>1763</v>
      </c>
      <c r="G119">
        <v>206</v>
      </c>
      <c r="H119">
        <v>187</v>
      </c>
      <c r="I119">
        <v>53342</v>
      </c>
      <c r="J119">
        <v>25095</v>
      </c>
      <c r="K119">
        <v>88</v>
      </c>
      <c r="L119" t="s">
        <v>36</v>
      </c>
      <c r="M119" t="s">
        <v>60</v>
      </c>
    </row>
    <row r="120" spans="1:13" x14ac:dyDescent="0.3">
      <c r="A120" t="s">
        <v>138</v>
      </c>
      <c r="B120" t="s">
        <v>7</v>
      </c>
      <c r="C120" s="12">
        <v>45313</v>
      </c>
      <c r="D120" t="s">
        <v>44</v>
      </c>
      <c r="E120" t="s">
        <v>26</v>
      </c>
      <c r="F120">
        <v>1554</v>
      </c>
      <c r="G120">
        <v>455</v>
      </c>
      <c r="H120">
        <v>158</v>
      </c>
      <c r="I120">
        <v>41947</v>
      </c>
      <c r="J120">
        <v>48578</v>
      </c>
      <c r="K120">
        <v>101</v>
      </c>
      <c r="L120" t="s">
        <v>30</v>
      </c>
      <c r="M120" t="s">
        <v>60</v>
      </c>
    </row>
    <row r="121" spans="1:13" x14ac:dyDescent="0.3">
      <c r="A121" t="s">
        <v>138</v>
      </c>
      <c r="B121" t="s">
        <v>7</v>
      </c>
      <c r="C121" s="12">
        <v>45313</v>
      </c>
      <c r="D121" t="s">
        <v>44</v>
      </c>
      <c r="E121" t="s">
        <v>26</v>
      </c>
      <c r="F121">
        <v>1554</v>
      </c>
      <c r="G121">
        <v>455</v>
      </c>
      <c r="H121">
        <v>158</v>
      </c>
      <c r="I121">
        <v>41947</v>
      </c>
      <c r="J121">
        <v>48578</v>
      </c>
      <c r="K121">
        <v>101</v>
      </c>
      <c r="L121" t="s">
        <v>33</v>
      </c>
      <c r="M121" t="s">
        <v>60</v>
      </c>
    </row>
    <row r="122" spans="1:13" x14ac:dyDescent="0.3">
      <c r="A122" t="s">
        <v>139</v>
      </c>
      <c r="B122" t="s">
        <v>10</v>
      </c>
      <c r="C122" s="12">
        <v>45487</v>
      </c>
      <c r="D122" t="s">
        <v>45</v>
      </c>
      <c r="E122" t="s">
        <v>29</v>
      </c>
      <c r="F122">
        <v>2464</v>
      </c>
      <c r="G122">
        <v>401</v>
      </c>
      <c r="H122">
        <v>78</v>
      </c>
      <c r="I122">
        <v>38665</v>
      </c>
      <c r="J122">
        <v>73593</v>
      </c>
      <c r="K122">
        <v>207</v>
      </c>
      <c r="L122" t="s">
        <v>27</v>
      </c>
      <c r="M122" t="s">
        <v>62</v>
      </c>
    </row>
    <row r="123" spans="1:13" x14ac:dyDescent="0.3">
      <c r="A123" t="s">
        <v>140</v>
      </c>
      <c r="B123" t="s">
        <v>7</v>
      </c>
      <c r="C123" s="12">
        <v>45805</v>
      </c>
      <c r="D123" t="s">
        <v>45</v>
      </c>
      <c r="E123" t="s">
        <v>26</v>
      </c>
      <c r="F123">
        <v>2418</v>
      </c>
      <c r="G123">
        <v>161</v>
      </c>
      <c r="H123">
        <v>360</v>
      </c>
      <c r="I123">
        <v>30589</v>
      </c>
      <c r="J123">
        <v>41383</v>
      </c>
      <c r="K123">
        <v>88</v>
      </c>
      <c r="L123" t="s">
        <v>33</v>
      </c>
      <c r="M123" t="s">
        <v>60</v>
      </c>
    </row>
    <row r="124" spans="1:13" x14ac:dyDescent="0.3">
      <c r="A124" t="s">
        <v>141</v>
      </c>
      <c r="B124" t="s">
        <v>7</v>
      </c>
      <c r="C124" s="12">
        <v>45678</v>
      </c>
      <c r="D124" t="s">
        <v>44</v>
      </c>
      <c r="E124" t="s">
        <v>19</v>
      </c>
      <c r="F124">
        <v>2494</v>
      </c>
      <c r="G124">
        <v>494</v>
      </c>
      <c r="H124">
        <v>55</v>
      </c>
      <c r="I124">
        <v>22580</v>
      </c>
      <c r="J124">
        <v>22214</v>
      </c>
      <c r="K124">
        <v>109</v>
      </c>
      <c r="L124" t="s">
        <v>36</v>
      </c>
      <c r="M124" t="s">
        <v>60</v>
      </c>
    </row>
    <row r="125" spans="1:13" x14ac:dyDescent="0.3">
      <c r="A125" t="s">
        <v>141</v>
      </c>
      <c r="B125" t="s">
        <v>7</v>
      </c>
      <c r="C125" s="12">
        <v>45678</v>
      </c>
      <c r="D125" t="s">
        <v>44</v>
      </c>
      <c r="E125" t="s">
        <v>19</v>
      </c>
      <c r="F125">
        <v>2494</v>
      </c>
      <c r="G125">
        <v>494</v>
      </c>
      <c r="H125">
        <v>55</v>
      </c>
      <c r="I125">
        <v>22580</v>
      </c>
      <c r="J125">
        <v>22214</v>
      </c>
      <c r="K125">
        <v>109</v>
      </c>
      <c r="L125" t="s">
        <v>33</v>
      </c>
      <c r="M125" t="s">
        <v>60</v>
      </c>
    </row>
    <row r="126" spans="1:13" x14ac:dyDescent="0.3">
      <c r="A126" t="s">
        <v>142</v>
      </c>
      <c r="B126" t="s">
        <v>13</v>
      </c>
      <c r="C126" s="12">
        <v>45304</v>
      </c>
      <c r="D126" t="s">
        <v>46</v>
      </c>
      <c r="E126" t="s">
        <v>12</v>
      </c>
      <c r="F126">
        <v>4781</v>
      </c>
      <c r="G126">
        <v>191</v>
      </c>
      <c r="H126">
        <v>122</v>
      </c>
      <c r="I126">
        <v>35535</v>
      </c>
      <c r="J126">
        <v>50777</v>
      </c>
      <c r="K126">
        <v>128</v>
      </c>
      <c r="L126" t="s">
        <v>27</v>
      </c>
      <c r="M126" t="s">
        <v>85</v>
      </c>
    </row>
    <row r="127" spans="1:13" x14ac:dyDescent="0.3">
      <c r="A127" t="s">
        <v>142</v>
      </c>
      <c r="B127" t="s">
        <v>13</v>
      </c>
      <c r="C127" s="12">
        <v>45304</v>
      </c>
      <c r="D127" t="s">
        <v>46</v>
      </c>
      <c r="E127" t="s">
        <v>12</v>
      </c>
      <c r="F127">
        <v>4781</v>
      </c>
      <c r="G127">
        <v>191</v>
      </c>
      <c r="H127">
        <v>122</v>
      </c>
      <c r="I127">
        <v>35535</v>
      </c>
      <c r="J127">
        <v>50777</v>
      </c>
      <c r="K127">
        <v>128</v>
      </c>
      <c r="L127" t="s">
        <v>30</v>
      </c>
      <c r="M127" t="s">
        <v>85</v>
      </c>
    </row>
    <row r="128" spans="1:13" x14ac:dyDescent="0.3">
      <c r="A128" t="s">
        <v>143</v>
      </c>
      <c r="B128" t="s">
        <v>10</v>
      </c>
      <c r="C128" s="12">
        <v>45825</v>
      </c>
      <c r="D128" t="s">
        <v>45</v>
      </c>
      <c r="E128" t="s">
        <v>35</v>
      </c>
      <c r="F128">
        <v>2284</v>
      </c>
      <c r="G128">
        <v>187</v>
      </c>
      <c r="H128">
        <v>260</v>
      </c>
      <c r="I128">
        <v>37400</v>
      </c>
      <c r="J128">
        <v>65014</v>
      </c>
      <c r="K128">
        <v>157</v>
      </c>
      <c r="L128" t="s">
        <v>30</v>
      </c>
      <c r="M128" t="s">
        <v>60</v>
      </c>
    </row>
    <row r="129" spans="1:13" x14ac:dyDescent="0.3">
      <c r="A129" t="s">
        <v>143</v>
      </c>
      <c r="B129" t="s">
        <v>10</v>
      </c>
      <c r="C129" s="12">
        <v>45825</v>
      </c>
      <c r="D129" t="s">
        <v>45</v>
      </c>
      <c r="E129" t="s">
        <v>35</v>
      </c>
      <c r="F129">
        <v>2284</v>
      </c>
      <c r="G129">
        <v>187</v>
      </c>
      <c r="H129">
        <v>260</v>
      </c>
      <c r="I129">
        <v>37400</v>
      </c>
      <c r="J129">
        <v>65014</v>
      </c>
      <c r="K129">
        <v>157</v>
      </c>
      <c r="L129" t="s">
        <v>33</v>
      </c>
      <c r="M129" t="s">
        <v>60</v>
      </c>
    </row>
    <row r="130" spans="1:13" x14ac:dyDescent="0.3">
      <c r="A130" t="s">
        <v>144</v>
      </c>
      <c r="B130" t="s">
        <v>7</v>
      </c>
      <c r="C130" s="12">
        <v>45723</v>
      </c>
      <c r="D130" t="s">
        <v>45</v>
      </c>
      <c r="E130" t="s">
        <v>9</v>
      </c>
      <c r="F130">
        <v>4234</v>
      </c>
      <c r="G130">
        <v>486</v>
      </c>
      <c r="H130">
        <v>276</v>
      </c>
      <c r="I130">
        <v>56623</v>
      </c>
      <c r="J130">
        <v>41343</v>
      </c>
      <c r="K130">
        <v>184</v>
      </c>
      <c r="L130" t="s">
        <v>30</v>
      </c>
      <c r="M130" t="s">
        <v>62</v>
      </c>
    </row>
    <row r="131" spans="1:13" x14ac:dyDescent="0.3">
      <c r="A131" t="s">
        <v>145</v>
      </c>
      <c r="B131" t="s">
        <v>10</v>
      </c>
      <c r="C131" s="12">
        <v>45530</v>
      </c>
      <c r="D131" t="s">
        <v>45</v>
      </c>
      <c r="E131" t="s">
        <v>78</v>
      </c>
      <c r="F131">
        <v>2102</v>
      </c>
      <c r="G131">
        <v>181</v>
      </c>
      <c r="H131">
        <v>306</v>
      </c>
      <c r="I131">
        <v>43650</v>
      </c>
      <c r="J131">
        <v>50079</v>
      </c>
      <c r="K131">
        <v>182</v>
      </c>
      <c r="L131" t="s">
        <v>27</v>
      </c>
      <c r="M131" t="s">
        <v>62</v>
      </c>
    </row>
    <row r="132" spans="1:13" x14ac:dyDescent="0.3">
      <c r="A132" t="s">
        <v>146</v>
      </c>
      <c r="B132" t="s">
        <v>7</v>
      </c>
      <c r="C132" s="12">
        <v>45660</v>
      </c>
      <c r="D132" t="s">
        <v>44</v>
      </c>
      <c r="E132" t="s">
        <v>9</v>
      </c>
      <c r="F132">
        <v>4845</v>
      </c>
      <c r="G132">
        <v>158</v>
      </c>
      <c r="H132">
        <v>84</v>
      </c>
      <c r="I132">
        <v>34578</v>
      </c>
      <c r="J132">
        <v>51480</v>
      </c>
      <c r="K132">
        <v>180</v>
      </c>
      <c r="L132" t="s">
        <v>30</v>
      </c>
      <c r="M132" t="s">
        <v>60</v>
      </c>
    </row>
    <row r="133" spans="1:13" x14ac:dyDescent="0.3">
      <c r="A133" t="s">
        <v>146</v>
      </c>
      <c r="B133" t="s">
        <v>7</v>
      </c>
      <c r="C133" s="12">
        <v>45660</v>
      </c>
      <c r="D133" t="s">
        <v>44</v>
      </c>
      <c r="E133" t="s">
        <v>9</v>
      </c>
      <c r="F133">
        <v>4845</v>
      </c>
      <c r="G133">
        <v>158</v>
      </c>
      <c r="H133">
        <v>84</v>
      </c>
      <c r="I133">
        <v>34578</v>
      </c>
      <c r="J133">
        <v>51480</v>
      </c>
      <c r="K133">
        <v>180</v>
      </c>
      <c r="L133" t="s">
        <v>33</v>
      </c>
      <c r="M133" t="s">
        <v>60</v>
      </c>
    </row>
    <row r="134" spans="1:13" x14ac:dyDescent="0.3">
      <c r="A134" t="s">
        <v>147</v>
      </c>
      <c r="B134" t="s">
        <v>7</v>
      </c>
      <c r="C134" s="12">
        <v>45507</v>
      </c>
      <c r="D134" t="s">
        <v>45</v>
      </c>
      <c r="E134" t="s">
        <v>78</v>
      </c>
      <c r="F134">
        <v>4247</v>
      </c>
      <c r="G134">
        <v>390</v>
      </c>
      <c r="H134">
        <v>213</v>
      </c>
      <c r="I134">
        <v>29785</v>
      </c>
      <c r="J134">
        <v>57768</v>
      </c>
      <c r="K134">
        <v>122</v>
      </c>
      <c r="L134" t="s">
        <v>33</v>
      </c>
      <c r="M134" t="s">
        <v>60</v>
      </c>
    </row>
    <row r="135" spans="1:13" x14ac:dyDescent="0.3">
      <c r="A135" t="s">
        <v>148</v>
      </c>
      <c r="B135" t="s">
        <v>10</v>
      </c>
      <c r="C135" s="12">
        <v>45522</v>
      </c>
      <c r="D135" t="s">
        <v>45</v>
      </c>
      <c r="E135" t="s">
        <v>15</v>
      </c>
      <c r="F135">
        <v>2965</v>
      </c>
      <c r="G135">
        <v>328</v>
      </c>
      <c r="H135">
        <v>171</v>
      </c>
      <c r="I135">
        <v>57685</v>
      </c>
      <c r="J135">
        <v>67536</v>
      </c>
      <c r="K135">
        <v>264</v>
      </c>
      <c r="L135" t="s">
        <v>30</v>
      </c>
      <c r="M135" t="s">
        <v>60</v>
      </c>
    </row>
    <row r="136" spans="1:13" x14ac:dyDescent="0.3">
      <c r="A136" t="s">
        <v>148</v>
      </c>
      <c r="B136" t="s">
        <v>10</v>
      </c>
      <c r="C136" s="12">
        <v>45522</v>
      </c>
      <c r="D136" t="s">
        <v>45</v>
      </c>
      <c r="E136" t="s">
        <v>15</v>
      </c>
      <c r="F136">
        <v>2965</v>
      </c>
      <c r="G136">
        <v>328</v>
      </c>
      <c r="H136">
        <v>171</v>
      </c>
      <c r="I136">
        <v>57685</v>
      </c>
      <c r="J136">
        <v>67536</v>
      </c>
      <c r="K136">
        <v>264</v>
      </c>
      <c r="L136" t="s">
        <v>33</v>
      </c>
      <c r="M136" t="s">
        <v>60</v>
      </c>
    </row>
    <row r="137" spans="1:13" x14ac:dyDescent="0.3">
      <c r="A137" t="s">
        <v>149</v>
      </c>
      <c r="B137" t="s">
        <v>7</v>
      </c>
      <c r="C137" s="12">
        <v>45791</v>
      </c>
      <c r="D137" t="s">
        <v>44</v>
      </c>
      <c r="E137" t="s">
        <v>29</v>
      </c>
      <c r="F137">
        <v>1371</v>
      </c>
      <c r="G137">
        <v>139</v>
      </c>
      <c r="H137">
        <v>96</v>
      </c>
      <c r="I137">
        <v>36140</v>
      </c>
      <c r="J137">
        <v>39395</v>
      </c>
      <c r="K137">
        <v>169</v>
      </c>
      <c r="L137" t="s">
        <v>30</v>
      </c>
      <c r="M137" t="s">
        <v>60</v>
      </c>
    </row>
    <row r="138" spans="1:13" x14ac:dyDescent="0.3">
      <c r="A138" t="s">
        <v>149</v>
      </c>
      <c r="B138" t="s">
        <v>7</v>
      </c>
      <c r="C138" s="12">
        <v>45791</v>
      </c>
      <c r="D138" t="s">
        <v>44</v>
      </c>
      <c r="E138" t="s">
        <v>29</v>
      </c>
      <c r="F138">
        <v>1371</v>
      </c>
      <c r="G138">
        <v>139</v>
      </c>
      <c r="H138">
        <v>96</v>
      </c>
      <c r="I138">
        <v>36140</v>
      </c>
      <c r="J138">
        <v>39395</v>
      </c>
      <c r="K138">
        <v>169</v>
      </c>
      <c r="L138" t="s">
        <v>33</v>
      </c>
      <c r="M138" t="s">
        <v>60</v>
      </c>
    </row>
    <row r="139" spans="1:13" x14ac:dyDescent="0.3">
      <c r="A139" t="s">
        <v>150</v>
      </c>
      <c r="B139" t="s">
        <v>7</v>
      </c>
      <c r="C139" s="12">
        <v>45405</v>
      </c>
      <c r="D139" t="s">
        <v>44</v>
      </c>
      <c r="E139" t="s">
        <v>19</v>
      </c>
      <c r="F139">
        <v>2683</v>
      </c>
      <c r="G139">
        <v>496</v>
      </c>
      <c r="H139">
        <v>89</v>
      </c>
      <c r="I139">
        <v>53435</v>
      </c>
      <c r="J139">
        <v>30334</v>
      </c>
      <c r="K139">
        <v>160</v>
      </c>
      <c r="L139" t="s">
        <v>30</v>
      </c>
      <c r="M139" t="s">
        <v>60</v>
      </c>
    </row>
    <row r="140" spans="1:13" x14ac:dyDescent="0.3">
      <c r="A140" t="s">
        <v>150</v>
      </c>
      <c r="B140" t="s">
        <v>7</v>
      </c>
      <c r="C140" s="12">
        <v>45405</v>
      </c>
      <c r="D140" t="s">
        <v>44</v>
      </c>
      <c r="E140" t="s">
        <v>19</v>
      </c>
      <c r="F140">
        <v>2683</v>
      </c>
      <c r="G140">
        <v>496</v>
      </c>
      <c r="H140">
        <v>89</v>
      </c>
      <c r="I140">
        <v>53435</v>
      </c>
      <c r="J140">
        <v>30334</v>
      </c>
      <c r="K140">
        <v>160</v>
      </c>
      <c r="L140" t="s">
        <v>33</v>
      </c>
      <c r="M140" t="s">
        <v>60</v>
      </c>
    </row>
    <row r="141" spans="1:13" x14ac:dyDescent="0.3">
      <c r="A141" t="s">
        <v>151</v>
      </c>
      <c r="B141" t="s">
        <v>7</v>
      </c>
      <c r="C141" s="12">
        <v>45705</v>
      </c>
      <c r="D141" t="s">
        <v>44</v>
      </c>
      <c r="E141" t="s">
        <v>23</v>
      </c>
      <c r="F141">
        <v>4796</v>
      </c>
      <c r="G141">
        <v>427</v>
      </c>
      <c r="H141">
        <v>339</v>
      </c>
      <c r="I141">
        <v>30752</v>
      </c>
      <c r="J141">
        <v>33870</v>
      </c>
      <c r="K141">
        <v>298</v>
      </c>
      <c r="L141" t="s">
        <v>30</v>
      </c>
      <c r="M141" t="s">
        <v>60</v>
      </c>
    </row>
    <row r="142" spans="1:13" x14ac:dyDescent="0.3">
      <c r="A142" t="s">
        <v>151</v>
      </c>
      <c r="B142" t="s">
        <v>7</v>
      </c>
      <c r="C142" s="12">
        <v>45705</v>
      </c>
      <c r="D142" t="s">
        <v>44</v>
      </c>
      <c r="E142" t="s">
        <v>23</v>
      </c>
      <c r="F142">
        <v>4796</v>
      </c>
      <c r="G142">
        <v>427</v>
      </c>
      <c r="H142">
        <v>339</v>
      </c>
      <c r="I142">
        <v>30752</v>
      </c>
      <c r="J142">
        <v>33870</v>
      </c>
      <c r="K142">
        <v>298</v>
      </c>
      <c r="L142" t="s">
        <v>33</v>
      </c>
      <c r="M142" t="s">
        <v>60</v>
      </c>
    </row>
    <row r="143" spans="1:13" x14ac:dyDescent="0.3">
      <c r="A143" t="s">
        <v>152</v>
      </c>
      <c r="B143" t="s">
        <v>10</v>
      </c>
      <c r="C143" s="12">
        <v>45630</v>
      </c>
      <c r="D143" t="s">
        <v>45</v>
      </c>
      <c r="E143" t="s">
        <v>29</v>
      </c>
      <c r="F143">
        <v>2601</v>
      </c>
      <c r="G143">
        <v>336</v>
      </c>
      <c r="H143">
        <v>260</v>
      </c>
      <c r="I143">
        <v>32368</v>
      </c>
      <c r="J143">
        <v>49028</v>
      </c>
      <c r="K143">
        <v>120</v>
      </c>
      <c r="L143" t="s">
        <v>30</v>
      </c>
      <c r="M143" t="s">
        <v>60</v>
      </c>
    </row>
    <row r="144" spans="1:13" x14ac:dyDescent="0.3">
      <c r="A144" t="s">
        <v>152</v>
      </c>
      <c r="B144" t="s">
        <v>10</v>
      </c>
      <c r="C144" s="12">
        <v>45630</v>
      </c>
      <c r="D144" t="s">
        <v>45</v>
      </c>
      <c r="E144" t="s">
        <v>29</v>
      </c>
      <c r="F144">
        <v>2601</v>
      </c>
      <c r="G144">
        <v>336</v>
      </c>
      <c r="H144">
        <v>260</v>
      </c>
      <c r="I144">
        <v>32368</v>
      </c>
      <c r="J144">
        <v>49028</v>
      </c>
      <c r="K144">
        <v>120</v>
      </c>
      <c r="L144" t="s">
        <v>33</v>
      </c>
      <c r="M144" t="s">
        <v>60</v>
      </c>
    </row>
    <row r="145" spans="1:13" x14ac:dyDescent="0.3">
      <c r="A145" t="s">
        <v>153</v>
      </c>
      <c r="B145" t="s">
        <v>7</v>
      </c>
      <c r="C145" s="12">
        <v>45495</v>
      </c>
      <c r="D145" t="s">
        <v>44</v>
      </c>
      <c r="E145" t="s">
        <v>29</v>
      </c>
      <c r="F145">
        <v>3336</v>
      </c>
      <c r="G145">
        <v>229</v>
      </c>
      <c r="H145">
        <v>337</v>
      </c>
      <c r="I145">
        <v>22117</v>
      </c>
      <c r="J145">
        <v>26205</v>
      </c>
      <c r="K145">
        <v>160</v>
      </c>
      <c r="L145" t="s">
        <v>36</v>
      </c>
      <c r="M145" t="s">
        <v>60</v>
      </c>
    </row>
    <row r="146" spans="1:13" x14ac:dyDescent="0.3">
      <c r="A146" t="s">
        <v>153</v>
      </c>
      <c r="B146" t="s">
        <v>7</v>
      </c>
      <c r="C146" s="12">
        <v>45495</v>
      </c>
      <c r="D146" t="s">
        <v>44</v>
      </c>
      <c r="E146" t="s">
        <v>29</v>
      </c>
      <c r="F146">
        <v>3336</v>
      </c>
      <c r="G146">
        <v>229</v>
      </c>
      <c r="H146">
        <v>337</v>
      </c>
      <c r="I146">
        <v>22117</v>
      </c>
      <c r="J146">
        <v>26205</v>
      </c>
      <c r="K146">
        <v>160</v>
      </c>
      <c r="L146" t="s">
        <v>33</v>
      </c>
      <c r="M146" t="s">
        <v>60</v>
      </c>
    </row>
    <row r="147" spans="1:13" x14ac:dyDescent="0.3">
      <c r="A147" t="s">
        <v>154</v>
      </c>
      <c r="B147" t="s">
        <v>7</v>
      </c>
      <c r="C147" s="12">
        <v>45774</v>
      </c>
      <c r="D147" t="s">
        <v>45</v>
      </c>
      <c r="E147" t="s">
        <v>15</v>
      </c>
      <c r="F147">
        <v>1165</v>
      </c>
      <c r="G147">
        <v>294</v>
      </c>
      <c r="H147">
        <v>163</v>
      </c>
      <c r="I147">
        <v>20659</v>
      </c>
      <c r="J147">
        <v>45926</v>
      </c>
      <c r="K147">
        <v>111</v>
      </c>
      <c r="L147" t="s">
        <v>30</v>
      </c>
      <c r="M147" t="s">
        <v>62</v>
      </c>
    </row>
    <row r="148" spans="1:13" x14ac:dyDescent="0.3">
      <c r="A148" t="s">
        <v>155</v>
      </c>
      <c r="B148" t="s">
        <v>13</v>
      </c>
      <c r="C148" s="12">
        <v>45376</v>
      </c>
      <c r="D148" t="s">
        <v>46</v>
      </c>
      <c r="E148" t="s">
        <v>15</v>
      </c>
      <c r="F148">
        <v>1948</v>
      </c>
      <c r="G148">
        <v>155</v>
      </c>
      <c r="H148">
        <v>315</v>
      </c>
      <c r="I148">
        <v>30321</v>
      </c>
      <c r="J148">
        <v>57121</v>
      </c>
      <c r="K148">
        <v>82</v>
      </c>
      <c r="L148" t="s">
        <v>27</v>
      </c>
      <c r="M148" t="s">
        <v>85</v>
      </c>
    </row>
    <row r="149" spans="1:13" x14ac:dyDescent="0.3">
      <c r="A149" t="s">
        <v>155</v>
      </c>
      <c r="B149" t="s">
        <v>13</v>
      </c>
      <c r="C149" s="12">
        <v>45376</v>
      </c>
      <c r="D149" t="s">
        <v>46</v>
      </c>
      <c r="E149" t="s">
        <v>15</v>
      </c>
      <c r="F149">
        <v>1948</v>
      </c>
      <c r="G149">
        <v>155</v>
      </c>
      <c r="H149">
        <v>315</v>
      </c>
      <c r="I149">
        <v>30321</v>
      </c>
      <c r="J149">
        <v>57121</v>
      </c>
      <c r="K149">
        <v>82</v>
      </c>
      <c r="L149" t="s">
        <v>30</v>
      </c>
      <c r="M149" t="s">
        <v>85</v>
      </c>
    </row>
    <row r="150" spans="1:13" x14ac:dyDescent="0.3">
      <c r="A150" t="s">
        <v>156</v>
      </c>
      <c r="B150" t="s">
        <v>10</v>
      </c>
      <c r="C150" s="12">
        <v>45351</v>
      </c>
      <c r="D150" t="s">
        <v>45</v>
      </c>
      <c r="E150" t="s">
        <v>26</v>
      </c>
      <c r="F150">
        <v>1100</v>
      </c>
      <c r="G150">
        <v>229</v>
      </c>
      <c r="H150">
        <v>312</v>
      </c>
      <c r="I150">
        <v>25641</v>
      </c>
      <c r="J150">
        <v>34601</v>
      </c>
      <c r="K150">
        <v>169</v>
      </c>
      <c r="L150" t="s">
        <v>27</v>
      </c>
      <c r="M150" t="s">
        <v>62</v>
      </c>
    </row>
    <row r="151" spans="1:13" x14ac:dyDescent="0.3">
      <c r="A151" t="s">
        <v>157</v>
      </c>
      <c r="B151" t="s">
        <v>7</v>
      </c>
      <c r="C151" s="12">
        <v>45609</v>
      </c>
      <c r="D151" t="s">
        <v>44</v>
      </c>
      <c r="E151" t="s">
        <v>32</v>
      </c>
      <c r="F151">
        <v>4628</v>
      </c>
      <c r="G151">
        <v>257</v>
      </c>
      <c r="H151">
        <v>397</v>
      </c>
      <c r="I151">
        <v>36686</v>
      </c>
      <c r="J151">
        <v>54683</v>
      </c>
      <c r="K151">
        <v>98</v>
      </c>
      <c r="L151" t="s">
        <v>30</v>
      </c>
      <c r="M151" t="s">
        <v>60</v>
      </c>
    </row>
    <row r="152" spans="1:13" x14ac:dyDescent="0.3">
      <c r="A152" t="s">
        <v>157</v>
      </c>
      <c r="B152" t="s">
        <v>7</v>
      </c>
      <c r="C152" s="12">
        <v>45609</v>
      </c>
      <c r="D152" t="s">
        <v>44</v>
      </c>
      <c r="E152" t="s">
        <v>32</v>
      </c>
      <c r="F152">
        <v>4628</v>
      </c>
      <c r="G152">
        <v>257</v>
      </c>
      <c r="H152">
        <v>397</v>
      </c>
      <c r="I152">
        <v>36686</v>
      </c>
      <c r="J152">
        <v>54683</v>
      </c>
      <c r="K152">
        <v>98</v>
      </c>
      <c r="L152" t="s">
        <v>33</v>
      </c>
      <c r="M152" t="s">
        <v>60</v>
      </c>
    </row>
    <row r="153" spans="1:13" x14ac:dyDescent="0.3">
      <c r="A153" t="s">
        <v>158</v>
      </c>
      <c r="B153" t="s">
        <v>10</v>
      </c>
      <c r="C153" s="12">
        <v>45373</v>
      </c>
      <c r="D153" t="s">
        <v>44</v>
      </c>
      <c r="E153" t="s">
        <v>19</v>
      </c>
      <c r="F153">
        <v>2319</v>
      </c>
      <c r="G153">
        <v>484</v>
      </c>
      <c r="H153">
        <v>193</v>
      </c>
      <c r="I153">
        <v>21202</v>
      </c>
      <c r="J153">
        <v>18091</v>
      </c>
      <c r="K153">
        <v>241</v>
      </c>
      <c r="L153" t="s">
        <v>33</v>
      </c>
      <c r="M153" t="s">
        <v>82</v>
      </c>
    </row>
    <row r="154" spans="1:13" x14ac:dyDescent="0.3">
      <c r="A154" t="s">
        <v>159</v>
      </c>
      <c r="B154" t="s">
        <v>7</v>
      </c>
      <c r="C154" s="12">
        <v>45367</v>
      </c>
      <c r="D154" t="s">
        <v>44</v>
      </c>
      <c r="E154" t="s">
        <v>29</v>
      </c>
      <c r="F154">
        <v>2895</v>
      </c>
      <c r="G154">
        <v>292</v>
      </c>
      <c r="H154">
        <v>90</v>
      </c>
      <c r="I154">
        <v>24223</v>
      </c>
      <c r="J154">
        <v>54626</v>
      </c>
      <c r="K154">
        <v>114</v>
      </c>
      <c r="L154" t="s">
        <v>30</v>
      </c>
      <c r="M154" t="s">
        <v>60</v>
      </c>
    </row>
    <row r="155" spans="1:13" x14ac:dyDescent="0.3">
      <c r="A155" t="s">
        <v>159</v>
      </c>
      <c r="B155" t="s">
        <v>7</v>
      </c>
      <c r="C155" s="12">
        <v>45367</v>
      </c>
      <c r="D155" t="s">
        <v>44</v>
      </c>
      <c r="E155" t="s">
        <v>29</v>
      </c>
      <c r="F155">
        <v>2895</v>
      </c>
      <c r="G155">
        <v>292</v>
      </c>
      <c r="H155">
        <v>90</v>
      </c>
      <c r="I155">
        <v>24223</v>
      </c>
      <c r="J155">
        <v>54626</v>
      </c>
      <c r="K155">
        <v>114</v>
      </c>
      <c r="L155" t="s">
        <v>33</v>
      </c>
      <c r="M155" t="s">
        <v>60</v>
      </c>
    </row>
    <row r="156" spans="1:13" x14ac:dyDescent="0.3">
      <c r="A156" t="s">
        <v>160</v>
      </c>
      <c r="B156" t="s">
        <v>10</v>
      </c>
      <c r="C156" s="12">
        <v>45317</v>
      </c>
      <c r="D156" t="s">
        <v>45</v>
      </c>
      <c r="E156" t="s">
        <v>23</v>
      </c>
      <c r="F156">
        <v>3878</v>
      </c>
      <c r="G156">
        <v>431</v>
      </c>
      <c r="H156">
        <v>97</v>
      </c>
      <c r="I156">
        <v>41763</v>
      </c>
      <c r="J156">
        <v>29729</v>
      </c>
      <c r="K156">
        <v>191</v>
      </c>
      <c r="L156" t="s">
        <v>27</v>
      </c>
      <c r="M156" t="s">
        <v>62</v>
      </c>
    </row>
    <row r="157" spans="1:13" x14ac:dyDescent="0.3">
      <c r="A157" t="s">
        <v>161</v>
      </c>
      <c r="B157" t="s">
        <v>7</v>
      </c>
      <c r="C157" s="12">
        <v>45366</v>
      </c>
      <c r="D157" t="s">
        <v>44</v>
      </c>
      <c r="E157" t="s">
        <v>9</v>
      </c>
      <c r="F157">
        <v>4969</v>
      </c>
      <c r="G157">
        <v>433</v>
      </c>
      <c r="H157">
        <v>237</v>
      </c>
      <c r="I157">
        <v>59552</v>
      </c>
      <c r="J157">
        <v>23885</v>
      </c>
      <c r="K157">
        <v>157</v>
      </c>
      <c r="L157" t="s">
        <v>27</v>
      </c>
      <c r="M157" t="s">
        <v>60</v>
      </c>
    </row>
    <row r="158" spans="1:13" x14ac:dyDescent="0.3">
      <c r="A158" t="s">
        <v>161</v>
      </c>
      <c r="B158" t="s">
        <v>7</v>
      </c>
      <c r="C158" s="12">
        <v>45366</v>
      </c>
      <c r="D158" t="s">
        <v>44</v>
      </c>
      <c r="E158" t="s">
        <v>9</v>
      </c>
      <c r="F158">
        <v>4969</v>
      </c>
      <c r="G158">
        <v>433</v>
      </c>
      <c r="H158">
        <v>237</v>
      </c>
      <c r="I158">
        <v>59552</v>
      </c>
      <c r="J158">
        <v>23885</v>
      </c>
      <c r="K158">
        <v>157</v>
      </c>
      <c r="L158" t="s">
        <v>36</v>
      </c>
      <c r="M158" t="s">
        <v>60</v>
      </c>
    </row>
    <row r="159" spans="1:13" x14ac:dyDescent="0.3">
      <c r="A159" t="s">
        <v>162</v>
      </c>
      <c r="B159" t="s">
        <v>7</v>
      </c>
      <c r="C159" s="12">
        <v>45580</v>
      </c>
      <c r="D159" t="s">
        <v>45</v>
      </c>
      <c r="E159" t="s">
        <v>29</v>
      </c>
      <c r="F159">
        <v>1984</v>
      </c>
      <c r="G159">
        <v>481</v>
      </c>
      <c r="H159">
        <v>356</v>
      </c>
      <c r="I159">
        <v>40681</v>
      </c>
      <c r="J159">
        <v>63111</v>
      </c>
      <c r="K159">
        <v>258</v>
      </c>
      <c r="L159" t="s">
        <v>33</v>
      </c>
      <c r="M159" t="s">
        <v>60</v>
      </c>
    </row>
    <row r="160" spans="1:13" x14ac:dyDescent="0.3">
      <c r="A160" t="s">
        <v>163</v>
      </c>
      <c r="B160" t="s">
        <v>10</v>
      </c>
      <c r="C160" s="12">
        <v>45494</v>
      </c>
      <c r="D160" t="s">
        <v>45</v>
      </c>
      <c r="E160" t="s">
        <v>19</v>
      </c>
      <c r="F160">
        <v>3004</v>
      </c>
      <c r="G160">
        <v>415</v>
      </c>
      <c r="H160">
        <v>218</v>
      </c>
      <c r="I160">
        <v>36090</v>
      </c>
      <c r="J160">
        <v>37073</v>
      </c>
      <c r="K160">
        <v>181</v>
      </c>
      <c r="L160" t="s">
        <v>27</v>
      </c>
      <c r="M160" t="s">
        <v>62</v>
      </c>
    </row>
    <row r="161" spans="1:13" x14ac:dyDescent="0.3">
      <c r="A161" t="s">
        <v>164</v>
      </c>
      <c r="B161" t="s">
        <v>7</v>
      </c>
      <c r="C161" s="12">
        <v>45577</v>
      </c>
      <c r="D161" t="s">
        <v>45</v>
      </c>
      <c r="E161" t="s">
        <v>9</v>
      </c>
      <c r="F161">
        <v>3169</v>
      </c>
      <c r="G161">
        <v>386</v>
      </c>
      <c r="H161">
        <v>175</v>
      </c>
      <c r="I161">
        <v>45012</v>
      </c>
      <c r="J161">
        <v>38508</v>
      </c>
      <c r="K161">
        <v>218</v>
      </c>
      <c r="L161" t="s">
        <v>33</v>
      </c>
      <c r="M161" t="s">
        <v>60</v>
      </c>
    </row>
    <row r="162" spans="1:13" x14ac:dyDescent="0.3">
      <c r="A162" t="s">
        <v>165</v>
      </c>
      <c r="B162" t="s">
        <v>7</v>
      </c>
      <c r="C162" s="12">
        <v>45591</v>
      </c>
      <c r="D162" t="s">
        <v>45</v>
      </c>
      <c r="E162" t="s">
        <v>19</v>
      </c>
      <c r="F162">
        <v>3036</v>
      </c>
      <c r="G162">
        <v>293</v>
      </c>
      <c r="H162">
        <v>115</v>
      </c>
      <c r="I162">
        <v>23776</v>
      </c>
      <c r="J162">
        <v>46386</v>
      </c>
      <c r="K162">
        <v>282</v>
      </c>
      <c r="L162" t="s">
        <v>33</v>
      </c>
      <c r="M162" t="s">
        <v>60</v>
      </c>
    </row>
    <row r="163" spans="1:13" x14ac:dyDescent="0.3">
      <c r="A163" t="s">
        <v>166</v>
      </c>
      <c r="B163" t="s">
        <v>10</v>
      </c>
      <c r="C163" s="12">
        <v>45336</v>
      </c>
      <c r="D163" t="s">
        <v>45</v>
      </c>
      <c r="E163" t="s">
        <v>35</v>
      </c>
      <c r="F163">
        <v>1830</v>
      </c>
      <c r="G163">
        <v>112</v>
      </c>
      <c r="H163">
        <v>181</v>
      </c>
      <c r="I163">
        <v>31870</v>
      </c>
      <c r="J163">
        <v>55742</v>
      </c>
      <c r="K163">
        <v>263</v>
      </c>
      <c r="L163" t="s">
        <v>30</v>
      </c>
      <c r="M163" t="s">
        <v>60</v>
      </c>
    </row>
    <row r="164" spans="1:13" x14ac:dyDescent="0.3">
      <c r="A164" t="s">
        <v>166</v>
      </c>
      <c r="B164" t="s">
        <v>10</v>
      </c>
      <c r="C164" s="12">
        <v>45336</v>
      </c>
      <c r="D164" t="s">
        <v>45</v>
      </c>
      <c r="E164" t="s">
        <v>35</v>
      </c>
      <c r="F164">
        <v>1830</v>
      </c>
      <c r="G164">
        <v>112</v>
      </c>
      <c r="H164">
        <v>181</v>
      </c>
      <c r="I164">
        <v>31870</v>
      </c>
      <c r="J164">
        <v>55742</v>
      </c>
      <c r="K164">
        <v>263</v>
      </c>
      <c r="L164" t="s">
        <v>33</v>
      </c>
      <c r="M164" t="s">
        <v>60</v>
      </c>
    </row>
    <row r="165" spans="1:13" x14ac:dyDescent="0.3">
      <c r="A165" t="s">
        <v>167</v>
      </c>
      <c r="B165" t="s">
        <v>7</v>
      </c>
      <c r="C165" s="12">
        <v>45413</v>
      </c>
      <c r="D165" t="s">
        <v>44</v>
      </c>
      <c r="E165" t="s">
        <v>23</v>
      </c>
      <c r="F165">
        <v>2587</v>
      </c>
      <c r="G165">
        <v>447</v>
      </c>
      <c r="H165">
        <v>183</v>
      </c>
      <c r="I165">
        <v>36266</v>
      </c>
      <c r="J165">
        <v>32877</v>
      </c>
      <c r="K165">
        <v>132</v>
      </c>
      <c r="L165" t="s">
        <v>27</v>
      </c>
      <c r="M165" t="s">
        <v>60</v>
      </c>
    </row>
    <row r="166" spans="1:13" x14ac:dyDescent="0.3">
      <c r="A166" t="s">
        <v>167</v>
      </c>
      <c r="B166" t="s">
        <v>7</v>
      </c>
      <c r="C166" s="12">
        <v>45413</v>
      </c>
      <c r="D166" t="s">
        <v>44</v>
      </c>
      <c r="E166" t="s">
        <v>23</v>
      </c>
      <c r="F166">
        <v>2587</v>
      </c>
      <c r="G166">
        <v>447</v>
      </c>
      <c r="H166">
        <v>183</v>
      </c>
      <c r="I166">
        <v>36266</v>
      </c>
      <c r="J166">
        <v>32877</v>
      </c>
      <c r="K166">
        <v>132</v>
      </c>
      <c r="L166" t="s">
        <v>36</v>
      </c>
      <c r="M166" t="s">
        <v>60</v>
      </c>
    </row>
    <row r="167" spans="1:13" x14ac:dyDescent="0.3">
      <c r="A167" t="s">
        <v>168</v>
      </c>
      <c r="B167" t="s">
        <v>7</v>
      </c>
      <c r="C167" s="12">
        <v>45553</v>
      </c>
      <c r="D167" t="s">
        <v>45</v>
      </c>
      <c r="E167" t="s">
        <v>19</v>
      </c>
      <c r="F167">
        <v>2878</v>
      </c>
      <c r="G167">
        <v>265</v>
      </c>
      <c r="H167">
        <v>91</v>
      </c>
      <c r="I167">
        <v>52090</v>
      </c>
      <c r="J167">
        <v>28924</v>
      </c>
      <c r="K167">
        <v>133</v>
      </c>
      <c r="L167" t="s">
        <v>33</v>
      </c>
      <c r="M167" t="s">
        <v>60</v>
      </c>
    </row>
    <row r="168" spans="1:13" x14ac:dyDescent="0.3">
      <c r="A168" t="s">
        <v>11</v>
      </c>
      <c r="B168" t="s">
        <v>7</v>
      </c>
      <c r="C168" s="12">
        <v>45677</v>
      </c>
      <c r="D168" t="s">
        <v>44</v>
      </c>
      <c r="E168" t="s">
        <v>12</v>
      </c>
      <c r="F168">
        <v>4619</v>
      </c>
      <c r="G168">
        <v>272</v>
      </c>
      <c r="H168">
        <v>57</v>
      </c>
      <c r="I168">
        <v>21334</v>
      </c>
      <c r="J168">
        <v>46292</v>
      </c>
      <c r="K168">
        <v>91</v>
      </c>
      <c r="L168" t="s">
        <v>30</v>
      </c>
      <c r="M168" t="s">
        <v>60</v>
      </c>
    </row>
    <row r="169" spans="1:13" x14ac:dyDescent="0.3">
      <c r="A169" t="s">
        <v>11</v>
      </c>
      <c r="B169" t="s">
        <v>7</v>
      </c>
      <c r="C169" s="12">
        <v>45677</v>
      </c>
      <c r="D169" t="s">
        <v>44</v>
      </c>
      <c r="E169" t="s">
        <v>12</v>
      </c>
      <c r="F169">
        <v>4619</v>
      </c>
      <c r="G169">
        <v>272</v>
      </c>
      <c r="H169">
        <v>57</v>
      </c>
      <c r="I169">
        <v>21334</v>
      </c>
      <c r="J169">
        <v>46292</v>
      </c>
      <c r="K169">
        <v>91</v>
      </c>
      <c r="L169" t="s">
        <v>33</v>
      </c>
      <c r="M169" t="s">
        <v>60</v>
      </c>
    </row>
    <row r="170" spans="1:13" x14ac:dyDescent="0.3">
      <c r="A170" t="s">
        <v>169</v>
      </c>
      <c r="B170" t="s">
        <v>7</v>
      </c>
      <c r="C170" s="12">
        <v>45670</v>
      </c>
      <c r="D170" t="s">
        <v>45</v>
      </c>
      <c r="E170" t="s">
        <v>35</v>
      </c>
      <c r="F170">
        <v>4090</v>
      </c>
      <c r="G170">
        <v>209</v>
      </c>
      <c r="H170">
        <v>278</v>
      </c>
      <c r="I170">
        <v>52853</v>
      </c>
      <c r="J170">
        <v>57084</v>
      </c>
      <c r="K170">
        <v>102</v>
      </c>
      <c r="L170" t="s">
        <v>30</v>
      </c>
      <c r="M170" t="s">
        <v>62</v>
      </c>
    </row>
    <row r="171" spans="1:13" x14ac:dyDescent="0.3">
      <c r="A171" t="s">
        <v>170</v>
      </c>
      <c r="B171" t="s">
        <v>13</v>
      </c>
      <c r="C171" s="12">
        <v>45542</v>
      </c>
      <c r="D171" t="s">
        <v>46</v>
      </c>
      <c r="E171" t="s">
        <v>35</v>
      </c>
      <c r="F171">
        <v>3882</v>
      </c>
      <c r="G171">
        <v>342</v>
      </c>
      <c r="H171">
        <v>374</v>
      </c>
      <c r="I171">
        <v>41991</v>
      </c>
      <c r="J171">
        <v>48554</v>
      </c>
      <c r="K171">
        <v>118</v>
      </c>
      <c r="L171" t="s">
        <v>27</v>
      </c>
      <c r="M171" t="s">
        <v>85</v>
      </c>
    </row>
    <row r="172" spans="1:13" x14ac:dyDescent="0.3">
      <c r="A172" t="s">
        <v>170</v>
      </c>
      <c r="B172" t="s">
        <v>13</v>
      </c>
      <c r="C172" s="12">
        <v>45542</v>
      </c>
      <c r="D172" t="s">
        <v>46</v>
      </c>
      <c r="E172" t="s">
        <v>35</v>
      </c>
      <c r="F172">
        <v>3882</v>
      </c>
      <c r="G172">
        <v>342</v>
      </c>
      <c r="H172">
        <v>374</v>
      </c>
      <c r="I172">
        <v>41991</v>
      </c>
      <c r="J172">
        <v>48554</v>
      </c>
      <c r="K172">
        <v>118</v>
      </c>
      <c r="L172" t="s">
        <v>30</v>
      </c>
      <c r="M172" t="s">
        <v>85</v>
      </c>
    </row>
    <row r="173" spans="1:13" x14ac:dyDescent="0.3">
      <c r="A173" t="s">
        <v>171</v>
      </c>
      <c r="B173" t="s">
        <v>10</v>
      </c>
      <c r="C173" s="12">
        <v>45617</v>
      </c>
      <c r="D173" t="s">
        <v>45</v>
      </c>
      <c r="E173" t="s">
        <v>35</v>
      </c>
      <c r="F173">
        <v>4581</v>
      </c>
      <c r="G173">
        <v>181</v>
      </c>
      <c r="H173">
        <v>112</v>
      </c>
      <c r="I173">
        <v>35221</v>
      </c>
      <c r="J173">
        <v>28797</v>
      </c>
      <c r="K173">
        <v>164</v>
      </c>
      <c r="L173" t="s">
        <v>30</v>
      </c>
      <c r="M173" t="s">
        <v>60</v>
      </c>
    </row>
    <row r="174" spans="1:13" x14ac:dyDescent="0.3">
      <c r="A174" t="s">
        <v>171</v>
      </c>
      <c r="B174" t="s">
        <v>10</v>
      </c>
      <c r="C174" s="12">
        <v>45617</v>
      </c>
      <c r="D174" t="s">
        <v>45</v>
      </c>
      <c r="E174" t="s">
        <v>35</v>
      </c>
      <c r="F174">
        <v>4581</v>
      </c>
      <c r="G174">
        <v>181</v>
      </c>
      <c r="H174">
        <v>112</v>
      </c>
      <c r="I174">
        <v>35221</v>
      </c>
      <c r="J174">
        <v>28797</v>
      </c>
      <c r="K174">
        <v>164</v>
      </c>
      <c r="L174" t="s">
        <v>33</v>
      </c>
      <c r="M174" t="s">
        <v>60</v>
      </c>
    </row>
    <row r="175" spans="1:13" x14ac:dyDescent="0.3">
      <c r="A175" t="s">
        <v>172</v>
      </c>
      <c r="B175" t="s">
        <v>10</v>
      </c>
      <c r="C175" s="12">
        <v>45469</v>
      </c>
      <c r="D175" t="s">
        <v>45</v>
      </c>
      <c r="E175" t="s">
        <v>12</v>
      </c>
      <c r="F175">
        <v>3253</v>
      </c>
      <c r="G175">
        <v>483</v>
      </c>
      <c r="H175">
        <v>336</v>
      </c>
      <c r="I175">
        <v>25397</v>
      </c>
      <c r="J175">
        <v>51485</v>
      </c>
      <c r="K175">
        <v>131</v>
      </c>
      <c r="L175" t="s">
        <v>27</v>
      </c>
      <c r="M175" t="s">
        <v>62</v>
      </c>
    </row>
    <row r="176" spans="1:13" x14ac:dyDescent="0.3">
      <c r="A176" t="s">
        <v>173</v>
      </c>
      <c r="B176" t="s">
        <v>13</v>
      </c>
      <c r="C176" s="12">
        <v>45493</v>
      </c>
      <c r="D176" t="s">
        <v>46</v>
      </c>
      <c r="E176" t="s">
        <v>35</v>
      </c>
      <c r="F176">
        <v>4955</v>
      </c>
      <c r="G176">
        <v>299</v>
      </c>
      <c r="H176">
        <v>345</v>
      </c>
      <c r="I176">
        <v>33644</v>
      </c>
      <c r="J176">
        <v>43547</v>
      </c>
      <c r="K176">
        <v>194</v>
      </c>
      <c r="L176" t="s">
        <v>27</v>
      </c>
      <c r="M176" t="s">
        <v>85</v>
      </c>
    </row>
    <row r="177" spans="1:13" x14ac:dyDescent="0.3">
      <c r="A177" t="s">
        <v>173</v>
      </c>
      <c r="B177" t="s">
        <v>13</v>
      </c>
      <c r="C177" s="12">
        <v>45493</v>
      </c>
      <c r="D177" t="s">
        <v>46</v>
      </c>
      <c r="E177" t="s">
        <v>35</v>
      </c>
      <c r="F177">
        <v>4955</v>
      </c>
      <c r="G177">
        <v>299</v>
      </c>
      <c r="H177">
        <v>345</v>
      </c>
      <c r="I177">
        <v>33644</v>
      </c>
      <c r="J177">
        <v>43547</v>
      </c>
      <c r="K177">
        <v>194</v>
      </c>
      <c r="L177" t="s">
        <v>30</v>
      </c>
      <c r="M177" t="s">
        <v>85</v>
      </c>
    </row>
    <row r="178" spans="1:13" x14ac:dyDescent="0.3">
      <c r="A178" t="s">
        <v>174</v>
      </c>
      <c r="B178" t="s">
        <v>10</v>
      </c>
      <c r="C178" s="12">
        <v>45704</v>
      </c>
      <c r="D178" t="s">
        <v>45</v>
      </c>
      <c r="E178" t="s">
        <v>78</v>
      </c>
      <c r="F178">
        <v>1333</v>
      </c>
      <c r="G178">
        <v>286</v>
      </c>
      <c r="H178">
        <v>298</v>
      </c>
      <c r="I178">
        <v>36174</v>
      </c>
      <c r="J178">
        <v>34517</v>
      </c>
      <c r="K178">
        <v>170</v>
      </c>
      <c r="L178" t="s">
        <v>30</v>
      </c>
      <c r="M178" t="s">
        <v>60</v>
      </c>
    </row>
    <row r="179" spans="1:13" x14ac:dyDescent="0.3">
      <c r="A179" t="s">
        <v>174</v>
      </c>
      <c r="B179" t="s">
        <v>10</v>
      </c>
      <c r="C179" s="12">
        <v>45704</v>
      </c>
      <c r="D179" t="s">
        <v>45</v>
      </c>
      <c r="E179" t="s">
        <v>78</v>
      </c>
      <c r="F179">
        <v>1333</v>
      </c>
      <c r="G179">
        <v>286</v>
      </c>
      <c r="H179">
        <v>298</v>
      </c>
      <c r="I179">
        <v>36174</v>
      </c>
      <c r="J179">
        <v>34517</v>
      </c>
      <c r="K179">
        <v>170</v>
      </c>
      <c r="L179" t="s">
        <v>33</v>
      </c>
      <c r="M179" t="s">
        <v>60</v>
      </c>
    </row>
    <row r="180" spans="1:13" x14ac:dyDescent="0.3">
      <c r="A180" t="s">
        <v>175</v>
      </c>
      <c r="B180" t="s">
        <v>10</v>
      </c>
      <c r="C180" s="12">
        <v>45544</v>
      </c>
      <c r="D180" t="s">
        <v>45</v>
      </c>
      <c r="E180" t="s">
        <v>12</v>
      </c>
      <c r="F180">
        <v>1616</v>
      </c>
      <c r="G180">
        <v>360</v>
      </c>
      <c r="H180">
        <v>180</v>
      </c>
      <c r="I180">
        <v>54342</v>
      </c>
      <c r="J180">
        <v>18796</v>
      </c>
      <c r="K180">
        <v>282</v>
      </c>
      <c r="L180" t="s">
        <v>30</v>
      </c>
      <c r="M180" t="s">
        <v>60</v>
      </c>
    </row>
    <row r="181" spans="1:13" x14ac:dyDescent="0.3">
      <c r="A181" t="s">
        <v>175</v>
      </c>
      <c r="B181" t="s">
        <v>10</v>
      </c>
      <c r="C181" s="12">
        <v>45544</v>
      </c>
      <c r="D181" t="s">
        <v>45</v>
      </c>
      <c r="E181" t="s">
        <v>12</v>
      </c>
      <c r="F181">
        <v>1616</v>
      </c>
      <c r="G181">
        <v>360</v>
      </c>
      <c r="H181">
        <v>180</v>
      </c>
      <c r="I181">
        <v>54342</v>
      </c>
      <c r="J181">
        <v>18796</v>
      </c>
      <c r="K181">
        <v>282</v>
      </c>
      <c r="L181" t="s">
        <v>33</v>
      </c>
      <c r="M181" t="s">
        <v>60</v>
      </c>
    </row>
    <row r="182" spans="1:13" x14ac:dyDescent="0.3">
      <c r="A182" t="s">
        <v>176</v>
      </c>
      <c r="B182" t="s">
        <v>7</v>
      </c>
      <c r="C182" s="12">
        <v>45489</v>
      </c>
      <c r="D182" t="s">
        <v>45</v>
      </c>
      <c r="E182" t="s">
        <v>32</v>
      </c>
      <c r="F182">
        <v>1803</v>
      </c>
      <c r="G182">
        <v>273</v>
      </c>
      <c r="H182">
        <v>287</v>
      </c>
      <c r="I182">
        <v>46176</v>
      </c>
      <c r="J182">
        <v>25488</v>
      </c>
      <c r="K182">
        <v>141</v>
      </c>
      <c r="L182" t="s">
        <v>33</v>
      </c>
      <c r="M182" t="s">
        <v>60</v>
      </c>
    </row>
    <row r="183" spans="1:13" x14ac:dyDescent="0.3">
      <c r="A183" t="s">
        <v>177</v>
      </c>
      <c r="B183" t="s">
        <v>10</v>
      </c>
      <c r="C183" s="12">
        <v>45762</v>
      </c>
      <c r="D183" t="s">
        <v>45</v>
      </c>
      <c r="E183" t="s">
        <v>15</v>
      </c>
      <c r="F183">
        <v>4177</v>
      </c>
      <c r="G183">
        <v>489</v>
      </c>
      <c r="H183">
        <v>331</v>
      </c>
      <c r="I183">
        <v>57451</v>
      </c>
      <c r="J183">
        <v>73793</v>
      </c>
      <c r="K183">
        <v>251</v>
      </c>
      <c r="L183" t="s">
        <v>27</v>
      </c>
      <c r="M183" t="s">
        <v>62</v>
      </c>
    </row>
    <row r="184" spans="1:13" x14ac:dyDescent="0.3">
      <c r="A184" t="s">
        <v>178</v>
      </c>
      <c r="B184" t="s">
        <v>10</v>
      </c>
      <c r="C184" s="12">
        <v>45781</v>
      </c>
      <c r="D184" t="s">
        <v>44</v>
      </c>
      <c r="E184" t="s">
        <v>12</v>
      </c>
      <c r="F184">
        <v>1311</v>
      </c>
      <c r="G184">
        <v>181</v>
      </c>
      <c r="H184">
        <v>361</v>
      </c>
      <c r="I184">
        <v>37148</v>
      </c>
      <c r="J184">
        <v>44875</v>
      </c>
      <c r="K184">
        <v>245</v>
      </c>
      <c r="L184" t="s">
        <v>33</v>
      </c>
      <c r="M184" t="s">
        <v>82</v>
      </c>
    </row>
    <row r="185" spans="1:13" x14ac:dyDescent="0.3">
      <c r="A185" t="s">
        <v>179</v>
      </c>
      <c r="B185" t="s">
        <v>10</v>
      </c>
      <c r="C185" s="12">
        <v>45340</v>
      </c>
      <c r="D185" t="s">
        <v>44</v>
      </c>
      <c r="E185" t="s">
        <v>26</v>
      </c>
      <c r="F185">
        <v>1516</v>
      </c>
      <c r="G185">
        <v>215</v>
      </c>
      <c r="H185">
        <v>332</v>
      </c>
      <c r="I185">
        <v>58981</v>
      </c>
      <c r="J185">
        <v>36118</v>
      </c>
      <c r="K185">
        <v>211</v>
      </c>
      <c r="L185" t="s">
        <v>33</v>
      </c>
      <c r="M185" t="s">
        <v>82</v>
      </c>
    </row>
    <row r="186" spans="1:13" x14ac:dyDescent="0.3">
      <c r="A186" t="s">
        <v>180</v>
      </c>
      <c r="B186" t="s">
        <v>7</v>
      </c>
      <c r="C186" s="12">
        <v>45428</v>
      </c>
      <c r="D186" t="s">
        <v>44</v>
      </c>
      <c r="E186" t="s">
        <v>35</v>
      </c>
      <c r="F186">
        <v>2023</v>
      </c>
      <c r="G186">
        <v>124</v>
      </c>
      <c r="H186">
        <v>99</v>
      </c>
      <c r="I186">
        <v>54524</v>
      </c>
      <c r="J186">
        <v>34790</v>
      </c>
      <c r="K186">
        <v>195</v>
      </c>
      <c r="L186" t="s">
        <v>27</v>
      </c>
      <c r="M186" t="s">
        <v>60</v>
      </c>
    </row>
    <row r="187" spans="1:13" x14ac:dyDescent="0.3">
      <c r="A187" t="s">
        <v>180</v>
      </c>
      <c r="B187" t="s">
        <v>7</v>
      </c>
      <c r="C187" s="12">
        <v>45428</v>
      </c>
      <c r="D187" t="s">
        <v>44</v>
      </c>
      <c r="E187" t="s">
        <v>35</v>
      </c>
      <c r="F187">
        <v>2023</v>
      </c>
      <c r="G187">
        <v>124</v>
      </c>
      <c r="H187">
        <v>99</v>
      </c>
      <c r="I187">
        <v>54524</v>
      </c>
      <c r="J187">
        <v>34790</v>
      </c>
      <c r="K187">
        <v>195</v>
      </c>
      <c r="L187" t="s">
        <v>36</v>
      </c>
      <c r="M187" t="s">
        <v>60</v>
      </c>
    </row>
    <row r="188" spans="1:13" x14ac:dyDescent="0.3">
      <c r="A188" t="s">
        <v>181</v>
      </c>
      <c r="B188" t="s">
        <v>7</v>
      </c>
      <c r="C188" s="12">
        <v>45806</v>
      </c>
      <c r="D188" t="s">
        <v>44</v>
      </c>
      <c r="E188" t="s">
        <v>35</v>
      </c>
      <c r="F188">
        <v>2134</v>
      </c>
      <c r="G188">
        <v>322</v>
      </c>
      <c r="H188">
        <v>114</v>
      </c>
      <c r="I188">
        <v>44338</v>
      </c>
      <c r="J188">
        <v>52165</v>
      </c>
      <c r="K188">
        <v>176</v>
      </c>
      <c r="L188" t="s">
        <v>36</v>
      </c>
      <c r="M188" t="s">
        <v>60</v>
      </c>
    </row>
    <row r="189" spans="1:13" x14ac:dyDescent="0.3">
      <c r="A189" t="s">
        <v>181</v>
      </c>
      <c r="B189" t="s">
        <v>7</v>
      </c>
      <c r="C189" s="12">
        <v>45806</v>
      </c>
      <c r="D189" t="s">
        <v>44</v>
      </c>
      <c r="E189" t="s">
        <v>35</v>
      </c>
      <c r="F189">
        <v>2134</v>
      </c>
      <c r="G189">
        <v>322</v>
      </c>
      <c r="H189">
        <v>114</v>
      </c>
      <c r="I189">
        <v>44338</v>
      </c>
      <c r="J189">
        <v>52165</v>
      </c>
      <c r="K189">
        <v>176</v>
      </c>
      <c r="L189" t="s">
        <v>33</v>
      </c>
      <c r="M189" t="s">
        <v>60</v>
      </c>
    </row>
    <row r="190" spans="1:13" x14ac:dyDescent="0.3">
      <c r="A190" t="s">
        <v>182</v>
      </c>
      <c r="B190" t="s">
        <v>10</v>
      </c>
      <c r="C190" s="12">
        <v>45674</v>
      </c>
      <c r="D190" t="s">
        <v>45</v>
      </c>
      <c r="E190" t="s">
        <v>32</v>
      </c>
      <c r="F190">
        <v>2266</v>
      </c>
      <c r="G190">
        <v>126</v>
      </c>
      <c r="H190">
        <v>140</v>
      </c>
      <c r="I190">
        <v>53759</v>
      </c>
      <c r="J190">
        <v>46834</v>
      </c>
      <c r="K190">
        <v>277</v>
      </c>
      <c r="L190" t="s">
        <v>27</v>
      </c>
      <c r="M190" t="s">
        <v>62</v>
      </c>
    </row>
    <row r="191" spans="1:13" x14ac:dyDescent="0.3">
      <c r="A191" t="s">
        <v>183</v>
      </c>
      <c r="B191" t="s">
        <v>10</v>
      </c>
      <c r="C191" s="12">
        <v>45777</v>
      </c>
      <c r="D191" t="s">
        <v>44</v>
      </c>
      <c r="E191" t="s">
        <v>12</v>
      </c>
      <c r="F191">
        <v>3916</v>
      </c>
      <c r="G191">
        <v>459</v>
      </c>
      <c r="H191">
        <v>229</v>
      </c>
      <c r="I191">
        <v>48989</v>
      </c>
      <c r="J191">
        <v>39768</v>
      </c>
      <c r="K191">
        <v>200</v>
      </c>
      <c r="L191" t="s">
        <v>33</v>
      </c>
      <c r="M191" t="s">
        <v>82</v>
      </c>
    </row>
    <row r="192" spans="1:13" x14ac:dyDescent="0.3">
      <c r="A192" t="s">
        <v>184</v>
      </c>
      <c r="B192" t="s">
        <v>7</v>
      </c>
      <c r="C192" s="12">
        <v>45346</v>
      </c>
      <c r="D192" t="s">
        <v>44</v>
      </c>
      <c r="E192" t="s">
        <v>35</v>
      </c>
      <c r="F192">
        <v>1022</v>
      </c>
      <c r="G192">
        <v>463</v>
      </c>
      <c r="H192">
        <v>360</v>
      </c>
      <c r="I192">
        <v>51468</v>
      </c>
      <c r="J192">
        <v>24279</v>
      </c>
      <c r="K192">
        <v>230</v>
      </c>
      <c r="L192" t="s">
        <v>27</v>
      </c>
      <c r="M192" t="s">
        <v>60</v>
      </c>
    </row>
    <row r="193" spans="1:13" x14ac:dyDescent="0.3">
      <c r="A193" t="s">
        <v>184</v>
      </c>
      <c r="B193" t="s">
        <v>7</v>
      </c>
      <c r="C193" s="12">
        <v>45346</v>
      </c>
      <c r="D193" t="s">
        <v>44</v>
      </c>
      <c r="E193" t="s">
        <v>35</v>
      </c>
      <c r="F193">
        <v>1022</v>
      </c>
      <c r="G193">
        <v>463</v>
      </c>
      <c r="H193">
        <v>360</v>
      </c>
      <c r="I193">
        <v>51468</v>
      </c>
      <c r="J193">
        <v>24279</v>
      </c>
      <c r="K193">
        <v>230</v>
      </c>
      <c r="L193" t="s">
        <v>36</v>
      </c>
      <c r="M193" t="s">
        <v>60</v>
      </c>
    </row>
    <row r="194" spans="1:13" x14ac:dyDescent="0.3">
      <c r="A194" t="s">
        <v>185</v>
      </c>
      <c r="B194" t="s">
        <v>13</v>
      </c>
      <c r="C194" s="12">
        <v>45424</v>
      </c>
      <c r="D194" t="s">
        <v>45</v>
      </c>
      <c r="E194" t="s">
        <v>26</v>
      </c>
      <c r="F194">
        <v>2911</v>
      </c>
      <c r="G194">
        <v>467</v>
      </c>
      <c r="H194">
        <v>94</v>
      </c>
      <c r="I194">
        <v>59083</v>
      </c>
      <c r="J194">
        <v>49762</v>
      </c>
      <c r="K194">
        <v>236</v>
      </c>
      <c r="L194" t="s">
        <v>27</v>
      </c>
      <c r="M194" t="s">
        <v>62</v>
      </c>
    </row>
    <row r="195" spans="1:13" x14ac:dyDescent="0.3">
      <c r="A195" t="s">
        <v>185</v>
      </c>
      <c r="B195" t="s">
        <v>13</v>
      </c>
      <c r="C195" s="12">
        <v>45424</v>
      </c>
      <c r="D195" t="s">
        <v>45</v>
      </c>
      <c r="E195" t="s">
        <v>26</v>
      </c>
      <c r="F195">
        <v>2911</v>
      </c>
      <c r="G195">
        <v>467</v>
      </c>
      <c r="H195">
        <v>94</v>
      </c>
      <c r="I195">
        <v>59083</v>
      </c>
      <c r="J195">
        <v>49762</v>
      </c>
      <c r="K195">
        <v>236</v>
      </c>
      <c r="L195" t="s">
        <v>24</v>
      </c>
      <c r="M195" t="s">
        <v>62</v>
      </c>
    </row>
    <row r="196" spans="1:13" x14ac:dyDescent="0.3">
      <c r="A196" t="s">
        <v>186</v>
      </c>
      <c r="B196" t="s">
        <v>7</v>
      </c>
      <c r="C196" s="12">
        <v>45421</v>
      </c>
      <c r="D196" t="s">
        <v>44</v>
      </c>
      <c r="E196" t="s">
        <v>12</v>
      </c>
      <c r="F196">
        <v>3277</v>
      </c>
      <c r="G196">
        <v>423</v>
      </c>
      <c r="H196">
        <v>259</v>
      </c>
      <c r="I196">
        <v>46328</v>
      </c>
      <c r="J196">
        <v>44293</v>
      </c>
      <c r="K196">
        <v>299</v>
      </c>
      <c r="L196" t="s">
        <v>30</v>
      </c>
      <c r="M196" t="s">
        <v>60</v>
      </c>
    </row>
    <row r="197" spans="1:13" x14ac:dyDescent="0.3">
      <c r="A197" t="s">
        <v>186</v>
      </c>
      <c r="B197" t="s">
        <v>7</v>
      </c>
      <c r="C197" s="12">
        <v>45421</v>
      </c>
      <c r="D197" t="s">
        <v>44</v>
      </c>
      <c r="E197" t="s">
        <v>12</v>
      </c>
      <c r="F197">
        <v>3277</v>
      </c>
      <c r="G197">
        <v>423</v>
      </c>
      <c r="H197">
        <v>259</v>
      </c>
      <c r="I197">
        <v>46328</v>
      </c>
      <c r="J197">
        <v>44293</v>
      </c>
      <c r="K197">
        <v>299</v>
      </c>
      <c r="L197" t="s">
        <v>33</v>
      </c>
      <c r="M197" t="s">
        <v>60</v>
      </c>
    </row>
    <row r="198" spans="1:13" x14ac:dyDescent="0.3">
      <c r="A198" t="s">
        <v>187</v>
      </c>
      <c r="B198" t="s">
        <v>7</v>
      </c>
      <c r="C198" s="12">
        <v>45602</v>
      </c>
      <c r="D198" t="s">
        <v>45</v>
      </c>
      <c r="E198" t="s">
        <v>26</v>
      </c>
      <c r="F198">
        <v>2956</v>
      </c>
      <c r="G198">
        <v>381</v>
      </c>
      <c r="H198">
        <v>345</v>
      </c>
      <c r="I198">
        <v>33347</v>
      </c>
      <c r="J198">
        <v>22558</v>
      </c>
      <c r="K198">
        <v>173</v>
      </c>
      <c r="L198" t="s">
        <v>33</v>
      </c>
      <c r="M198" t="s">
        <v>60</v>
      </c>
    </row>
    <row r="199" spans="1:13" x14ac:dyDescent="0.3">
      <c r="A199" t="s">
        <v>188</v>
      </c>
      <c r="B199" t="s">
        <v>7</v>
      </c>
      <c r="C199" s="12">
        <v>45295</v>
      </c>
      <c r="D199" t="s">
        <v>44</v>
      </c>
      <c r="E199" t="s">
        <v>23</v>
      </c>
      <c r="F199">
        <v>3208</v>
      </c>
      <c r="G199">
        <v>476</v>
      </c>
      <c r="H199">
        <v>277</v>
      </c>
      <c r="I199">
        <v>56072</v>
      </c>
      <c r="J199">
        <v>21061</v>
      </c>
      <c r="K199">
        <v>113</v>
      </c>
      <c r="L199" t="s">
        <v>36</v>
      </c>
      <c r="M199" t="s">
        <v>60</v>
      </c>
    </row>
    <row r="200" spans="1:13" x14ac:dyDescent="0.3">
      <c r="A200" t="s">
        <v>188</v>
      </c>
      <c r="B200" t="s">
        <v>7</v>
      </c>
      <c r="C200" s="12">
        <v>45295</v>
      </c>
      <c r="D200" t="s">
        <v>44</v>
      </c>
      <c r="E200" t="s">
        <v>23</v>
      </c>
      <c r="F200">
        <v>3208</v>
      </c>
      <c r="G200">
        <v>476</v>
      </c>
      <c r="H200">
        <v>277</v>
      </c>
      <c r="I200">
        <v>56072</v>
      </c>
      <c r="J200">
        <v>21061</v>
      </c>
      <c r="K200">
        <v>113</v>
      </c>
      <c r="L200" t="s">
        <v>33</v>
      </c>
      <c r="M200" t="s">
        <v>60</v>
      </c>
    </row>
    <row r="201" spans="1:13" x14ac:dyDescent="0.3">
      <c r="A201" t="s">
        <v>189</v>
      </c>
      <c r="B201" t="s">
        <v>7</v>
      </c>
      <c r="C201" s="12">
        <v>45319</v>
      </c>
      <c r="D201" t="s">
        <v>45</v>
      </c>
      <c r="E201" t="s">
        <v>35</v>
      </c>
      <c r="F201">
        <v>1456</v>
      </c>
      <c r="G201">
        <v>265</v>
      </c>
      <c r="H201">
        <v>137</v>
      </c>
      <c r="I201">
        <v>53485</v>
      </c>
      <c r="J201">
        <v>59729</v>
      </c>
      <c r="K201">
        <v>145</v>
      </c>
      <c r="L201" t="s">
        <v>30</v>
      </c>
      <c r="M201" t="s">
        <v>62</v>
      </c>
    </row>
    <row r="202" spans="1:13" x14ac:dyDescent="0.3">
      <c r="A202" t="s">
        <v>190</v>
      </c>
      <c r="B202" t="s">
        <v>10</v>
      </c>
      <c r="C202" s="12">
        <v>45344</v>
      </c>
      <c r="D202" t="s">
        <v>45</v>
      </c>
      <c r="E202" t="s">
        <v>12</v>
      </c>
      <c r="F202">
        <v>1902</v>
      </c>
      <c r="G202">
        <v>394</v>
      </c>
      <c r="H202">
        <v>279</v>
      </c>
      <c r="I202">
        <v>24615</v>
      </c>
      <c r="J202">
        <v>51330</v>
      </c>
      <c r="K202">
        <v>176</v>
      </c>
      <c r="L202" t="s">
        <v>30</v>
      </c>
      <c r="M202" t="s">
        <v>60</v>
      </c>
    </row>
    <row r="203" spans="1:13" x14ac:dyDescent="0.3">
      <c r="A203" t="s">
        <v>190</v>
      </c>
      <c r="B203" t="s">
        <v>10</v>
      </c>
      <c r="C203" s="12">
        <v>45344</v>
      </c>
      <c r="D203" t="s">
        <v>45</v>
      </c>
      <c r="E203" t="s">
        <v>12</v>
      </c>
      <c r="F203">
        <v>1902</v>
      </c>
      <c r="G203">
        <v>394</v>
      </c>
      <c r="H203">
        <v>279</v>
      </c>
      <c r="I203">
        <v>24615</v>
      </c>
      <c r="J203">
        <v>51330</v>
      </c>
      <c r="K203">
        <v>176</v>
      </c>
      <c r="L203" t="s">
        <v>33</v>
      </c>
      <c r="M203" t="s">
        <v>60</v>
      </c>
    </row>
    <row r="204" spans="1:13" x14ac:dyDescent="0.3">
      <c r="A204" t="s">
        <v>191</v>
      </c>
      <c r="B204" t="s">
        <v>7</v>
      </c>
      <c r="C204" s="12">
        <v>45839</v>
      </c>
      <c r="D204" t="s">
        <v>44</v>
      </c>
      <c r="E204" t="s">
        <v>15</v>
      </c>
      <c r="F204">
        <v>3219</v>
      </c>
      <c r="G204">
        <v>424</v>
      </c>
      <c r="H204">
        <v>267</v>
      </c>
      <c r="I204">
        <v>48879</v>
      </c>
      <c r="J204">
        <v>37691</v>
      </c>
      <c r="K204">
        <v>224</v>
      </c>
      <c r="L204" t="s">
        <v>27</v>
      </c>
      <c r="M204" t="s">
        <v>60</v>
      </c>
    </row>
    <row r="205" spans="1:13" x14ac:dyDescent="0.3">
      <c r="A205" t="s">
        <v>191</v>
      </c>
      <c r="B205" t="s">
        <v>7</v>
      </c>
      <c r="C205" s="12">
        <v>45839</v>
      </c>
      <c r="D205" t="s">
        <v>44</v>
      </c>
      <c r="E205" t="s">
        <v>15</v>
      </c>
      <c r="F205">
        <v>3219</v>
      </c>
      <c r="G205">
        <v>424</v>
      </c>
      <c r="H205">
        <v>267</v>
      </c>
      <c r="I205">
        <v>48879</v>
      </c>
      <c r="J205">
        <v>37691</v>
      </c>
      <c r="K205">
        <v>224</v>
      </c>
      <c r="L205" t="s">
        <v>36</v>
      </c>
      <c r="M205" t="s">
        <v>60</v>
      </c>
    </row>
    <row r="206" spans="1:13" x14ac:dyDescent="0.3">
      <c r="A206" t="s">
        <v>192</v>
      </c>
      <c r="B206" t="s">
        <v>13</v>
      </c>
      <c r="C206" s="12">
        <v>45301</v>
      </c>
      <c r="D206" t="s">
        <v>45</v>
      </c>
      <c r="E206" t="s">
        <v>15</v>
      </c>
      <c r="F206">
        <v>1261</v>
      </c>
      <c r="G206">
        <v>190</v>
      </c>
      <c r="H206">
        <v>233</v>
      </c>
      <c r="I206">
        <v>59888</v>
      </c>
      <c r="J206">
        <v>51449</v>
      </c>
      <c r="K206">
        <v>205</v>
      </c>
      <c r="L206" t="s">
        <v>27</v>
      </c>
      <c r="M206" t="s">
        <v>62</v>
      </c>
    </row>
    <row r="207" spans="1:13" x14ac:dyDescent="0.3">
      <c r="A207" t="s">
        <v>192</v>
      </c>
      <c r="B207" t="s">
        <v>13</v>
      </c>
      <c r="C207" s="12">
        <v>45301</v>
      </c>
      <c r="D207" t="s">
        <v>45</v>
      </c>
      <c r="E207" t="s">
        <v>15</v>
      </c>
      <c r="F207">
        <v>1261</v>
      </c>
      <c r="G207">
        <v>190</v>
      </c>
      <c r="H207">
        <v>233</v>
      </c>
      <c r="I207">
        <v>59888</v>
      </c>
      <c r="J207">
        <v>51449</v>
      </c>
      <c r="K207">
        <v>205</v>
      </c>
      <c r="L207" t="s">
        <v>24</v>
      </c>
      <c r="M207" t="s">
        <v>62</v>
      </c>
    </row>
    <row r="208" spans="1:13" x14ac:dyDescent="0.3">
      <c r="A208" t="s">
        <v>193</v>
      </c>
      <c r="B208" t="s">
        <v>7</v>
      </c>
      <c r="C208" s="12">
        <v>45736</v>
      </c>
      <c r="D208" t="s">
        <v>45</v>
      </c>
      <c r="E208" t="s">
        <v>78</v>
      </c>
      <c r="F208">
        <v>1564</v>
      </c>
      <c r="G208">
        <v>362</v>
      </c>
      <c r="H208">
        <v>371</v>
      </c>
      <c r="I208">
        <v>42075</v>
      </c>
      <c r="J208">
        <v>66659</v>
      </c>
      <c r="K208">
        <v>205</v>
      </c>
      <c r="L208" t="s">
        <v>30</v>
      </c>
      <c r="M208" t="s">
        <v>62</v>
      </c>
    </row>
    <row r="209" spans="1:13" x14ac:dyDescent="0.3">
      <c r="A209" t="s">
        <v>194</v>
      </c>
      <c r="B209" t="s">
        <v>7</v>
      </c>
      <c r="C209" s="12">
        <v>45563</v>
      </c>
      <c r="D209" t="s">
        <v>45</v>
      </c>
      <c r="E209" t="s">
        <v>23</v>
      </c>
      <c r="F209">
        <v>4006</v>
      </c>
      <c r="G209">
        <v>420</v>
      </c>
      <c r="H209">
        <v>194</v>
      </c>
      <c r="I209">
        <v>49964</v>
      </c>
      <c r="J209">
        <v>20685</v>
      </c>
      <c r="K209">
        <v>148</v>
      </c>
      <c r="L209" t="s">
        <v>33</v>
      </c>
      <c r="M209" t="s">
        <v>60</v>
      </c>
    </row>
    <row r="210" spans="1:13" x14ac:dyDescent="0.3">
      <c r="A210" t="s">
        <v>195</v>
      </c>
      <c r="B210" t="s">
        <v>13</v>
      </c>
      <c r="C210" s="12">
        <v>45318</v>
      </c>
      <c r="D210" t="s">
        <v>45</v>
      </c>
      <c r="E210" t="s">
        <v>78</v>
      </c>
      <c r="F210">
        <v>1976</v>
      </c>
      <c r="G210">
        <v>262</v>
      </c>
      <c r="H210">
        <v>218</v>
      </c>
      <c r="I210">
        <v>51696</v>
      </c>
      <c r="J210">
        <v>44846</v>
      </c>
      <c r="K210">
        <v>139</v>
      </c>
      <c r="L210" t="s">
        <v>27</v>
      </c>
      <c r="M210" t="s">
        <v>62</v>
      </c>
    </row>
    <row r="211" spans="1:13" x14ac:dyDescent="0.3">
      <c r="A211" t="s">
        <v>195</v>
      </c>
      <c r="B211" t="s">
        <v>13</v>
      </c>
      <c r="C211" s="12">
        <v>45318</v>
      </c>
      <c r="D211" t="s">
        <v>45</v>
      </c>
      <c r="E211" t="s">
        <v>78</v>
      </c>
      <c r="F211">
        <v>1976</v>
      </c>
      <c r="G211">
        <v>262</v>
      </c>
      <c r="H211">
        <v>218</v>
      </c>
      <c r="I211">
        <v>51696</v>
      </c>
      <c r="J211">
        <v>44846</v>
      </c>
      <c r="K211">
        <v>139</v>
      </c>
      <c r="L211" t="s">
        <v>24</v>
      </c>
      <c r="M211" t="s">
        <v>62</v>
      </c>
    </row>
    <row r="212" spans="1:13" x14ac:dyDescent="0.3">
      <c r="A212" t="s">
        <v>196</v>
      </c>
      <c r="B212" t="s">
        <v>7</v>
      </c>
      <c r="C212" s="12">
        <v>45792</v>
      </c>
      <c r="D212" t="s">
        <v>45</v>
      </c>
      <c r="E212" t="s">
        <v>12</v>
      </c>
      <c r="F212">
        <v>1583</v>
      </c>
      <c r="G212">
        <v>433</v>
      </c>
      <c r="H212">
        <v>249</v>
      </c>
      <c r="I212">
        <v>30256</v>
      </c>
      <c r="J212">
        <v>47066</v>
      </c>
      <c r="K212">
        <v>196</v>
      </c>
      <c r="L212" t="s">
        <v>33</v>
      </c>
      <c r="M212" t="s">
        <v>60</v>
      </c>
    </row>
    <row r="213" spans="1:13" x14ac:dyDescent="0.3">
      <c r="A213" t="s">
        <v>197</v>
      </c>
      <c r="B213" t="s">
        <v>7</v>
      </c>
      <c r="C213" s="12">
        <v>45569</v>
      </c>
      <c r="D213" t="s">
        <v>44</v>
      </c>
      <c r="E213" t="s">
        <v>15</v>
      </c>
      <c r="F213">
        <v>2870</v>
      </c>
      <c r="G213">
        <v>380</v>
      </c>
      <c r="H213">
        <v>393</v>
      </c>
      <c r="I213">
        <v>37621</v>
      </c>
      <c r="J213">
        <v>71794</v>
      </c>
      <c r="K213">
        <v>127</v>
      </c>
      <c r="L213" t="s">
        <v>36</v>
      </c>
      <c r="M213" t="s">
        <v>60</v>
      </c>
    </row>
    <row r="214" spans="1:13" x14ac:dyDescent="0.3">
      <c r="A214" t="s">
        <v>197</v>
      </c>
      <c r="B214" t="s">
        <v>7</v>
      </c>
      <c r="C214" s="12">
        <v>45569</v>
      </c>
      <c r="D214" t="s">
        <v>44</v>
      </c>
      <c r="E214" t="s">
        <v>15</v>
      </c>
      <c r="F214">
        <v>2870</v>
      </c>
      <c r="G214">
        <v>380</v>
      </c>
      <c r="H214">
        <v>393</v>
      </c>
      <c r="I214">
        <v>37621</v>
      </c>
      <c r="J214">
        <v>71794</v>
      </c>
      <c r="K214">
        <v>127</v>
      </c>
      <c r="L214" t="s">
        <v>33</v>
      </c>
      <c r="M214" t="s">
        <v>60</v>
      </c>
    </row>
    <row r="215" spans="1:13" x14ac:dyDescent="0.3">
      <c r="A215" t="s">
        <v>31</v>
      </c>
      <c r="B215" t="s">
        <v>7</v>
      </c>
      <c r="C215" s="12">
        <v>45615</v>
      </c>
      <c r="D215" t="s">
        <v>45</v>
      </c>
      <c r="E215" t="s">
        <v>32</v>
      </c>
      <c r="F215">
        <v>3728</v>
      </c>
      <c r="G215">
        <v>271</v>
      </c>
      <c r="H215">
        <v>275</v>
      </c>
      <c r="I215">
        <v>22827</v>
      </c>
      <c r="J215">
        <v>37034</v>
      </c>
      <c r="K215">
        <v>199</v>
      </c>
      <c r="L215" t="s">
        <v>33</v>
      </c>
      <c r="M215" t="s">
        <v>60</v>
      </c>
    </row>
    <row r="216" spans="1:13" x14ac:dyDescent="0.3">
      <c r="A216" t="s">
        <v>198</v>
      </c>
      <c r="B216" t="s">
        <v>7</v>
      </c>
      <c r="C216" s="12">
        <v>45387</v>
      </c>
      <c r="D216" t="s">
        <v>44</v>
      </c>
      <c r="E216" t="s">
        <v>12</v>
      </c>
      <c r="F216">
        <v>4965</v>
      </c>
      <c r="G216">
        <v>175</v>
      </c>
      <c r="H216">
        <v>307</v>
      </c>
      <c r="I216">
        <v>32793</v>
      </c>
      <c r="J216">
        <v>43412</v>
      </c>
      <c r="K216">
        <v>296</v>
      </c>
      <c r="L216" t="s">
        <v>30</v>
      </c>
      <c r="M216" t="s">
        <v>60</v>
      </c>
    </row>
    <row r="217" spans="1:13" x14ac:dyDescent="0.3">
      <c r="A217" t="s">
        <v>198</v>
      </c>
      <c r="B217" t="s">
        <v>7</v>
      </c>
      <c r="C217" s="12">
        <v>45387</v>
      </c>
      <c r="D217" t="s">
        <v>44</v>
      </c>
      <c r="E217" t="s">
        <v>12</v>
      </c>
      <c r="F217">
        <v>4965</v>
      </c>
      <c r="G217">
        <v>175</v>
      </c>
      <c r="H217">
        <v>307</v>
      </c>
      <c r="I217">
        <v>32793</v>
      </c>
      <c r="J217">
        <v>43412</v>
      </c>
      <c r="K217">
        <v>296</v>
      </c>
      <c r="L217" t="s">
        <v>33</v>
      </c>
      <c r="M217" t="s">
        <v>60</v>
      </c>
    </row>
    <row r="218" spans="1:13" x14ac:dyDescent="0.3">
      <c r="A218" t="s">
        <v>199</v>
      </c>
      <c r="B218" t="s">
        <v>7</v>
      </c>
      <c r="C218" s="12">
        <v>45624</v>
      </c>
      <c r="D218" t="s">
        <v>44</v>
      </c>
      <c r="E218" t="s">
        <v>12</v>
      </c>
      <c r="F218">
        <v>1131</v>
      </c>
      <c r="G218">
        <v>100</v>
      </c>
      <c r="H218">
        <v>116</v>
      </c>
      <c r="I218">
        <v>48437</v>
      </c>
      <c r="J218">
        <v>72704</v>
      </c>
      <c r="K218">
        <v>236</v>
      </c>
      <c r="L218" t="s">
        <v>27</v>
      </c>
      <c r="M218" t="s">
        <v>60</v>
      </c>
    </row>
    <row r="219" spans="1:13" x14ac:dyDescent="0.3">
      <c r="A219" t="s">
        <v>199</v>
      </c>
      <c r="B219" t="s">
        <v>7</v>
      </c>
      <c r="C219" s="12">
        <v>45624</v>
      </c>
      <c r="D219" t="s">
        <v>44</v>
      </c>
      <c r="E219" t="s">
        <v>12</v>
      </c>
      <c r="F219">
        <v>1131</v>
      </c>
      <c r="G219">
        <v>100</v>
      </c>
      <c r="H219">
        <v>116</v>
      </c>
      <c r="I219">
        <v>48437</v>
      </c>
      <c r="J219">
        <v>72704</v>
      </c>
      <c r="K219">
        <v>236</v>
      </c>
      <c r="L219" t="s">
        <v>36</v>
      </c>
      <c r="M219" t="s">
        <v>60</v>
      </c>
    </row>
    <row r="220" spans="1:13" x14ac:dyDescent="0.3">
      <c r="A220" t="s">
        <v>200</v>
      </c>
      <c r="B220" t="s">
        <v>7</v>
      </c>
      <c r="C220" s="12">
        <v>45725</v>
      </c>
      <c r="D220" t="s">
        <v>45</v>
      </c>
      <c r="E220" t="s">
        <v>78</v>
      </c>
      <c r="F220">
        <v>2754</v>
      </c>
      <c r="G220">
        <v>215</v>
      </c>
      <c r="H220">
        <v>264</v>
      </c>
      <c r="I220">
        <v>27762</v>
      </c>
      <c r="J220">
        <v>70203</v>
      </c>
      <c r="K220">
        <v>289</v>
      </c>
      <c r="L220" t="s">
        <v>33</v>
      </c>
      <c r="M220" t="s">
        <v>60</v>
      </c>
    </row>
    <row r="221" spans="1:13" x14ac:dyDescent="0.3">
      <c r="A221" t="s">
        <v>201</v>
      </c>
      <c r="B221" t="s">
        <v>7</v>
      </c>
      <c r="C221" s="12">
        <v>45531</v>
      </c>
      <c r="D221" t="s">
        <v>44</v>
      </c>
      <c r="E221" t="s">
        <v>12</v>
      </c>
      <c r="F221">
        <v>1856</v>
      </c>
      <c r="G221">
        <v>357</v>
      </c>
      <c r="H221">
        <v>348</v>
      </c>
      <c r="I221">
        <v>29428</v>
      </c>
      <c r="J221">
        <v>70206</v>
      </c>
      <c r="K221">
        <v>236</v>
      </c>
      <c r="L221" t="s">
        <v>36</v>
      </c>
      <c r="M221" t="s">
        <v>60</v>
      </c>
    </row>
    <row r="222" spans="1:13" x14ac:dyDescent="0.3">
      <c r="A222" t="s">
        <v>201</v>
      </c>
      <c r="B222" t="s">
        <v>7</v>
      </c>
      <c r="C222" s="12">
        <v>45531</v>
      </c>
      <c r="D222" t="s">
        <v>44</v>
      </c>
      <c r="E222" t="s">
        <v>12</v>
      </c>
      <c r="F222">
        <v>1856</v>
      </c>
      <c r="G222">
        <v>357</v>
      </c>
      <c r="H222">
        <v>348</v>
      </c>
      <c r="I222">
        <v>29428</v>
      </c>
      <c r="J222">
        <v>70206</v>
      </c>
      <c r="K222">
        <v>236</v>
      </c>
      <c r="L222" t="s">
        <v>33</v>
      </c>
      <c r="M222" t="s">
        <v>60</v>
      </c>
    </row>
    <row r="223" spans="1:13" x14ac:dyDescent="0.3">
      <c r="A223" t="s">
        <v>202</v>
      </c>
      <c r="B223" t="s">
        <v>13</v>
      </c>
      <c r="C223" s="12">
        <v>45566</v>
      </c>
      <c r="D223" t="s">
        <v>46</v>
      </c>
      <c r="E223" t="s">
        <v>15</v>
      </c>
      <c r="F223">
        <v>3543</v>
      </c>
      <c r="G223">
        <v>334</v>
      </c>
      <c r="H223">
        <v>218</v>
      </c>
      <c r="I223">
        <v>58007</v>
      </c>
      <c r="J223">
        <v>24792</v>
      </c>
      <c r="K223">
        <v>273</v>
      </c>
      <c r="L223" t="s">
        <v>27</v>
      </c>
      <c r="M223" t="s">
        <v>85</v>
      </c>
    </row>
    <row r="224" spans="1:13" x14ac:dyDescent="0.3">
      <c r="A224" t="s">
        <v>202</v>
      </c>
      <c r="B224" t="s">
        <v>13</v>
      </c>
      <c r="C224" s="12">
        <v>45566</v>
      </c>
      <c r="D224" t="s">
        <v>46</v>
      </c>
      <c r="E224" t="s">
        <v>15</v>
      </c>
      <c r="F224">
        <v>3543</v>
      </c>
      <c r="G224">
        <v>334</v>
      </c>
      <c r="H224">
        <v>218</v>
      </c>
      <c r="I224">
        <v>58007</v>
      </c>
      <c r="J224">
        <v>24792</v>
      </c>
      <c r="K224">
        <v>273</v>
      </c>
      <c r="L224" t="s">
        <v>30</v>
      </c>
      <c r="M224" t="s">
        <v>85</v>
      </c>
    </row>
    <row r="225" spans="1:13" x14ac:dyDescent="0.3">
      <c r="A225" t="s">
        <v>203</v>
      </c>
      <c r="B225" t="s">
        <v>10</v>
      </c>
      <c r="C225" s="12">
        <v>45647</v>
      </c>
      <c r="D225" t="s">
        <v>44</v>
      </c>
      <c r="E225" t="s">
        <v>12</v>
      </c>
      <c r="F225">
        <v>4563</v>
      </c>
      <c r="G225">
        <v>398</v>
      </c>
      <c r="H225">
        <v>163</v>
      </c>
      <c r="I225">
        <v>43679</v>
      </c>
      <c r="J225">
        <v>48760</v>
      </c>
      <c r="K225">
        <v>92</v>
      </c>
      <c r="L225" t="s">
        <v>33</v>
      </c>
      <c r="M225" t="s">
        <v>82</v>
      </c>
    </row>
    <row r="226" spans="1:13" x14ac:dyDescent="0.3">
      <c r="A226" t="s">
        <v>204</v>
      </c>
      <c r="B226" t="s">
        <v>10</v>
      </c>
      <c r="C226" s="12">
        <v>45460</v>
      </c>
      <c r="D226" t="s">
        <v>45</v>
      </c>
      <c r="E226" t="s">
        <v>19</v>
      </c>
      <c r="F226">
        <v>4283</v>
      </c>
      <c r="G226">
        <v>471</v>
      </c>
      <c r="H226">
        <v>156</v>
      </c>
      <c r="I226">
        <v>53004</v>
      </c>
      <c r="J226">
        <v>25678</v>
      </c>
      <c r="K226">
        <v>105</v>
      </c>
      <c r="L226" t="s">
        <v>27</v>
      </c>
      <c r="M226" t="s">
        <v>62</v>
      </c>
    </row>
    <row r="227" spans="1:13" x14ac:dyDescent="0.3">
      <c r="A227" t="s">
        <v>205</v>
      </c>
      <c r="B227" t="s">
        <v>10</v>
      </c>
      <c r="C227" s="12">
        <v>45702</v>
      </c>
      <c r="D227" t="s">
        <v>45</v>
      </c>
      <c r="E227" t="s">
        <v>19</v>
      </c>
      <c r="F227">
        <v>2329</v>
      </c>
      <c r="G227">
        <v>373</v>
      </c>
      <c r="H227">
        <v>291</v>
      </c>
      <c r="I227">
        <v>49577</v>
      </c>
      <c r="J227">
        <v>28002</v>
      </c>
      <c r="K227">
        <v>82</v>
      </c>
      <c r="L227" t="s">
        <v>30</v>
      </c>
      <c r="M227" t="s">
        <v>60</v>
      </c>
    </row>
    <row r="228" spans="1:13" x14ac:dyDescent="0.3">
      <c r="A228" t="s">
        <v>205</v>
      </c>
      <c r="B228" t="s">
        <v>10</v>
      </c>
      <c r="C228" s="12">
        <v>45702</v>
      </c>
      <c r="D228" t="s">
        <v>45</v>
      </c>
      <c r="E228" t="s">
        <v>19</v>
      </c>
      <c r="F228">
        <v>2329</v>
      </c>
      <c r="G228">
        <v>373</v>
      </c>
      <c r="H228">
        <v>291</v>
      </c>
      <c r="I228">
        <v>49577</v>
      </c>
      <c r="J228">
        <v>28002</v>
      </c>
      <c r="K228">
        <v>82</v>
      </c>
      <c r="L228" t="s">
        <v>33</v>
      </c>
      <c r="M228" t="s">
        <v>60</v>
      </c>
    </row>
    <row r="229" spans="1:13" x14ac:dyDescent="0.3">
      <c r="A229" t="s">
        <v>206</v>
      </c>
      <c r="B229" t="s">
        <v>7</v>
      </c>
      <c r="C229" s="12">
        <v>45805</v>
      </c>
      <c r="D229" t="s">
        <v>44</v>
      </c>
      <c r="E229" t="s">
        <v>32</v>
      </c>
      <c r="F229">
        <v>4287</v>
      </c>
      <c r="G229">
        <v>273</v>
      </c>
      <c r="H229">
        <v>122</v>
      </c>
      <c r="I229">
        <v>40792</v>
      </c>
      <c r="J229">
        <v>23878</v>
      </c>
      <c r="K229">
        <v>277</v>
      </c>
      <c r="L229" t="s">
        <v>36</v>
      </c>
      <c r="M229" t="s">
        <v>60</v>
      </c>
    </row>
    <row r="230" spans="1:13" x14ac:dyDescent="0.3">
      <c r="A230" t="s">
        <v>206</v>
      </c>
      <c r="B230" t="s">
        <v>7</v>
      </c>
      <c r="C230" s="12">
        <v>45805</v>
      </c>
      <c r="D230" t="s">
        <v>44</v>
      </c>
      <c r="E230" t="s">
        <v>32</v>
      </c>
      <c r="F230">
        <v>4287</v>
      </c>
      <c r="G230">
        <v>273</v>
      </c>
      <c r="H230">
        <v>122</v>
      </c>
      <c r="I230">
        <v>40792</v>
      </c>
      <c r="J230">
        <v>23878</v>
      </c>
      <c r="K230">
        <v>277</v>
      </c>
      <c r="L230" t="s">
        <v>33</v>
      </c>
      <c r="M230" t="s">
        <v>60</v>
      </c>
    </row>
    <row r="231" spans="1:13" x14ac:dyDescent="0.3">
      <c r="A231" t="s">
        <v>207</v>
      </c>
      <c r="B231" t="s">
        <v>10</v>
      </c>
      <c r="C231" s="12">
        <v>45799</v>
      </c>
      <c r="D231" t="s">
        <v>45</v>
      </c>
      <c r="E231" t="s">
        <v>19</v>
      </c>
      <c r="F231">
        <v>2633</v>
      </c>
      <c r="G231">
        <v>318</v>
      </c>
      <c r="H231">
        <v>380</v>
      </c>
      <c r="I231">
        <v>40869</v>
      </c>
      <c r="J231">
        <v>64474</v>
      </c>
      <c r="K231">
        <v>245</v>
      </c>
      <c r="L231" t="s">
        <v>27</v>
      </c>
      <c r="M231" t="s">
        <v>62</v>
      </c>
    </row>
    <row r="232" spans="1:13" x14ac:dyDescent="0.3">
      <c r="A232" t="s">
        <v>208</v>
      </c>
      <c r="B232" t="s">
        <v>7</v>
      </c>
      <c r="C232" s="12">
        <v>45312</v>
      </c>
      <c r="D232" t="s">
        <v>44</v>
      </c>
      <c r="E232" t="s">
        <v>19</v>
      </c>
      <c r="F232">
        <v>2383</v>
      </c>
      <c r="G232">
        <v>136</v>
      </c>
      <c r="H232">
        <v>302</v>
      </c>
      <c r="I232">
        <v>39187</v>
      </c>
      <c r="J232">
        <v>22133</v>
      </c>
      <c r="K232">
        <v>208</v>
      </c>
      <c r="L232" t="s">
        <v>36</v>
      </c>
      <c r="M232" t="s">
        <v>60</v>
      </c>
    </row>
    <row r="233" spans="1:13" x14ac:dyDescent="0.3">
      <c r="A233" t="s">
        <v>208</v>
      </c>
      <c r="B233" t="s">
        <v>7</v>
      </c>
      <c r="C233" s="12">
        <v>45312</v>
      </c>
      <c r="D233" t="s">
        <v>44</v>
      </c>
      <c r="E233" t="s">
        <v>19</v>
      </c>
      <c r="F233">
        <v>2383</v>
      </c>
      <c r="G233">
        <v>136</v>
      </c>
      <c r="H233">
        <v>302</v>
      </c>
      <c r="I233">
        <v>39187</v>
      </c>
      <c r="J233">
        <v>22133</v>
      </c>
      <c r="K233">
        <v>208</v>
      </c>
      <c r="L233" t="s">
        <v>33</v>
      </c>
      <c r="M233" t="s">
        <v>60</v>
      </c>
    </row>
    <row r="234" spans="1:13" x14ac:dyDescent="0.3">
      <c r="A234" t="s">
        <v>209</v>
      </c>
      <c r="B234" t="s">
        <v>7</v>
      </c>
      <c r="C234" s="12">
        <v>45696</v>
      </c>
      <c r="D234" t="s">
        <v>44</v>
      </c>
      <c r="E234" t="s">
        <v>78</v>
      </c>
      <c r="F234">
        <v>4752</v>
      </c>
      <c r="G234">
        <v>334</v>
      </c>
      <c r="H234">
        <v>56</v>
      </c>
      <c r="I234">
        <v>48017</v>
      </c>
      <c r="J234">
        <v>55534</v>
      </c>
      <c r="K234">
        <v>270</v>
      </c>
      <c r="L234" t="s">
        <v>27</v>
      </c>
      <c r="M234" t="s">
        <v>60</v>
      </c>
    </row>
    <row r="235" spans="1:13" x14ac:dyDescent="0.3">
      <c r="A235" t="s">
        <v>209</v>
      </c>
      <c r="B235" t="s">
        <v>7</v>
      </c>
      <c r="C235" s="12">
        <v>45696</v>
      </c>
      <c r="D235" t="s">
        <v>44</v>
      </c>
      <c r="E235" t="s">
        <v>78</v>
      </c>
      <c r="F235">
        <v>4752</v>
      </c>
      <c r="G235">
        <v>334</v>
      </c>
      <c r="H235">
        <v>56</v>
      </c>
      <c r="I235">
        <v>48017</v>
      </c>
      <c r="J235">
        <v>55534</v>
      </c>
      <c r="K235">
        <v>270</v>
      </c>
      <c r="L235" t="s">
        <v>36</v>
      </c>
      <c r="M235" t="s">
        <v>60</v>
      </c>
    </row>
    <row r="236" spans="1:13" x14ac:dyDescent="0.3">
      <c r="A236" t="s">
        <v>210</v>
      </c>
      <c r="B236" t="s">
        <v>7</v>
      </c>
      <c r="C236" s="12">
        <v>45760</v>
      </c>
      <c r="D236" t="s">
        <v>45</v>
      </c>
      <c r="E236" t="s">
        <v>26</v>
      </c>
      <c r="F236">
        <v>3890</v>
      </c>
      <c r="G236">
        <v>408</v>
      </c>
      <c r="H236">
        <v>338</v>
      </c>
      <c r="I236">
        <v>56994</v>
      </c>
      <c r="J236">
        <v>32621</v>
      </c>
      <c r="K236">
        <v>286</v>
      </c>
      <c r="L236" t="s">
        <v>30</v>
      </c>
      <c r="M236" t="s">
        <v>62</v>
      </c>
    </row>
    <row r="237" spans="1:13" x14ac:dyDescent="0.3">
      <c r="A237" t="s">
        <v>211</v>
      </c>
      <c r="B237" t="s">
        <v>7</v>
      </c>
      <c r="C237" s="12">
        <v>45442</v>
      </c>
      <c r="D237" t="s">
        <v>44</v>
      </c>
      <c r="E237" t="s">
        <v>78</v>
      </c>
      <c r="F237">
        <v>2311</v>
      </c>
      <c r="G237">
        <v>207</v>
      </c>
      <c r="H237">
        <v>363</v>
      </c>
      <c r="I237">
        <v>30349</v>
      </c>
      <c r="J237">
        <v>32925</v>
      </c>
      <c r="K237">
        <v>88</v>
      </c>
      <c r="L237" t="s">
        <v>36</v>
      </c>
      <c r="M237" t="s">
        <v>60</v>
      </c>
    </row>
    <row r="238" spans="1:13" x14ac:dyDescent="0.3">
      <c r="A238" t="s">
        <v>211</v>
      </c>
      <c r="B238" t="s">
        <v>7</v>
      </c>
      <c r="C238" s="12">
        <v>45442</v>
      </c>
      <c r="D238" t="s">
        <v>44</v>
      </c>
      <c r="E238" t="s">
        <v>78</v>
      </c>
      <c r="F238">
        <v>2311</v>
      </c>
      <c r="G238">
        <v>207</v>
      </c>
      <c r="H238">
        <v>363</v>
      </c>
      <c r="I238">
        <v>30349</v>
      </c>
      <c r="J238">
        <v>32925</v>
      </c>
      <c r="K238">
        <v>88</v>
      </c>
      <c r="L238" t="s">
        <v>33</v>
      </c>
      <c r="M238" t="s">
        <v>60</v>
      </c>
    </row>
    <row r="239" spans="1:13" x14ac:dyDescent="0.3">
      <c r="A239" t="s">
        <v>212</v>
      </c>
      <c r="B239" t="s">
        <v>10</v>
      </c>
      <c r="C239" s="12">
        <v>45516</v>
      </c>
      <c r="D239" t="s">
        <v>44</v>
      </c>
      <c r="E239" t="s">
        <v>19</v>
      </c>
      <c r="F239">
        <v>2962</v>
      </c>
      <c r="G239">
        <v>400</v>
      </c>
      <c r="H239">
        <v>280</v>
      </c>
      <c r="I239">
        <v>52508</v>
      </c>
      <c r="J239">
        <v>58329</v>
      </c>
      <c r="K239">
        <v>219</v>
      </c>
      <c r="L239" t="s">
        <v>33</v>
      </c>
      <c r="M239" t="s">
        <v>82</v>
      </c>
    </row>
    <row r="240" spans="1:13" x14ac:dyDescent="0.3">
      <c r="A240" t="s">
        <v>213</v>
      </c>
      <c r="B240" t="s">
        <v>10</v>
      </c>
      <c r="C240" s="12">
        <v>45562</v>
      </c>
      <c r="D240" t="s">
        <v>45</v>
      </c>
      <c r="E240" t="s">
        <v>19</v>
      </c>
      <c r="F240">
        <v>3118</v>
      </c>
      <c r="G240">
        <v>116</v>
      </c>
      <c r="H240">
        <v>195</v>
      </c>
      <c r="I240">
        <v>37100</v>
      </c>
      <c r="J240">
        <v>62629</v>
      </c>
      <c r="K240">
        <v>272</v>
      </c>
      <c r="L240" t="s">
        <v>27</v>
      </c>
      <c r="M240" t="s">
        <v>62</v>
      </c>
    </row>
    <row r="241" spans="1:13" x14ac:dyDescent="0.3">
      <c r="A241" t="s">
        <v>214</v>
      </c>
      <c r="B241" t="s">
        <v>7</v>
      </c>
      <c r="C241" s="12">
        <v>45819</v>
      </c>
      <c r="D241" t="s">
        <v>44</v>
      </c>
      <c r="E241" t="s">
        <v>15</v>
      </c>
      <c r="F241">
        <v>3805</v>
      </c>
      <c r="G241">
        <v>453</v>
      </c>
      <c r="H241">
        <v>63</v>
      </c>
      <c r="I241">
        <v>52395</v>
      </c>
      <c r="J241">
        <v>72934</v>
      </c>
      <c r="K241">
        <v>87</v>
      </c>
      <c r="L241" t="s">
        <v>27</v>
      </c>
      <c r="M241" t="s">
        <v>60</v>
      </c>
    </row>
    <row r="242" spans="1:13" x14ac:dyDescent="0.3">
      <c r="A242" t="s">
        <v>214</v>
      </c>
      <c r="B242" t="s">
        <v>7</v>
      </c>
      <c r="C242" s="12">
        <v>45819</v>
      </c>
      <c r="D242" t="s">
        <v>44</v>
      </c>
      <c r="E242" t="s">
        <v>15</v>
      </c>
      <c r="F242">
        <v>3805</v>
      </c>
      <c r="G242">
        <v>453</v>
      </c>
      <c r="H242">
        <v>63</v>
      </c>
      <c r="I242">
        <v>52395</v>
      </c>
      <c r="J242">
        <v>72934</v>
      </c>
      <c r="K242">
        <v>87</v>
      </c>
      <c r="L242" t="s">
        <v>36</v>
      </c>
      <c r="M242" t="s">
        <v>60</v>
      </c>
    </row>
    <row r="243" spans="1:13" x14ac:dyDescent="0.3">
      <c r="A243" t="s">
        <v>215</v>
      </c>
      <c r="B243" t="s">
        <v>10</v>
      </c>
      <c r="C243" s="12">
        <v>45615</v>
      </c>
      <c r="D243" t="s">
        <v>45</v>
      </c>
      <c r="E243" t="s">
        <v>23</v>
      </c>
      <c r="F243">
        <v>2525</v>
      </c>
      <c r="G243">
        <v>272</v>
      </c>
      <c r="H243">
        <v>294</v>
      </c>
      <c r="I243">
        <v>51875</v>
      </c>
      <c r="J243">
        <v>24732</v>
      </c>
      <c r="K243">
        <v>92</v>
      </c>
      <c r="L243" t="s">
        <v>27</v>
      </c>
      <c r="M243" t="s">
        <v>62</v>
      </c>
    </row>
    <row r="244" spans="1:13" x14ac:dyDescent="0.3">
      <c r="A244" t="s">
        <v>216</v>
      </c>
      <c r="B244" t="s">
        <v>10</v>
      </c>
      <c r="C244" s="12">
        <v>45407</v>
      </c>
      <c r="D244" t="s">
        <v>45</v>
      </c>
      <c r="E244" t="s">
        <v>35</v>
      </c>
      <c r="F244">
        <v>3563</v>
      </c>
      <c r="G244">
        <v>483</v>
      </c>
      <c r="H244">
        <v>227</v>
      </c>
      <c r="I244">
        <v>41085</v>
      </c>
      <c r="J244">
        <v>26393</v>
      </c>
      <c r="K244">
        <v>236</v>
      </c>
      <c r="L244" t="s">
        <v>30</v>
      </c>
      <c r="M244" t="s">
        <v>60</v>
      </c>
    </row>
    <row r="245" spans="1:13" x14ac:dyDescent="0.3">
      <c r="A245" t="s">
        <v>216</v>
      </c>
      <c r="B245" t="s">
        <v>10</v>
      </c>
      <c r="C245" s="12">
        <v>45407</v>
      </c>
      <c r="D245" t="s">
        <v>45</v>
      </c>
      <c r="E245" t="s">
        <v>35</v>
      </c>
      <c r="F245">
        <v>3563</v>
      </c>
      <c r="G245">
        <v>483</v>
      </c>
      <c r="H245">
        <v>227</v>
      </c>
      <c r="I245">
        <v>41085</v>
      </c>
      <c r="J245">
        <v>26393</v>
      </c>
      <c r="K245">
        <v>236</v>
      </c>
      <c r="L245" t="s">
        <v>33</v>
      </c>
      <c r="M245" t="s">
        <v>60</v>
      </c>
    </row>
    <row r="246" spans="1:13" x14ac:dyDescent="0.3">
      <c r="A246" t="s">
        <v>217</v>
      </c>
      <c r="B246" t="s">
        <v>13</v>
      </c>
      <c r="C246" s="12">
        <v>45538</v>
      </c>
      <c r="D246" t="s">
        <v>46</v>
      </c>
      <c r="E246" t="s">
        <v>23</v>
      </c>
      <c r="F246">
        <v>1437</v>
      </c>
      <c r="G246">
        <v>494</v>
      </c>
      <c r="H246">
        <v>129</v>
      </c>
      <c r="I246">
        <v>53048</v>
      </c>
      <c r="J246">
        <v>44090</v>
      </c>
      <c r="K246">
        <v>230</v>
      </c>
      <c r="L246" t="s">
        <v>27</v>
      </c>
      <c r="M246" t="s">
        <v>85</v>
      </c>
    </row>
    <row r="247" spans="1:13" x14ac:dyDescent="0.3">
      <c r="A247" t="s">
        <v>217</v>
      </c>
      <c r="B247" t="s">
        <v>13</v>
      </c>
      <c r="C247" s="12">
        <v>45538</v>
      </c>
      <c r="D247" t="s">
        <v>46</v>
      </c>
      <c r="E247" t="s">
        <v>23</v>
      </c>
      <c r="F247">
        <v>1437</v>
      </c>
      <c r="G247">
        <v>494</v>
      </c>
      <c r="H247">
        <v>129</v>
      </c>
      <c r="I247">
        <v>53048</v>
      </c>
      <c r="J247">
        <v>44090</v>
      </c>
      <c r="K247">
        <v>230</v>
      </c>
      <c r="L247" t="s">
        <v>30</v>
      </c>
      <c r="M247" t="s">
        <v>85</v>
      </c>
    </row>
    <row r="248" spans="1:13" x14ac:dyDescent="0.3">
      <c r="A248" t="s">
        <v>25</v>
      </c>
      <c r="B248" t="s">
        <v>13</v>
      </c>
      <c r="C248" s="12">
        <v>45718</v>
      </c>
      <c r="D248" t="s">
        <v>45</v>
      </c>
      <c r="E248" t="s">
        <v>26</v>
      </c>
      <c r="F248">
        <v>4425</v>
      </c>
      <c r="G248">
        <v>185</v>
      </c>
      <c r="H248">
        <v>162</v>
      </c>
      <c r="I248">
        <v>24610</v>
      </c>
      <c r="J248">
        <v>21342</v>
      </c>
      <c r="K248">
        <v>158</v>
      </c>
      <c r="L248" t="s">
        <v>27</v>
      </c>
      <c r="M248" t="s">
        <v>62</v>
      </c>
    </row>
    <row r="249" spans="1:13" x14ac:dyDescent="0.3">
      <c r="A249" t="s">
        <v>25</v>
      </c>
      <c r="B249" t="s">
        <v>13</v>
      </c>
      <c r="C249" s="12">
        <v>45718</v>
      </c>
      <c r="D249" t="s">
        <v>45</v>
      </c>
      <c r="E249" t="s">
        <v>26</v>
      </c>
      <c r="F249">
        <v>4425</v>
      </c>
      <c r="G249">
        <v>185</v>
      </c>
      <c r="H249">
        <v>162</v>
      </c>
      <c r="I249">
        <v>24610</v>
      </c>
      <c r="J249">
        <v>21342</v>
      </c>
      <c r="K249">
        <v>158</v>
      </c>
      <c r="L249" t="s">
        <v>24</v>
      </c>
      <c r="M249" t="s">
        <v>62</v>
      </c>
    </row>
    <row r="250" spans="1:13" x14ac:dyDescent="0.3">
      <c r="A250" t="s">
        <v>218</v>
      </c>
      <c r="B250" t="s">
        <v>7</v>
      </c>
      <c r="C250" s="12">
        <v>45737</v>
      </c>
      <c r="D250" t="s">
        <v>44</v>
      </c>
      <c r="E250" t="s">
        <v>12</v>
      </c>
      <c r="F250">
        <v>4609</v>
      </c>
      <c r="G250">
        <v>427</v>
      </c>
      <c r="H250">
        <v>395</v>
      </c>
      <c r="I250">
        <v>33698</v>
      </c>
      <c r="J250">
        <v>29259</v>
      </c>
      <c r="K250">
        <v>216</v>
      </c>
      <c r="L250" t="s">
        <v>27</v>
      </c>
      <c r="M250" t="s">
        <v>60</v>
      </c>
    </row>
    <row r="251" spans="1:13" x14ac:dyDescent="0.3">
      <c r="A251" t="s">
        <v>218</v>
      </c>
      <c r="B251" t="s">
        <v>7</v>
      </c>
      <c r="C251" s="12">
        <v>45737</v>
      </c>
      <c r="D251" t="s">
        <v>44</v>
      </c>
      <c r="E251" t="s">
        <v>12</v>
      </c>
      <c r="F251">
        <v>4609</v>
      </c>
      <c r="G251">
        <v>427</v>
      </c>
      <c r="H251">
        <v>395</v>
      </c>
      <c r="I251">
        <v>33698</v>
      </c>
      <c r="J251">
        <v>29259</v>
      </c>
      <c r="K251">
        <v>216</v>
      </c>
      <c r="L251" t="s">
        <v>36</v>
      </c>
      <c r="M251" t="s">
        <v>60</v>
      </c>
    </row>
    <row r="252" spans="1:13" x14ac:dyDescent="0.3">
      <c r="A252" t="s">
        <v>219</v>
      </c>
      <c r="B252" t="s">
        <v>10</v>
      </c>
      <c r="C252" s="12">
        <v>45394</v>
      </c>
      <c r="D252" t="s">
        <v>44</v>
      </c>
      <c r="E252" t="s">
        <v>9</v>
      </c>
      <c r="F252">
        <v>1558</v>
      </c>
      <c r="G252">
        <v>352</v>
      </c>
      <c r="H252">
        <v>202</v>
      </c>
      <c r="I252">
        <v>25405</v>
      </c>
      <c r="J252">
        <v>69941</v>
      </c>
      <c r="K252">
        <v>219</v>
      </c>
      <c r="L252" t="s">
        <v>33</v>
      </c>
      <c r="M252" t="s">
        <v>82</v>
      </c>
    </row>
    <row r="253" spans="1:13" x14ac:dyDescent="0.3">
      <c r="A253" t="s">
        <v>220</v>
      </c>
      <c r="B253" t="s">
        <v>13</v>
      </c>
      <c r="C253" s="12">
        <v>45330</v>
      </c>
      <c r="D253" t="s">
        <v>46</v>
      </c>
      <c r="E253" t="s">
        <v>32</v>
      </c>
      <c r="F253">
        <v>1889</v>
      </c>
      <c r="G253">
        <v>298</v>
      </c>
      <c r="H253">
        <v>122</v>
      </c>
      <c r="I253">
        <v>46225</v>
      </c>
      <c r="J253">
        <v>74305</v>
      </c>
      <c r="K253">
        <v>293</v>
      </c>
      <c r="L253" t="s">
        <v>27</v>
      </c>
      <c r="M253" t="s">
        <v>85</v>
      </c>
    </row>
    <row r="254" spans="1:13" x14ac:dyDescent="0.3">
      <c r="A254" t="s">
        <v>220</v>
      </c>
      <c r="B254" t="s">
        <v>13</v>
      </c>
      <c r="C254" s="12">
        <v>45330</v>
      </c>
      <c r="D254" t="s">
        <v>46</v>
      </c>
      <c r="E254" t="s">
        <v>32</v>
      </c>
      <c r="F254">
        <v>1889</v>
      </c>
      <c r="G254">
        <v>298</v>
      </c>
      <c r="H254">
        <v>122</v>
      </c>
      <c r="I254">
        <v>46225</v>
      </c>
      <c r="J254">
        <v>74305</v>
      </c>
      <c r="K254">
        <v>293</v>
      </c>
      <c r="L254" t="s">
        <v>30</v>
      </c>
      <c r="M254" t="s">
        <v>85</v>
      </c>
    </row>
    <row r="255" spans="1:13" x14ac:dyDescent="0.3">
      <c r="A255" t="s">
        <v>221</v>
      </c>
      <c r="B255" t="s">
        <v>10</v>
      </c>
      <c r="C255" s="12">
        <v>45803</v>
      </c>
      <c r="D255" t="s">
        <v>45</v>
      </c>
      <c r="E255" t="s">
        <v>19</v>
      </c>
      <c r="F255">
        <v>3086</v>
      </c>
      <c r="G255">
        <v>148</v>
      </c>
      <c r="H255">
        <v>310</v>
      </c>
      <c r="I255">
        <v>22824</v>
      </c>
      <c r="J255">
        <v>58103</v>
      </c>
      <c r="K255">
        <v>275</v>
      </c>
      <c r="L255" t="s">
        <v>27</v>
      </c>
      <c r="M255" t="s">
        <v>62</v>
      </c>
    </row>
    <row r="256" spans="1:13" x14ac:dyDescent="0.3">
      <c r="A256" t="s">
        <v>222</v>
      </c>
      <c r="B256" t="s">
        <v>10</v>
      </c>
      <c r="C256" s="12">
        <v>45610</v>
      </c>
      <c r="D256" t="s">
        <v>45</v>
      </c>
      <c r="E256" t="s">
        <v>35</v>
      </c>
      <c r="F256">
        <v>2422</v>
      </c>
      <c r="G256">
        <v>318</v>
      </c>
      <c r="H256">
        <v>118</v>
      </c>
      <c r="I256">
        <v>25386</v>
      </c>
      <c r="J256">
        <v>20873</v>
      </c>
      <c r="K256">
        <v>100</v>
      </c>
      <c r="L256" t="s">
        <v>30</v>
      </c>
      <c r="M256" t="s">
        <v>60</v>
      </c>
    </row>
    <row r="257" spans="1:13" x14ac:dyDescent="0.3">
      <c r="A257" t="s">
        <v>222</v>
      </c>
      <c r="B257" t="s">
        <v>10</v>
      </c>
      <c r="C257" s="12">
        <v>45610</v>
      </c>
      <c r="D257" t="s">
        <v>45</v>
      </c>
      <c r="E257" t="s">
        <v>35</v>
      </c>
      <c r="F257">
        <v>2422</v>
      </c>
      <c r="G257">
        <v>318</v>
      </c>
      <c r="H257">
        <v>118</v>
      </c>
      <c r="I257">
        <v>25386</v>
      </c>
      <c r="J257">
        <v>20873</v>
      </c>
      <c r="K257">
        <v>100</v>
      </c>
      <c r="L257" t="s">
        <v>33</v>
      </c>
      <c r="M257" t="s">
        <v>60</v>
      </c>
    </row>
    <row r="258" spans="1:13" x14ac:dyDescent="0.3">
      <c r="A258" t="s">
        <v>223</v>
      </c>
      <c r="B258" t="s">
        <v>13</v>
      </c>
      <c r="C258" s="12">
        <v>45513</v>
      </c>
      <c r="D258" t="s">
        <v>46</v>
      </c>
      <c r="E258" t="s">
        <v>26</v>
      </c>
      <c r="F258">
        <v>3414</v>
      </c>
      <c r="G258">
        <v>154</v>
      </c>
      <c r="H258">
        <v>204</v>
      </c>
      <c r="I258">
        <v>34146</v>
      </c>
      <c r="J258">
        <v>44633</v>
      </c>
      <c r="K258">
        <v>256</v>
      </c>
      <c r="L258" t="s">
        <v>27</v>
      </c>
      <c r="M258" t="s">
        <v>85</v>
      </c>
    </row>
    <row r="259" spans="1:13" x14ac:dyDescent="0.3">
      <c r="A259" t="s">
        <v>223</v>
      </c>
      <c r="B259" t="s">
        <v>13</v>
      </c>
      <c r="C259" s="12">
        <v>45513</v>
      </c>
      <c r="D259" t="s">
        <v>46</v>
      </c>
      <c r="E259" t="s">
        <v>26</v>
      </c>
      <c r="F259">
        <v>3414</v>
      </c>
      <c r="G259">
        <v>154</v>
      </c>
      <c r="H259">
        <v>204</v>
      </c>
      <c r="I259">
        <v>34146</v>
      </c>
      <c r="J259">
        <v>44633</v>
      </c>
      <c r="K259">
        <v>256</v>
      </c>
      <c r="L259" t="s">
        <v>30</v>
      </c>
      <c r="M259" t="s">
        <v>85</v>
      </c>
    </row>
    <row r="260" spans="1:13" x14ac:dyDescent="0.3">
      <c r="A260" t="s">
        <v>224</v>
      </c>
      <c r="B260" t="s">
        <v>10</v>
      </c>
      <c r="C260" s="12">
        <v>45835</v>
      </c>
      <c r="D260" t="s">
        <v>44</v>
      </c>
      <c r="E260" t="s">
        <v>23</v>
      </c>
      <c r="F260">
        <v>1342</v>
      </c>
      <c r="G260">
        <v>332</v>
      </c>
      <c r="H260">
        <v>163</v>
      </c>
      <c r="I260">
        <v>51712</v>
      </c>
      <c r="J260">
        <v>57922</v>
      </c>
      <c r="K260">
        <v>168</v>
      </c>
      <c r="L260" t="s">
        <v>33</v>
      </c>
      <c r="M260" t="s">
        <v>82</v>
      </c>
    </row>
    <row r="261" spans="1:13" x14ac:dyDescent="0.3">
      <c r="A261" t="s">
        <v>225</v>
      </c>
      <c r="B261" t="s">
        <v>10</v>
      </c>
      <c r="C261" s="12">
        <v>45420</v>
      </c>
      <c r="D261" t="s">
        <v>44</v>
      </c>
      <c r="E261" t="s">
        <v>35</v>
      </c>
      <c r="F261">
        <v>2414</v>
      </c>
      <c r="G261">
        <v>220</v>
      </c>
      <c r="H261">
        <v>280</v>
      </c>
      <c r="I261">
        <v>27355</v>
      </c>
      <c r="J261">
        <v>50562</v>
      </c>
      <c r="K261">
        <v>258</v>
      </c>
      <c r="L261" t="s">
        <v>33</v>
      </c>
      <c r="M261" t="s">
        <v>82</v>
      </c>
    </row>
    <row r="262" spans="1:13" x14ac:dyDescent="0.3">
      <c r="A262" t="s">
        <v>226</v>
      </c>
      <c r="B262" t="s">
        <v>10</v>
      </c>
      <c r="C262" s="12">
        <v>45387</v>
      </c>
      <c r="D262" t="s">
        <v>45</v>
      </c>
      <c r="E262" t="s">
        <v>12</v>
      </c>
      <c r="F262">
        <v>4383</v>
      </c>
      <c r="G262">
        <v>352</v>
      </c>
      <c r="H262">
        <v>176</v>
      </c>
      <c r="I262">
        <v>53239</v>
      </c>
      <c r="J262">
        <v>34168</v>
      </c>
      <c r="K262">
        <v>288</v>
      </c>
      <c r="L262" t="s">
        <v>27</v>
      </c>
      <c r="M262" t="s">
        <v>62</v>
      </c>
    </row>
    <row r="263" spans="1:13" x14ac:dyDescent="0.3">
      <c r="A263" t="s">
        <v>227</v>
      </c>
      <c r="B263" t="s">
        <v>13</v>
      </c>
      <c r="C263" s="12">
        <v>45684</v>
      </c>
      <c r="D263" t="s">
        <v>45</v>
      </c>
      <c r="E263" t="s">
        <v>29</v>
      </c>
      <c r="F263">
        <v>4294</v>
      </c>
      <c r="G263">
        <v>423</v>
      </c>
      <c r="H263">
        <v>93</v>
      </c>
      <c r="I263">
        <v>29828</v>
      </c>
      <c r="J263">
        <v>73144</v>
      </c>
      <c r="K263">
        <v>298</v>
      </c>
      <c r="L263" t="s">
        <v>27</v>
      </c>
      <c r="M263" t="s">
        <v>62</v>
      </c>
    </row>
    <row r="264" spans="1:13" x14ac:dyDescent="0.3">
      <c r="A264" t="s">
        <v>227</v>
      </c>
      <c r="B264" t="s">
        <v>13</v>
      </c>
      <c r="C264" s="12">
        <v>45684</v>
      </c>
      <c r="D264" t="s">
        <v>45</v>
      </c>
      <c r="E264" t="s">
        <v>29</v>
      </c>
      <c r="F264">
        <v>4294</v>
      </c>
      <c r="G264">
        <v>423</v>
      </c>
      <c r="H264">
        <v>93</v>
      </c>
      <c r="I264">
        <v>29828</v>
      </c>
      <c r="J264">
        <v>73144</v>
      </c>
      <c r="K264">
        <v>298</v>
      </c>
      <c r="L264" t="s">
        <v>24</v>
      </c>
      <c r="M264" t="s">
        <v>62</v>
      </c>
    </row>
    <row r="265" spans="1:13" x14ac:dyDescent="0.3">
      <c r="A265" t="s">
        <v>228</v>
      </c>
      <c r="B265" t="s">
        <v>10</v>
      </c>
      <c r="C265" s="12">
        <v>45385</v>
      </c>
      <c r="D265" t="s">
        <v>45</v>
      </c>
      <c r="E265" t="s">
        <v>32</v>
      </c>
      <c r="F265">
        <v>2762</v>
      </c>
      <c r="G265">
        <v>339</v>
      </c>
      <c r="H265">
        <v>323</v>
      </c>
      <c r="I265">
        <v>33757</v>
      </c>
      <c r="J265">
        <v>68511</v>
      </c>
      <c r="K265">
        <v>121</v>
      </c>
      <c r="L265" t="s">
        <v>30</v>
      </c>
      <c r="M265" t="s">
        <v>60</v>
      </c>
    </row>
    <row r="266" spans="1:13" x14ac:dyDescent="0.3">
      <c r="A266" t="s">
        <v>228</v>
      </c>
      <c r="B266" t="s">
        <v>10</v>
      </c>
      <c r="C266" s="12">
        <v>45385</v>
      </c>
      <c r="D266" t="s">
        <v>45</v>
      </c>
      <c r="E266" t="s">
        <v>32</v>
      </c>
      <c r="F266">
        <v>2762</v>
      </c>
      <c r="G266">
        <v>339</v>
      </c>
      <c r="H266">
        <v>323</v>
      </c>
      <c r="I266">
        <v>33757</v>
      </c>
      <c r="J266">
        <v>68511</v>
      </c>
      <c r="K266">
        <v>121</v>
      </c>
      <c r="L266" t="s">
        <v>33</v>
      </c>
      <c r="M266" t="s">
        <v>60</v>
      </c>
    </row>
    <row r="267" spans="1:13" x14ac:dyDescent="0.3">
      <c r="A267" t="s">
        <v>229</v>
      </c>
      <c r="B267" t="s">
        <v>13</v>
      </c>
      <c r="C267" s="12">
        <v>45660</v>
      </c>
      <c r="D267" t="s">
        <v>45</v>
      </c>
      <c r="E267" t="s">
        <v>12</v>
      </c>
      <c r="F267">
        <v>3782</v>
      </c>
      <c r="G267">
        <v>484</v>
      </c>
      <c r="H267">
        <v>144</v>
      </c>
      <c r="I267">
        <v>52172</v>
      </c>
      <c r="J267">
        <v>59386</v>
      </c>
      <c r="K267">
        <v>175</v>
      </c>
      <c r="L267" t="s">
        <v>27</v>
      </c>
      <c r="M267" t="s">
        <v>62</v>
      </c>
    </row>
    <row r="268" spans="1:13" x14ac:dyDescent="0.3">
      <c r="A268" t="s">
        <v>229</v>
      </c>
      <c r="B268" t="s">
        <v>13</v>
      </c>
      <c r="C268" s="12">
        <v>45660</v>
      </c>
      <c r="D268" t="s">
        <v>45</v>
      </c>
      <c r="E268" t="s">
        <v>12</v>
      </c>
      <c r="F268">
        <v>3782</v>
      </c>
      <c r="G268">
        <v>484</v>
      </c>
      <c r="H268">
        <v>144</v>
      </c>
      <c r="I268">
        <v>52172</v>
      </c>
      <c r="J268">
        <v>59386</v>
      </c>
      <c r="K268">
        <v>175</v>
      </c>
      <c r="L268" t="s">
        <v>24</v>
      </c>
      <c r="M268" t="s">
        <v>62</v>
      </c>
    </row>
    <row r="269" spans="1:13" x14ac:dyDescent="0.3">
      <c r="A269" t="s">
        <v>230</v>
      </c>
      <c r="B269" t="s">
        <v>7</v>
      </c>
      <c r="C269" s="12">
        <v>45619</v>
      </c>
      <c r="D269" t="s">
        <v>45</v>
      </c>
      <c r="E269" t="s">
        <v>12</v>
      </c>
      <c r="F269">
        <v>4318</v>
      </c>
      <c r="G269">
        <v>371</v>
      </c>
      <c r="H269">
        <v>329</v>
      </c>
      <c r="I269">
        <v>32347</v>
      </c>
      <c r="J269">
        <v>68956</v>
      </c>
      <c r="K269">
        <v>259</v>
      </c>
      <c r="L269" t="s">
        <v>30</v>
      </c>
      <c r="M269" t="s">
        <v>62</v>
      </c>
    </row>
    <row r="270" spans="1:13" x14ac:dyDescent="0.3">
      <c r="A270" t="s">
        <v>231</v>
      </c>
      <c r="B270" t="s">
        <v>10</v>
      </c>
      <c r="C270" s="12">
        <v>45536</v>
      </c>
      <c r="D270" t="s">
        <v>44</v>
      </c>
      <c r="E270" t="s">
        <v>29</v>
      </c>
      <c r="F270">
        <v>2335</v>
      </c>
      <c r="G270">
        <v>150</v>
      </c>
      <c r="H270">
        <v>75</v>
      </c>
      <c r="I270">
        <v>26114</v>
      </c>
      <c r="J270">
        <v>57549</v>
      </c>
      <c r="K270">
        <v>135</v>
      </c>
      <c r="L270" t="s">
        <v>33</v>
      </c>
      <c r="M270" t="s">
        <v>82</v>
      </c>
    </row>
    <row r="271" spans="1:13" x14ac:dyDescent="0.3">
      <c r="A271" t="s">
        <v>232</v>
      </c>
      <c r="B271" t="s">
        <v>13</v>
      </c>
      <c r="C271" s="12">
        <v>45400</v>
      </c>
      <c r="D271" t="s">
        <v>45</v>
      </c>
      <c r="E271" t="s">
        <v>15</v>
      </c>
      <c r="F271">
        <v>4023</v>
      </c>
      <c r="G271">
        <v>293</v>
      </c>
      <c r="H271">
        <v>91</v>
      </c>
      <c r="I271">
        <v>26795</v>
      </c>
      <c r="J271">
        <v>28924</v>
      </c>
      <c r="K271">
        <v>278</v>
      </c>
      <c r="L271" t="s">
        <v>27</v>
      </c>
      <c r="M271" t="s">
        <v>62</v>
      </c>
    </row>
    <row r="272" spans="1:13" x14ac:dyDescent="0.3">
      <c r="A272" t="s">
        <v>232</v>
      </c>
      <c r="B272" t="s">
        <v>13</v>
      </c>
      <c r="C272" s="12">
        <v>45400</v>
      </c>
      <c r="D272" t="s">
        <v>45</v>
      </c>
      <c r="E272" t="s">
        <v>15</v>
      </c>
      <c r="F272">
        <v>4023</v>
      </c>
      <c r="G272">
        <v>293</v>
      </c>
      <c r="H272">
        <v>91</v>
      </c>
      <c r="I272">
        <v>26795</v>
      </c>
      <c r="J272">
        <v>28924</v>
      </c>
      <c r="K272">
        <v>278</v>
      </c>
      <c r="L272" t="s">
        <v>24</v>
      </c>
      <c r="M272" t="s">
        <v>62</v>
      </c>
    </row>
    <row r="273" spans="1:13" x14ac:dyDescent="0.3">
      <c r="A273" t="s">
        <v>233</v>
      </c>
      <c r="B273" t="s">
        <v>10</v>
      </c>
      <c r="C273" s="12">
        <v>45447</v>
      </c>
      <c r="D273" t="s">
        <v>45</v>
      </c>
      <c r="E273" t="s">
        <v>9</v>
      </c>
      <c r="F273">
        <v>3948</v>
      </c>
      <c r="G273">
        <v>151</v>
      </c>
      <c r="H273">
        <v>249</v>
      </c>
      <c r="I273">
        <v>43147</v>
      </c>
      <c r="J273">
        <v>63136</v>
      </c>
      <c r="K273">
        <v>230</v>
      </c>
      <c r="L273" t="s">
        <v>27</v>
      </c>
      <c r="M273" t="s">
        <v>62</v>
      </c>
    </row>
    <row r="274" spans="1:13" x14ac:dyDescent="0.3">
      <c r="A274" t="s">
        <v>234</v>
      </c>
      <c r="B274" t="s">
        <v>13</v>
      </c>
      <c r="C274" s="12">
        <v>45749</v>
      </c>
      <c r="D274" t="s">
        <v>45</v>
      </c>
      <c r="E274" t="s">
        <v>29</v>
      </c>
      <c r="F274">
        <v>4598</v>
      </c>
      <c r="G274">
        <v>455</v>
      </c>
      <c r="H274">
        <v>378</v>
      </c>
      <c r="I274">
        <v>52952</v>
      </c>
      <c r="J274">
        <v>58504</v>
      </c>
      <c r="K274">
        <v>269</v>
      </c>
      <c r="L274" t="s">
        <v>27</v>
      </c>
      <c r="M274" t="s">
        <v>62</v>
      </c>
    </row>
    <row r="275" spans="1:13" x14ac:dyDescent="0.3">
      <c r="A275" t="s">
        <v>234</v>
      </c>
      <c r="B275" t="s">
        <v>13</v>
      </c>
      <c r="C275" s="12">
        <v>45749</v>
      </c>
      <c r="D275" t="s">
        <v>45</v>
      </c>
      <c r="E275" t="s">
        <v>29</v>
      </c>
      <c r="F275">
        <v>4598</v>
      </c>
      <c r="G275">
        <v>455</v>
      </c>
      <c r="H275">
        <v>378</v>
      </c>
      <c r="I275">
        <v>52952</v>
      </c>
      <c r="J275">
        <v>58504</v>
      </c>
      <c r="K275">
        <v>269</v>
      </c>
      <c r="L275" t="s">
        <v>24</v>
      </c>
      <c r="M275" t="s">
        <v>62</v>
      </c>
    </row>
    <row r="276" spans="1:13" x14ac:dyDescent="0.3">
      <c r="A276" t="s">
        <v>235</v>
      </c>
      <c r="B276" t="s">
        <v>7</v>
      </c>
      <c r="C276" s="12">
        <v>45748</v>
      </c>
      <c r="D276" t="s">
        <v>44</v>
      </c>
      <c r="E276" t="s">
        <v>35</v>
      </c>
      <c r="F276">
        <v>2665</v>
      </c>
      <c r="G276">
        <v>143</v>
      </c>
      <c r="H276">
        <v>315</v>
      </c>
      <c r="I276">
        <v>54808</v>
      </c>
      <c r="J276">
        <v>29818</v>
      </c>
      <c r="K276">
        <v>98</v>
      </c>
      <c r="L276" t="s">
        <v>27</v>
      </c>
      <c r="M276" t="s">
        <v>60</v>
      </c>
    </row>
    <row r="277" spans="1:13" x14ac:dyDescent="0.3">
      <c r="A277" t="s">
        <v>235</v>
      </c>
      <c r="B277" t="s">
        <v>7</v>
      </c>
      <c r="C277" s="12">
        <v>45748</v>
      </c>
      <c r="D277" t="s">
        <v>44</v>
      </c>
      <c r="E277" t="s">
        <v>35</v>
      </c>
      <c r="F277">
        <v>2665</v>
      </c>
      <c r="G277">
        <v>143</v>
      </c>
      <c r="H277">
        <v>315</v>
      </c>
      <c r="I277">
        <v>54808</v>
      </c>
      <c r="J277">
        <v>29818</v>
      </c>
      <c r="K277">
        <v>98</v>
      </c>
      <c r="L277" t="s">
        <v>36</v>
      </c>
      <c r="M277" t="s">
        <v>60</v>
      </c>
    </row>
    <row r="278" spans="1:13" x14ac:dyDescent="0.3">
      <c r="A278" t="s">
        <v>236</v>
      </c>
      <c r="B278" t="s">
        <v>10</v>
      </c>
      <c r="C278" s="12">
        <v>45475</v>
      </c>
      <c r="D278" t="s">
        <v>45</v>
      </c>
      <c r="E278" t="s">
        <v>32</v>
      </c>
      <c r="F278">
        <v>3469</v>
      </c>
      <c r="G278">
        <v>371</v>
      </c>
      <c r="H278">
        <v>76</v>
      </c>
      <c r="I278">
        <v>46493</v>
      </c>
      <c r="J278">
        <v>26906</v>
      </c>
      <c r="K278">
        <v>150</v>
      </c>
      <c r="L278" t="s">
        <v>30</v>
      </c>
      <c r="M278" t="s">
        <v>60</v>
      </c>
    </row>
    <row r="279" spans="1:13" x14ac:dyDescent="0.3">
      <c r="A279" t="s">
        <v>236</v>
      </c>
      <c r="B279" t="s">
        <v>10</v>
      </c>
      <c r="C279" s="12">
        <v>45475</v>
      </c>
      <c r="D279" t="s">
        <v>45</v>
      </c>
      <c r="E279" t="s">
        <v>32</v>
      </c>
      <c r="F279">
        <v>3469</v>
      </c>
      <c r="G279">
        <v>371</v>
      </c>
      <c r="H279">
        <v>76</v>
      </c>
      <c r="I279">
        <v>46493</v>
      </c>
      <c r="J279">
        <v>26906</v>
      </c>
      <c r="K279">
        <v>150</v>
      </c>
      <c r="L279" t="s">
        <v>33</v>
      </c>
      <c r="M279" t="s">
        <v>60</v>
      </c>
    </row>
    <row r="280" spans="1:13" x14ac:dyDescent="0.3">
      <c r="A280" t="s">
        <v>237</v>
      </c>
      <c r="B280" t="s">
        <v>7</v>
      </c>
      <c r="C280" s="12">
        <v>45606</v>
      </c>
      <c r="D280" t="s">
        <v>45</v>
      </c>
      <c r="E280" t="s">
        <v>15</v>
      </c>
      <c r="F280">
        <v>4823</v>
      </c>
      <c r="G280">
        <v>489</v>
      </c>
      <c r="H280">
        <v>302</v>
      </c>
      <c r="I280">
        <v>32470</v>
      </c>
      <c r="J280">
        <v>31861</v>
      </c>
      <c r="K280">
        <v>178</v>
      </c>
      <c r="L280" t="s">
        <v>30</v>
      </c>
      <c r="M280" t="s">
        <v>62</v>
      </c>
    </row>
    <row r="281" spans="1:13" x14ac:dyDescent="0.3">
      <c r="A281" t="s">
        <v>238</v>
      </c>
      <c r="B281" t="s">
        <v>10</v>
      </c>
      <c r="C281" s="12">
        <v>45640</v>
      </c>
      <c r="D281" t="s">
        <v>44</v>
      </c>
      <c r="E281" t="s">
        <v>26</v>
      </c>
      <c r="F281">
        <v>3812</v>
      </c>
      <c r="G281">
        <v>321</v>
      </c>
      <c r="H281">
        <v>289</v>
      </c>
      <c r="I281">
        <v>59838</v>
      </c>
      <c r="J281">
        <v>36337</v>
      </c>
      <c r="K281">
        <v>161</v>
      </c>
      <c r="L281" t="s">
        <v>33</v>
      </c>
      <c r="M281" t="s">
        <v>82</v>
      </c>
    </row>
    <row r="282" spans="1:13" x14ac:dyDescent="0.3">
      <c r="A282" t="s">
        <v>239</v>
      </c>
      <c r="B282" t="s">
        <v>7</v>
      </c>
      <c r="C282" s="12">
        <v>45615</v>
      </c>
      <c r="D282" t="s">
        <v>45</v>
      </c>
      <c r="E282" t="s">
        <v>15</v>
      </c>
      <c r="F282">
        <v>2387</v>
      </c>
      <c r="G282">
        <v>353</v>
      </c>
      <c r="H282">
        <v>78</v>
      </c>
      <c r="I282">
        <v>39745</v>
      </c>
      <c r="J282">
        <v>69226</v>
      </c>
      <c r="K282">
        <v>208</v>
      </c>
      <c r="L282" t="s">
        <v>30</v>
      </c>
      <c r="M282" t="s">
        <v>62</v>
      </c>
    </row>
    <row r="283" spans="1:13" x14ac:dyDescent="0.3">
      <c r="A283" t="s">
        <v>240</v>
      </c>
      <c r="B283" t="s">
        <v>7</v>
      </c>
      <c r="C283" s="12">
        <v>45777</v>
      </c>
      <c r="D283" t="s">
        <v>44</v>
      </c>
      <c r="E283" t="s">
        <v>29</v>
      </c>
      <c r="F283">
        <v>3929</v>
      </c>
      <c r="G283">
        <v>275</v>
      </c>
      <c r="H283">
        <v>330</v>
      </c>
      <c r="I283">
        <v>58329</v>
      </c>
      <c r="J283">
        <v>33196</v>
      </c>
      <c r="K283">
        <v>85</v>
      </c>
      <c r="L283" t="s">
        <v>36</v>
      </c>
      <c r="M283" t="s">
        <v>60</v>
      </c>
    </row>
    <row r="284" spans="1:13" x14ac:dyDescent="0.3">
      <c r="A284" t="s">
        <v>240</v>
      </c>
      <c r="B284" t="s">
        <v>7</v>
      </c>
      <c r="C284" s="12">
        <v>45777</v>
      </c>
      <c r="D284" t="s">
        <v>44</v>
      </c>
      <c r="E284" t="s">
        <v>29</v>
      </c>
      <c r="F284">
        <v>3929</v>
      </c>
      <c r="G284">
        <v>275</v>
      </c>
      <c r="H284">
        <v>330</v>
      </c>
      <c r="I284">
        <v>58329</v>
      </c>
      <c r="J284">
        <v>33196</v>
      </c>
      <c r="K284">
        <v>85</v>
      </c>
      <c r="L284" t="s">
        <v>33</v>
      </c>
      <c r="M284" t="s">
        <v>60</v>
      </c>
    </row>
    <row r="285" spans="1:13" x14ac:dyDescent="0.3">
      <c r="A285" t="s">
        <v>241</v>
      </c>
      <c r="B285" t="s">
        <v>7</v>
      </c>
      <c r="C285" s="12">
        <v>45370</v>
      </c>
      <c r="D285" t="s">
        <v>45</v>
      </c>
      <c r="E285" t="s">
        <v>26</v>
      </c>
      <c r="F285">
        <v>2191</v>
      </c>
      <c r="G285">
        <v>288</v>
      </c>
      <c r="H285">
        <v>83</v>
      </c>
      <c r="I285">
        <v>59606</v>
      </c>
      <c r="J285">
        <v>24765</v>
      </c>
      <c r="K285">
        <v>281</v>
      </c>
      <c r="L285" t="s">
        <v>30</v>
      </c>
      <c r="M285" t="s">
        <v>62</v>
      </c>
    </row>
    <row r="286" spans="1:13" x14ac:dyDescent="0.3">
      <c r="A286" t="s">
        <v>242</v>
      </c>
      <c r="B286" t="s">
        <v>10</v>
      </c>
      <c r="C286" s="12">
        <v>45370</v>
      </c>
      <c r="D286" t="s">
        <v>45</v>
      </c>
      <c r="E286" t="s">
        <v>26</v>
      </c>
      <c r="F286">
        <v>2878</v>
      </c>
      <c r="G286">
        <v>278</v>
      </c>
      <c r="H286">
        <v>255</v>
      </c>
      <c r="I286">
        <v>47235</v>
      </c>
      <c r="J286">
        <v>57922</v>
      </c>
      <c r="K286">
        <v>112</v>
      </c>
      <c r="L286" t="s">
        <v>30</v>
      </c>
      <c r="M286" t="s">
        <v>60</v>
      </c>
    </row>
    <row r="287" spans="1:13" x14ac:dyDescent="0.3">
      <c r="A287" t="s">
        <v>242</v>
      </c>
      <c r="B287" t="s">
        <v>10</v>
      </c>
      <c r="C287" s="12">
        <v>45370</v>
      </c>
      <c r="D287" t="s">
        <v>45</v>
      </c>
      <c r="E287" t="s">
        <v>26</v>
      </c>
      <c r="F287">
        <v>2878</v>
      </c>
      <c r="G287">
        <v>278</v>
      </c>
      <c r="H287">
        <v>255</v>
      </c>
      <c r="I287">
        <v>47235</v>
      </c>
      <c r="J287">
        <v>57922</v>
      </c>
      <c r="K287">
        <v>112</v>
      </c>
      <c r="L287" t="s">
        <v>33</v>
      </c>
      <c r="M287" t="s">
        <v>60</v>
      </c>
    </row>
    <row r="288" spans="1:13" x14ac:dyDescent="0.3">
      <c r="A288" t="s">
        <v>243</v>
      </c>
      <c r="B288" t="s">
        <v>7</v>
      </c>
      <c r="C288" s="12">
        <v>45496</v>
      </c>
      <c r="D288" t="s">
        <v>45</v>
      </c>
      <c r="E288" t="s">
        <v>32</v>
      </c>
      <c r="F288">
        <v>3204</v>
      </c>
      <c r="G288">
        <v>398</v>
      </c>
      <c r="H288">
        <v>85</v>
      </c>
      <c r="I288">
        <v>22020</v>
      </c>
      <c r="J288">
        <v>58353</v>
      </c>
      <c r="K288">
        <v>286</v>
      </c>
      <c r="L288" t="s">
        <v>30</v>
      </c>
      <c r="M288" t="s">
        <v>62</v>
      </c>
    </row>
    <row r="289" spans="1:13" x14ac:dyDescent="0.3">
      <c r="A289" t="s">
        <v>244</v>
      </c>
      <c r="B289" t="s">
        <v>7</v>
      </c>
      <c r="C289" s="12">
        <v>45486</v>
      </c>
      <c r="D289" t="s">
        <v>44</v>
      </c>
      <c r="E289" t="s">
        <v>9</v>
      </c>
      <c r="F289">
        <v>2408</v>
      </c>
      <c r="G289">
        <v>323</v>
      </c>
      <c r="H289">
        <v>251</v>
      </c>
      <c r="I289">
        <v>47599</v>
      </c>
      <c r="J289">
        <v>35543</v>
      </c>
      <c r="K289">
        <v>287</v>
      </c>
      <c r="L289" t="s">
        <v>36</v>
      </c>
      <c r="M289" t="s">
        <v>60</v>
      </c>
    </row>
    <row r="290" spans="1:13" x14ac:dyDescent="0.3">
      <c r="A290" t="s">
        <v>244</v>
      </c>
      <c r="B290" t="s">
        <v>7</v>
      </c>
      <c r="C290" s="12">
        <v>45486</v>
      </c>
      <c r="D290" t="s">
        <v>44</v>
      </c>
      <c r="E290" t="s">
        <v>9</v>
      </c>
      <c r="F290">
        <v>2408</v>
      </c>
      <c r="G290">
        <v>323</v>
      </c>
      <c r="H290">
        <v>251</v>
      </c>
      <c r="I290">
        <v>47599</v>
      </c>
      <c r="J290">
        <v>35543</v>
      </c>
      <c r="K290">
        <v>287</v>
      </c>
      <c r="L290" t="s">
        <v>33</v>
      </c>
      <c r="M290" t="s">
        <v>60</v>
      </c>
    </row>
    <row r="291" spans="1:13" x14ac:dyDescent="0.3">
      <c r="A291" t="s">
        <v>245</v>
      </c>
      <c r="B291" t="s">
        <v>13</v>
      </c>
      <c r="C291" s="12">
        <v>45769</v>
      </c>
      <c r="D291" t="s">
        <v>46</v>
      </c>
      <c r="E291" t="s">
        <v>12</v>
      </c>
      <c r="F291">
        <v>2733</v>
      </c>
      <c r="G291">
        <v>297</v>
      </c>
      <c r="H291">
        <v>235</v>
      </c>
      <c r="I291">
        <v>37980</v>
      </c>
      <c r="J291">
        <v>33058</v>
      </c>
      <c r="K291">
        <v>219</v>
      </c>
      <c r="L291" t="s">
        <v>27</v>
      </c>
      <c r="M291" t="s">
        <v>85</v>
      </c>
    </row>
    <row r="292" spans="1:13" x14ac:dyDescent="0.3">
      <c r="A292" t="s">
        <v>245</v>
      </c>
      <c r="B292" t="s">
        <v>13</v>
      </c>
      <c r="C292" s="12">
        <v>45769</v>
      </c>
      <c r="D292" t="s">
        <v>46</v>
      </c>
      <c r="E292" t="s">
        <v>12</v>
      </c>
      <c r="F292">
        <v>2733</v>
      </c>
      <c r="G292">
        <v>297</v>
      </c>
      <c r="H292">
        <v>235</v>
      </c>
      <c r="I292">
        <v>37980</v>
      </c>
      <c r="J292">
        <v>33058</v>
      </c>
      <c r="K292">
        <v>219</v>
      </c>
      <c r="L292" t="s">
        <v>30</v>
      </c>
      <c r="M292" t="s">
        <v>85</v>
      </c>
    </row>
    <row r="293" spans="1:13" x14ac:dyDescent="0.3">
      <c r="A293" t="s">
        <v>14</v>
      </c>
      <c r="B293" t="s">
        <v>7</v>
      </c>
      <c r="C293" s="12">
        <v>45459</v>
      </c>
      <c r="D293" t="s">
        <v>44</v>
      </c>
      <c r="E293" t="s">
        <v>15</v>
      </c>
      <c r="F293">
        <v>4618</v>
      </c>
      <c r="G293">
        <v>312</v>
      </c>
      <c r="H293">
        <v>254</v>
      </c>
      <c r="I293">
        <v>22571</v>
      </c>
      <c r="J293">
        <v>29453</v>
      </c>
      <c r="K293">
        <v>197</v>
      </c>
      <c r="L293" t="s">
        <v>36</v>
      </c>
      <c r="M293" t="s">
        <v>60</v>
      </c>
    </row>
    <row r="294" spans="1:13" x14ac:dyDescent="0.3">
      <c r="A294" t="s">
        <v>14</v>
      </c>
      <c r="B294" t="s">
        <v>7</v>
      </c>
      <c r="C294" s="12">
        <v>45459</v>
      </c>
      <c r="D294" t="s">
        <v>44</v>
      </c>
      <c r="E294" t="s">
        <v>15</v>
      </c>
      <c r="F294">
        <v>4618</v>
      </c>
      <c r="G294">
        <v>312</v>
      </c>
      <c r="H294">
        <v>254</v>
      </c>
      <c r="I294">
        <v>22571</v>
      </c>
      <c r="J294">
        <v>29453</v>
      </c>
      <c r="K294">
        <v>197</v>
      </c>
      <c r="L294" t="s">
        <v>33</v>
      </c>
      <c r="M294" t="s">
        <v>60</v>
      </c>
    </row>
    <row r="295" spans="1:13" x14ac:dyDescent="0.3">
      <c r="A295" t="s">
        <v>246</v>
      </c>
      <c r="B295" t="s">
        <v>13</v>
      </c>
      <c r="C295" s="12">
        <v>45795</v>
      </c>
      <c r="D295" t="s">
        <v>46</v>
      </c>
      <c r="E295" t="s">
        <v>29</v>
      </c>
      <c r="F295">
        <v>4210</v>
      </c>
      <c r="G295">
        <v>319</v>
      </c>
      <c r="H295">
        <v>350</v>
      </c>
      <c r="I295">
        <v>37762</v>
      </c>
      <c r="J295">
        <v>55162</v>
      </c>
      <c r="K295">
        <v>204</v>
      </c>
      <c r="L295" t="s">
        <v>27</v>
      </c>
      <c r="M295" t="s">
        <v>85</v>
      </c>
    </row>
    <row r="296" spans="1:13" x14ac:dyDescent="0.3">
      <c r="A296" t="s">
        <v>246</v>
      </c>
      <c r="B296" t="s">
        <v>13</v>
      </c>
      <c r="C296" s="12">
        <v>45795</v>
      </c>
      <c r="D296" t="s">
        <v>46</v>
      </c>
      <c r="E296" t="s">
        <v>29</v>
      </c>
      <c r="F296">
        <v>4210</v>
      </c>
      <c r="G296">
        <v>319</v>
      </c>
      <c r="H296">
        <v>350</v>
      </c>
      <c r="I296">
        <v>37762</v>
      </c>
      <c r="J296">
        <v>55162</v>
      </c>
      <c r="K296">
        <v>204</v>
      </c>
      <c r="L296" t="s">
        <v>30</v>
      </c>
      <c r="M296" t="s">
        <v>85</v>
      </c>
    </row>
    <row r="297" spans="1:13" x14ac:dyDescent="0.3">
      <c r="A297" t="s">
        <v>247</v>
      </c>
      <c r="B297" t="s">
        <v>10</v>
      </c>
      <c r="C297" s="12">
        <v>45814</v>
      </c>
      <c r="D297" t="s">
        <v>45</v>
      </c>
      <c r="E297" t="s">
        <v>29</v>
      </c>
      <c r="F297">
        <v>3987</v>
      </c>
      <c r="G297">
        <v>171</v>
      </c>
      <c r="H297">
        <v>274</v>
      </c>
      <c r="I297">
        <v>45122</v>
      </c>
      <c r="J297">
        <v>65431</v>
      </c>
      <c r="K297">
        <v>168</v>
      </c>
      <c r="L297" t="s">
        <v>27</v>
      </c>
      <c r="M297" t="s">
        <v>62</v>
      </c>
    </row>
    <row r="298" spans="1:13" x14ac:dyDescent="0.3">
      <c r="A298" t="s">
        <v>248</v>
      </c>
      <c r="B298" t="s">
        <v>13</v>
      </c>
      <c r="C298" s="12">
        <v>45708</v>
      </c>
      <c r="D298" t="s">
        <v>46</v>
      </c>
      <c r="E298" t="s">
        <v>9</v>
      </c>
      <c r="F298">
        <v>4957</v>
      </c>
      <c r="G298">
        <v>262</v>
      </c>
      <c r="H298">
        <v>365</v>
      </c>
      <c r="I298">
        <v>49199</v>
      </c>
      <c r="J298">
        <v>40314</v>
      </c>
      <c r="K298">
        <v>216</v>
      </c>
      <c r="L298" t="s">
        <v>27</v>
      </c>
      <c r="M298" t="s">
        <v>85</v>
      </c>
    </row>
    <row r="299" spans="1:13" x14ac:dyDescent="0.3">
      <c r="A299" t="s">
        <v>248</v>
      </c>
      <c r="B299" t="s">
        <v>13</v>
      </c>
      <c r="C299" s="12">
        <v>45708</v>
      </c>
      <c r="D299" t="s">
        <v>46</v>
      </c>
      <c r="E299" t="s">
        <v>9</v>
      </c>
      <c r="F299">
        <v>4957</v>
      </c>
      <c r="G299">
        <v>262</v>
      </c>
      <c r="H299">
        <v>365</v>
      </c>
      <c r="I299">
        <v>49199</v>
      </c>
      <c r="J299">
        <v>40314</v>
      </c>
      <c r="K299">
        <v>216</v>
      </c>
      <c r="L299" t="s">
        <v>30</v>
      </c>
      <c r="M299" t="s">
        <v>85</v>
      </c>
    </row>
    <row r="300" spans="1:13" x14ac:dyDescent="0.3">
      <c r="A300" t="s">
        <v>249</v>
      </c>
      <c r="B300" t="s">
        <v>10</v>
      </c>
      <c r="C300" s="12">
        <v>45673</v>
      </c>
      <c r="D300" t="s">
        <v>45</v>
      </c>
      <c r="E300" t="s">
        <v>35</v>
      </c>
      <c r="F300">
        <v>2605</v>
      </c>
      <c r="G300">
        <v>282</v>
      </c>
      <c r="H300">
        <v>148</v>
      </c>
      <c r="I300">
        <v>32201</v>
      </c>
      <c r="J300">
        <v>49583</v>
      </c>
      <c r="K300">
        <v>241</v>
      </c>
      <c r="L300" t="s">
        <v>30</v>
      </c>
      <c r="M300" t="s">
        <v>60</v>
      </c>
    </row>
    <row r="301" spans="1:13" x14ac:dyDescent="0.3">
      <c r="A301" t="s">
        <v>249</v>
      </c>
      <c r="B301" t="s">
        <v>10</v>
      </c>
      <c r="C301" s="12">
        <v>45673</v>
      </c>
      <c r="D301" t="s">
        <v>45</v>
      </c>
      <c r="E301" t="s">
        <v>35</v>
      </c>
      <c r="F301">
        <v>2605</v>
      </c>
      <c r="G301">
        <v>282</v>
      </c>
      <c r="H301">
        <v>148</v>
      </c>
      <c r="I301">
        <v>32201</v>
      </c>
      <c r="J301">
        <v>49583</v>
      </c>
      <c r="K301">
        <v>241</v>
      </c>
      <c r="L301" t="s">
        <v>33</v>
      </c>
      <c r="M301" t="s">
        <v>60</v>
      </c>
    </row>
    <row r="302" spans="1:13" x14ac:dyDescent="0.3">
      <c r="A302" t="s">
        <v>250</v>
      </c>
      <c r="B302" t="s">
        <v>13</v>
      </c>
      <c r="C302" s="12">
        <v>45346</v>
      </c>
      <c r="D302" t="s">
        <v>46</v>
      </c>
      <c r="E302" t="s">
        <v>19</v>
      </c>
      <c r="F302">
        <v>4221</v>
      </c>
      <c r="G302">
        <v>307</v>
      </c>
      <c r="H302">
        <v>58</v>
      </c>
      <c r="I302">
        <v>45080</v>
      </c>
      <c r="J302">
        <v>37214</v>
      </c>
      <c r="K302">
        <v>240</v>
      </c>
      <c r="L302" t="s">
        <v>27</v>
      </c>
      <c r="M302" t="s">
        <v>85</v>
      </c>
    </row>
    <row r="303" spans="1:13" x14ac:dyDescent="0.3">
      <c r="A303" t="s">
        <v>250</v>
      </c>
      <c r="B303" t="s">
        <v>13</v>
      </c>
      <c r="C303" s="12">
        <v>45346</v>
      </c>
      <c r="D303" t="s">
        <v>46</v>
      </c>
      <c r="E303" t="s">
        <v>19</v>
      </c>
      <c r="F303">
        <v>4221</v>
      </c>
      <c r="G303">
        <v>307</v>
      </c>
      <c r="H303">
        <v>58</v>
      </c>
      <c r="I303">
        <v>45080</v>
      </c>
      <c r="J303">
        <v>37214</v>
      </c>
      <c r="K303">
        <v>240</v>
      </c>
      <c r="L303" t="s">
        <v>30</v>
      </c>
      <c r="M303" t="s">
        <v>85</v>
      </c>
    </row>
    <row r="304" spans="1:13" x14ac:dyDescent="0.3">
      <c r="A304" t="s">
        <v>251</v>
      </c>
      <c r="B304" t="s">
        <v>7</v>
      </c>
      <c r="C304" s="12">
        <v>45551</v>
      </c>
      <c r="D304" t="s">
        <v>44</v>
      </c>
      <c r="E304" t="s">
        <v>23</v>
      </c>
      <c r="F304">
        <v>4422</v>
      </c>
      <c r="G304">
        <v>434</v>
      </c>
      <c r="H304">
        <v>156</v>
      </c>
      <c r="I304">
        <v>56165</v>
      </c>
      <c r="J304">
        <v>52431</v>
      </c>
      <c r="K304">
        <v>173</v>
      </c>
      <c r="L304" t="s">
        <v>27</v>
      </c>
      <c r="M304" t="s">
        <v>60</v>
      </c>
    </row>
    <row r="305" spans="1:13" x14ac:dyDescent="0.3">
      <c r="A305" t="s">
        <v>251</v>
      </c>
      <c r="B305" t="s">
        <v>7</v>
      </c>
      <c r="C305" s="12">
        <v>45551</v>
      </c>
      <c r="D305" t="s">
        <v>44</v>
      </c>
      <c r="E305" t="s">
        <v>23</v>
      </c>
      <c r="F305">
        <v>4422</v>
      </c>
      <c r="G305">
        <v>434</v>
      </c>
      <c r="H305">
        <v>156</v>
      </c>
      <c r="I305">
        <v>56165</v>
      </c>
      <c r="J305">
        <v>52431</v>
      </c>
      <c r="K305">
        <v>173</v>
      </c>
      <c r="L305" t="s">
        <v>36</v>
      </c>
      <c r="M305" t="s">
        <v>60</v>
      </c>
    </row>
    <row r="306" spans="1:13" x14ac:dyDescent="0.3">
      <c r="A306" t="s">
        <v>252</v>
      </c>
      <c r="B306" t="s">
        <v>13</v>
      </c>
      <c r="C306" s="12">
        <v>45447</v>
      </c>
      <c r="D306" t="s">
        <v>46</v>
      </c>
      <c r="E306" t="s">
        <v>29</v>
      </c>
      <c r="F306">
        <v>1211</v>
      </c>
      <c r="G306">
        <v>431</v>
      </c>
      <c r="H306">
        <v>83</v>
      </c>
      <c r="I306">
        <v>26532</v>
      </c>
      <c r="J306">
        <v>47305</v>
      </c>
      <c r="K306">
        <v>232</v>
      </c>
      <c r="L306" t="s">
        <v>27</v>
      </c>
      <c r="M306" t="s">
        <v>85</v>
      </c>
    </row>
    <row r="307" spans="1:13" x14ac:dyDescent="0.3">
      <c r="A307" t="s">
        <v>252</v>
      </c>
      <c r="B307" t="s">
        <v>13</v>
      </c>
      <c r="C307" s="12">
        <v>45447</v>
      </c>
      <c r="D307" t="s">
        <v>46</v>
      </c>
      <c r="E307" t="s">
        <v>29</v>
      </c>
      <c r="F307">
        <v>1211</v>
      </c>
      <c r="G307">
        <v>431</v>
      </c>
      <c r="H307">
        <v>83</v>
      </c>
      <c r="I307">
        <v>26532</v>
      </c>
      <c r="J307">
        <v>47305</v>
      </c>
      <c r="K307">
        <v>232</v>
      </c>
      <c r="L307" t="s">
        <v>30</v>
      </c>
      <c r="M307" t="s">
        <v>85</v>
      </c>
    </row>
    <row r="308" spans="1:13" x14ac:dyDescent="0.3">
      <c r="A308" t="s">
        <v>253</v>
      </c>
      <c r="B308" t="s">
        <v>7</v>
      </c>
      <c r="C308" s="12">
        <v>45422</v>
      </c>
      <c r="D308" t="s">
        <v>44</v>
      </c>
      <c r="E308" t="s">
        <v>15</v>
      </c>
      <c r="F308">
        <v>2784</v>
      </c>
      <c r="G308">
        <v>111</v>
      </c>
      <c r="H308">
        <v>399</v>
      </c>
      <c r="I308">
        <v>58366</v>
      </c>
      <c r="J308">
        <v>69512</v>
      </c>
      <c r="K308">
        <v>269</v>
      </c>
      <c r="L308" t="s">
        <v>36</v>
      </c>
      <c r="M308" t="s">
        <v>60</v>
      </c>
    </row>
    <row r="309" spans="1:13" x14ac:dyDescent="0.3">
      <c r="A309" t="s">
        <v>253</v>
      </c>
      <c r="B309" t="s">
        <v>7</v>
      </c>
      <c r="C309" s="12">
        <v>45422</v>
      </c>
      <c r="D309" t="s">
        <v>44</v>
      </c>
      <c r="E309" t="s">
        <v>15</v>
      </c>
      <c r="F309">
        <v>2784</v>
      </c>
      <c r="G309">
        <v>111</v>
      </c>
      <c r="H309">
        <v>399</v>
      </c>
      <c r="I309">
        <v>58366</v>
      </c>
      <c r="J309">
        <v>69512</v>
      </c>
      <c r="K309">
        <v>269</v>
      </c>
      <c r="L309" t="s">
        <v>33</v>
      </c>
      <c r="M309" t="s">
        <v>60</v>
      </c>
    </row>
    <row r="310" spans="1:13" x14ac:dyDescent="0.3">
      <c r="A310" t="s">
        <v>254</v>
      </c>
      <c r="B310" t="s">
        <v>13</v>
      </c>
      <c r="C310" s="12">
        <v>45305</v>
      </c>
      <c r="D310" t="s">
        <v>45</v>
      </c>
      <c r="E310" t="s">
        <v>12</v>
      </c>
      <c r="F310">
        <v>3634</v>
      </c>
      <c r="G310">
        <v>280</v>
      </c>
      <c r="H310">
        <v>399</v>
      </c>
      <c r="I310">
        <v>40256</v>
      </c>
      <c r="J310">
        <v>52605</v>
      </c>
      <c r="K310">
        <v>213</v>
      </c>
      <c r="L310" t="s">
        <v>27</v>
      </c>
      <c r="M310" t="s">
        <v>62</v>
      </c>
    </row>
    <row r="311" spans="1:13" x14ac:dyDescent="0.3">
      <c r="A311" t="s">
        <v>254</v>
      </c>
      <c r="B311" t="s">
        <v>13</v>
      </c>
      <c r="C311" s="12">
        <v>45305</v>
      </c>
      <c r="D311" t="s">
        <v>45</v>
      </c>
      <c r="E311" t="s">
        <v>12</v>
      </c>
      <c r="F311">
        <v>3634</v>
      </c>
      <c r="G311">
        <v>280</v>
      </c>
      <c r="H311">
        <v>399</v>
      </c>
      <c r="I311">
        <v>40256</v>
      </c>
      <c r="J311">
        <v>52605</v>
      </c>
      <c r="K311">
        <v>213</v>
      </c>
      <c r="L311" t="s">
        <v>24</v>
      </c>
      <c r="M311" t="s">
        <v>62</v>
      </c>
    </row>
    <row r="312" spans="1:13" x14ac:dyDescent="0.3">
      <c r="A312" t="s">
        <v>255</v>
      </c>
      <c r="B312" t="s">
        <v>10</v>
      </c>
      <c r="C312" s="12">
        <v>45669</v>
      </c>
      <c r="D312" t="s">
        <v>45</v>
      </c>
      <c r="E312" t="s">
        <v>26</v>
      </c>
      <c r="F312">
        <v>1771</v>
      </c>
      <c r="G312">
        <v>487</v>
      </c>
      <c r="H312">
        <v>272</v>
      </c>
      <c r="I312">
        <v>48810</v>
      </c>
      <c r="J312">
        <v>48084</v>
      </c>
      <c r="K312">
        <v>272</v>
      </c>
      <c r="L312" t="s">
        <v>30</v>
      </c>
      <c r="M312" t="s">
        <v>60</v>
      </c>
    </row>
    <row r="313" spans="1:13" x14ac:dyDescent="0.3">
      <c r="A313" t="s">
        <v>255</v>
      </c>
      <c r="B313" t="s">
        <v>10</v>
      </c>
      <c r="C313" s="12">
        <v>45669</v>
      </c>
      <c r="D313" t="s">
        <v>45</v>
      </c>
      <c r="E313" t="s">
        <v>26</v>
      </c>
      <c r="F313">
        <v>1771</v>
      </c>
      <c r="G313">
        <v>487</v>
      </c>
      <c r="H313">
        <v>272</v>
      </c>
      <c r="I313">
        <v>48810</v>
      </c>
      <c r="J313">
        <v>48084</v>
      </c>
      <c r="K313">
        <v>272</v>
      </c>
      <c r="L313" t="s">
        <v>33</v>
      </c>
      <c r="M313" t="s">
        <v>60</v>
      </c>
    </row>
    <row r="314" spans="1:13" x14ac:dyDescent="0.3">
      <c r="A314" t="s">
        <v>256</v>
      </c>
      <c r="B314" t="s">
        <v>13</v>
      </c>
      <c r="C314" s="12">
        <v>45634</v>
      </c>
      <c r="D314" t="s">
        <v>45</v>
      </c>
      <c r="E314" t="s">
        <v>32</v>
      </c>
      <c r="F314">
        <v>1424</v>
      </c>
      <c r="G314">
        <v>396</v>
      </c>
      <c r="H314">
        <v>312</v>
      </c>
      <c r="I314">
        <v>59517</v>
      </c>
      <c r="J314">
        <v>46102</v>
      </c>
      <c r="K314">
        <v>239</v>
      </c>
      <c r="L314" t="s">
        <v>27</v>
      </c>
      <c r="M314" t="s">
        <v>62</v>
      </c>
    </row>
    <row r="315" spans="1:13" x14ac:dyDescent="0.3">
      <c r="A315" t="s">
        <v>256</v>
      </c>
      <c r="B315" t="s">
        <v>13</v>
      </c>
      <c r="C315" s="12">
        <v>45634</v>
      </c>
      <c r="D315" t="s">
        <v>45</v>
      </c>
      <c r="E315" t="s">
        <v>32</v>
      </c>
      <c r="F315">
        <v>1424</v>
      </c>
      <c r="G315">
        <v>396</v>
      </c>
      <c r="H315">
        <v>312</v>
      </c>
      <c r="I315">
        <v>59517</v>
      </c>
      <c r="J315">
        <v>46102</v>
      </c>
      <c r="K315">
        <v>239</v>
      </c>
      <c r="L315" t="s">
        <v>24</v>
      </c>
      <c r="M315" t="s">
        <v>62</v>
      </c>
    </row>
    <row r="316" spans="1:13" x14ac:dyDescent="0.3">
      <c r="A316" t="s">
        <v>257</v>
      </c>
      <c r="B316" t="s">
        <v>7</v>
      </c>
      <c r="C316" s="12">
        <v>45689</v>
      </c>
      <c r="D316" t="s">
        <v>44</v>
      </c>
      <c r="E316" t="s">
        <v>32</v>
      </c>
      <c r="F316">
        <v>1079</v>
      </c>
      <c r="G316">
        <v>265</v>
      </c>
      <c r="H316">
        <v>190</v>
      </c>
      <c r="I316">
        <v>43786</v>
      </c>
      <c r="J316">
        <v>72428</v>
      </c>
      <c r="K316">
        <v>222</v>
      </c>
      <c r="L316" t="s">
        <v>30</v>
      </c>
      <c r="M316" t="s">
        <v>60</v>
      </c>
    </row>
    <row r="317" spans="1:13" x14ac:dyDescent="0.3">
      <c r="A317" t="s">
        <v>257</v>
      </c>
      <c r="B317" t="s">
        <v>7</v>
      </c>
      <c r="C317" s="12">
        <v>45689</v>
      </c>
      <c r="D317" t="s">
        <v>44</v>
      </c>
      <c r="E317" t="s">
        <v>32</v>
      </c>
      <c r="F317">
        <v>1079</v>
      </c>
      <c r="G317">
        <v>265</v>
      </c>
      <c r="H317">
        <v>190</v>
      </c>
      <c r="I317">
        <v>43786</v>
      </c>
      <c r="J317">
        <v>72428</v>
      </c>
      <c r="K317">
        <v>222</v>
      </c>
      <c r="L317" t="s">
        <v>33</v>
      </c>
      <c r="M317" t="s">
        <v>60</v>
      </c>
    </row>
    <row r="318" spans="1:13" x14ac:dyDescent="0.3">
      <c r="A318" t="s">
        <v>258</v>
      </c>
      <c r="B318" t="s">
        <v>7</v>
      </c>
      <c r="C318" s="12">
        <v>45484</v>
      </c>
      <c r="D318" t="s">
        <v>44</v>
      </c>
      <c r="E318" t="s">
        <v>9</v>
      </c>
      <c r="F318">
        <v>4247</v>
      </c>
      <c r="G318">
        <v>179</v>
      </c>
      <c r="H318">
        <v>175</v>
      </c>
      <c r="I318">
        <v>32991</v>
      </c>
      <c r="J318">
        <v>70120</v>
      </c>
      <c r="K318">
        <v>276</v>
      </c>
      <c r="L318" t="s">
        <v>30</v>
      </c>
      <c r="M318" t="s">
        <v>60</v>
      </c>
    </row>
    <row r="319" spans="1:13" x14ac:dyDescent="0.3">
      <c r="A319" t="s">
        <v>258</v>
      </c>
      <c r="B319" t="s">
        <v>7</v>
      </c>
      <c r="C319" s="12">
        <v>45484</v>
      </c>
      <c r="D319" t="s">
        <v>44</v>
      </c>
      <c r="E319" t="s">
        <v>9</v>
      </c>
      <c r="F319">
        <v>4247</v>
      </c>
      <c r="G319">
        <v>179</v>
      </c>
      <c r="H319">
        <v>175</v>
      </c>
      <c r="I319">
        <v>32991</v>
      </c>
      <c r="J319">
        <v>70120</v>
      </c>
      <c r="K319">
        <v>276</v>
      </c>
      <c r="L319" t="s">
        <v>33</v>
      </c>
      <c r="M319" t="s">
        <v>60</v>
      </c>
    </row>
    <row r="320" spans="1:13" x14ac:dyDescent="0.3">
      <c r="A320" t="s">
        <v>259</v>
      </c>
      <c r="B320" t="s">
        <v>7</v>
      </c>
      <c r="C320" s="12">
        <v>45369</v>
      </c>
      <c r="D320" t="s">
        <v>45</v>
      </c>
      <c r="E320" t="s">
        <v>12</v>
      </c>
      <c r="F320">
        <v>2033</v>
      </c>
      <c r="G320">
        <v>420</v>
      </c>
      <c r="H320">
        <v>94</v>
      </c>
      <c r="I320">
        <v>56290</v>
      </c>
      <c r="J320">
        <v>57391</v>
      </c>
      <c r="K320">
        <v>196</v>
      </c>
      <c r="L320" t="s">
        <v>33</v>
      </c>
      <c r="M320" t="s">
        <v>60</v>
      </c>
    </row>
    <row r="321" spans="1:13" x14ac:dyDescent="0.3">
      <c r="A321" t="s">
        <v>260</v>
      </c>
      <c r="B321" t="s">
        <v>7</v>
      </c>
      <c r="C321" s="12">
        <v>45547</v>
      </c>
      <c r="D321" t="s">
        <v>44</v>
      </c>
      <c r="E321" t="s">
        <v>29</v>
      </c>
      <c r="F321">
        <v>1839</v>
      </c>
      <c r="G321">
        <v>223</v>
      </c>
      <c r="H321">
        <v>171</v>
      </c>
      <c r="I321">
        <v>35459</v>
      </c>
      <c r="J321">
        <v>69988</v>
      </c>
      <c r="K321">
        <v>114</v>
      </c>
      <c r="L321" t="s">
        <v>36</v>
      </c>
      <c r="M321" t="s">
        <v>60</v>
      </c>
    </row>
    <row r="322" spans="1:13" x14ac:dyDescent="0.3">
      <c r="A322" t="s">
        <v>260</v>
      </c>
      <c r="B322" t="s">
        <v>7</v>
      </c>
      <c r="C322" s="12">
        <v>45547</v>
      </c>
      <c r="D322" t="s">
        <v>44</v>
      </c>
      <c r="E322" t="s">
        <v>29</v>
      </c>
      <c r="F322">
        <v>1839</v>
      </c>
      <c r="G322">
        <v>223</v>
      </c>
      <c r="H322">
        <v>171</v>
      </c>
      <c r="I322">
        <v>35459</v>
      </c>
      <c r="J322">
        <v>69988</v>
      </c>
      <c r="K322">
        <v>114</v>
      </c>
      <c r="L322" t="s">
        <v>33</v>
      </c>
      <c r="M322" t="s">
        <v>60</v>
      </c>
    </row>
    <row r="323" spans="1:13" x14ac:dyDescent="0.3">
      <c r="A323" t="s">
        <v>261</v>
      </c>
      <c r="B323" t="s">
        <v>7</v>
      </c>
      <c r="C323" s="12">
        <v>45302</v>
      </c>
      <c r="D323" t="s">
        <v>44</v>
      </c>
      <c r="E323" t="s">
        <v>29</v>
      </c>
      <c r="F323">
        <v>2340</v>
      </c>
      <c r="G323">
        <v>141</v>
      </c>
      <c r="H323">
        <v>206</v>
      </c>
      <c r="I323">
        <v>24916</v>
      </c>
      <c r="J323">
        <v>30582</v>
      </c>
      <c r="K323">
        <v>157</v>
      </c>
      <c r="L323" t="s">
        <v>30</v>
      </c>
      <c r="M323" t="s">
        <v>60</v>
      </c>
    </row>
    <row r="324" spans="1:13" x14ac:dyDescent="0.3">
      <c r="A324" t="s">
        <v>261</v>
      </c>
      <c r="B324" t="s">
        <v>7</v>
      </c>
      <c r="C324" s="12">
        <v>45302</v>
      </c>
      <c r="D324" t="s">
        <v>44</v>
      </c>
      <c r="E324" t="s">
        <v>29</v>
      </c>
      <c r="F324">
        <v>2340</v>
      </c>
      <c r="G324">
        <v>141</v>
      </c>
      <c r="H324">
        <v>206</v>
      </c>
      <c r="I324">
        <v>24916</v>
      </c>
      <c r="J324">
        <v>30582</v>
      </c>
      <c r="K324">
        <v>157</v>
      </c>
      <c r="L324" t="s">
        <v>33</v>
      </c>
      <c r="M324" t="s">
        <v>60</v>
      </c>
    </row>
    <row r="325" spans="1:13" x14ac:dyDescent="0.3">
      <c r="A325" t="s">
        <v>262</v>
      </c>
      <c r="B325" t="s">
        <v>10</v>
      </c>
      <c r="C325" s="12">
        <v>45571</v>
      </c>
      <c r="D325" t="s">
        <v>45</v>
      </c>
      <c r="E325" t="s">
        <v>32</v>
      </c>
      <c r="F325">
        <v>2080</v>
      </c>
      <c r="G325">
        <v>389</v>
      </c>
      <c r="H325">
        <v>92</v>
      </c>
      <c r="I325">
        <v>30971</v>
      </c>
      <c r="J325">
        <v>25347</v>
      </c>
      <c r="K325">
        <v>111</v>
      </c>
      <c r="L325" t="s">
        <v>27</v>
      </c>
      <c r="M325" t="s">
        <v>62</v>
      </c>
    </row>
    <row r="326" spans="1:13" x14ac:dyDescent="0.3">
      <c r="A326" t="s">
        <v>263</v>
      </c>
      <c r="B326" t="s">
        <v>7</v>
      </c>
      <c r="C326" s="12">
        <v>45656</v>
      </c>
      <c r="D326" t="s">
        <v>45</v>
      </c>
      <c r="E326" t="s">
        <v>9</v>
      </c>
      <c r="F326">
        <v>4214</v>
      </c>
      <c r="G326">
        <v>286</v>
      </c>
      <c r="H326">
        <v>127</v>
      </c>
      <c r="I326">
        <v>47293</v>
      </c>
      <c r="J326">
        <v>27184</v>
      </c>
      <c r="K326">
        <v>232</v>
      </c>
      <c r="L326" t="s">
        <v>33</v>
      </c>
      <c r="M326" t="s">
        <v>60</v>
      </c>
    </row>
    <row r="327" spans="1:13" x14ac:dyDescent="0.3">
      <c r="A327" t="s">
        <v>264</v>
      </c>
      <c r="B327" t="s">
        <v>7</v>
      </c>
      <c r="C327" s="12">
        <v>45763</v>
      </c>
      <c r="D327" t="s">
        <v>45</v>
      </c>
      <c r="E327" t="s">
        <v>29</v>
      </c>
      <c r="F327">
        <v>3792</v>
      </c>
      <c r="G327">
        <v>315</v>
      </c>
      <c r="H327">
        <v>120</v>
      </c>
      <c r="I327">
        <v>54592</v>
      </c>
      <c r="J327">
        <v>67886</v>
      </c>
      <c r="K327">
        <v>117</v>
      </c>
      <c r="L327" t="s">
        <v>30</v>
      </c>
      <c r="M327" t="s">
        <v>62</v>
      </c>
    </row>
    <row r="328" spans="1:13" x14ac:dyDescent="0.3">
      <c r="A328" t="s">
        <v>265</v>
      </c>
      <c r="B328" t="s">
        <v>7</v>
      </c>
      <c r="C328" s="12">
        <v>45525</v>
      </c>
      <c r="D328" t="s">
        <v>44</v>
      </c>
      <c r="E328" t="s">
        <v>15</v>
      </c>
      <c r="F328">
        <v>3989</v>
      </c>
      <c r="G328">
        <v>476</v>
      </c>
      <c r="H328">
        <v>128</v>
      </c>
      <c r="I328">
        <v>57569</v>
      </c>
      <c r="J328">
        <v>40193</v>
      </c>
      <c r="K328">
        <v>222</v>
      </c>
      <c r="L328" t="s">
        <v>27</v>
      </c>
      <c r="M328" t="s">
        <v>60</v>
      </c>
    </row>
    <row r="329" spans="1:13" x14ac:dyDescent="0.3">
      <c r="A329" t="s">
        <v>265</v>
      </c>
      <c r="B329" t="s">
        <v>7</v>
      </c>
      <c r="C329" s="12">
        <v>45525</v>
      </c>
      <c r="D329" t="s">
        <v>44</v>
      </c>
      <c r="E329" t="s">
        <v>15</v>
      </c>
      <c r="F329">
        <v>3989</v>
      </c>
      <c r="G329">
        <v>476</v>
      </c>
      <c r="H329">
        <v>128</v>
      </c>
      <c r="I329">
        <v>57569</v>
      </c>
      <c r="J329">
        <v>40193</v>
      </c>
      <c r="K329">
        <v>222</v>
      </c>
      <c r="L329" t="s">
        <v>36</v>
      </c>
      <c r="M329" t="s">
        <v>60</v>
      </c>
    </row>
    <row r="330" spans="1:13" x14ac:dyDescent="0.3">
      <c r="A330" t="s">
        <v>266</v>
      </c>
      <c r="B330" t="s">
        <v>7</v>
      </c>
      <c r="C330" s="12">
        <v>45387</v>
      </c>
      <c r="D330" t="s">
        <v>44</v>
      </c>
      <c r="E330" t="s">
        <v>29</v>
      </c>
      <c r="F330">
        <v>2857</v>
      </c>
      <c r="G330">
        <v>443</v>
      </c>
      <c r="H330">
        <v>359</v>
      </c>
      <c r="I330">
        <v>51519</v>
      </c>
      <c r="J330">
        <v>28256</v>
      </c>
      <c r="K330">
        <v>155</v>
      </c>
      <c r="L330" t="s">
        <v>30</v>
      </c>
      <c r="M330" t="s">
        <v>60</v>
      </c>
    </row>
    <row r="331" spans="1:13" x14ac:dyDescent="0.3">
      <c r="A331" t="s">
        <v>266</v>
      </c>
      <c r="B331" t="s">
        <v>7</v>
      </c>
      <c r="C331" s="12">
        <v>45387</v>
      </c>
      <c r="D331" t="s">
        <v>44</v>
      </c>
      <c r="E331" t="s">
        <v>29</v>
      </c>
      <c r="F331">
        <v>2857</v>
      </c>
      <c r="G331">
        <v>443</v>
      </c>
      <c r="H331">
        <v>359</v>
      </c>
      <c r="I331">
        <v>51519</v>
      </c>
      <c r="J331">
        <v>28256</v>
      </c>
      <c r="K331">
        <v>155</v>
      </c>
      <c r="L331" t="s">
        <v>33</v>
      </c>
      <c r="M331" t="s">
        <v>60</v>
      </c>
    </row>
    <row r="332" spans="1:13" x14ac:dyDescent="0.3">
      <c r="A332" t="s">
        <v>267</v>
      </c>
      <c r="B332" t="s">
        <v>7</v>
      </c>
      <c r="C332" s="12">
        <v>45754</v>
      </c>
      <c r="D332" t="s">
        <v>45</v>
      </c>
      <c r="E332" t="s">
        <v>26</v>
      </c>
      <c r="F332">
        <v>1403</v>
      </c>
      <c r="G332">
        <v>385</v>
      </c>
      <c r="H332">
        <v>344</v>
      </c>
      <c r="I332">
        <v>54223</v>
      </c>
      <c r="J332">
        <v>72595</v>
      </c>
      <c r="K332">
        <v>239</v>
      </c>
      <c r="L332" t="s">
        <v>30</v>
      </c>
      <c r="M332" t="s">
        <v>62</v>
      </c>
    </row>
    <row r="333" spans="1:13" x14ac:dyDescent="0.3">
      <c r="A333" t="s">
        <v>268</v>
      </c>
      <c r="B333" t="s">
        <v>7</v>
      </c>
      <c r="C333" s="12">
        <v>45492</v>
      </c>
      <c r="D333" t="s">
        <v>44</v>
      </c>
      <c r="E333" t="s">
        <v>23</v>
      </c>
      <c r="F333">
        <v>3071</v>
      </c>
      <c r="G333">
        <v>126</v>
      </c>
      <c r="H333">
        <v>200</v>
      </c>
      <c r="I333">
        <v>44013</v>
      </c>
      <c r="J333">
        <v>44679</v>
      </c>
      <c r="K333">
        <v>118</v>
      </c>
      <c r="L333" t="s">
        <v>27</v>
      </c>
      <c r="M333" t="s">
        <v>60</v>
      </c>
    </row>
    <row r="334" spans="1:13" x14ac:dyDescent="0.3">
      <c r="A334" t="s">
        <v>268</v>
      </c>
      <c r="B334" t="s">
        <v>7</v>
      </c>
      <c r="C334" s="12">
        <v>45492</v>
      </c>
      <c r="D334" t="s">
        <v>44</v>
      </c>
      <c r="E334" t="s">
        <v>23</v>
      </c>
      <c r="F334">
        <v>3071</v>
      </c>
      <c r="G334">
        <v>126</v>
      </c>
      <c r="H334">
        <v>200</v>
      </c>
      <c r="I334">
        <v>44013</v>
      </c>
      <c r="J334">
        <v>44679</v>
      </c>
      <c r="K334">
        <v>118</v>
      </c>
      <c r="L334" t="s">
        <v>36</v>
      </c>
      <c r="M334" t="s">
        <v>60</v>
      </c>
    </row>
    <row r="335" spans="1:13" x14ac:dyDescent="0.3">
      <c r="A335" t="s">
        <v>269</v>
      </c>
      <c r="B335" t="s">
        <v>7</v>
      </c>
      <c r="C335" s="12">
        <v>45780</v>
      </c>
      <c r="D335" t="s">
        <v>44</v>
      </c>
      <c r="E335" t="s">
        <v>32</v>
      </c>
      <c r="F335">
        <v>1010</v>
      </c>
      <c r="G335">
        <v>361</v>
      </c>
      <c r="H335">
        <v>240</v>
      </c>
      <c r="I335">
        <v>47229</v>
      </c>
      <c r="J335">
        <v>72573</v>
      </c>
      <c r="K335">
        <v>275</v>
      </c>
      <c r="L335" t="s">
        <v>30</v>
      </c>
      <c r="M335" t="s">
        <v>60</v>
      </c>
    </row>
    <row r="336" spans="1:13" x14ac:dyDescent="0.3">
      <c r="A336" t="s">
        <v>269</v>
      </c>
      <c r="B336" t="s">
        <v>7</v>
      </c>
      <c r="C336" s="12">
        <v>45780</v>
      </c>
      <c r="D336" t="s">
        <v>44</v>
      </c>
      <c r="E336" t="s">
        <v>32</v>
      </c>
      <c r="F336">
        <v>1010</v>
      </c>
      <c r="G336">
        <v>361</v>
      </c>
      <c r="H336">
        <v>240</v>
      </c>
      <c r="I336">
        <v>47229</v>
      </c>
      <c r="J336">
        <v>72573</v>
      </c>
      <c r="K336">
        <v>275</v>
      </c>
      <c r="L336" t="s">
        <v>33</v>
      </c>
      <c r="M336" t="s">
        <v>60</v>
      </c>
    </row>
    <row r="337" spans="1:13" x14ac:dyDescent="0.3">
      <c r="A337" t="s">
        <v>270</v>
      </c>
      <c r="B337" t="s">
        <v>7</v>
      </c>
      <c r="C337" s="12">
        <v>45396</v>
      </c>
      <c r="D337" t="s">
        <v>44</v>
      </c>
      <c r="E337" t="s">
        <v>19</v>
      </c>
      <c r="F337">
        <v>1295</v>
      </c>
      <c r="G337">
        <v>153</v>
      </c>
      <c r="H337">
        <v>81</v>
      </c>
      <c r="I337">
        <v>48350</v>
      </c>
      <c r="J337">
        <v>61033</v>
      </c>
      <c r="K337">
        <v>232</v>
      </c>
      <c r="L337" t="s">
        <v>27</v>
      </c>
      <c r="M337" t="s">
        <v>60</v>
      </c>
    </row>
    <row r="338" spans="1:13" x14ac:dyDescent="0.3">
      <c r="A338" t="s">
        <v>270</v>
      </c>
      <c r="B338" t="s">
        <v>7</v>
      </c>
      <c r="C338" s="12">
        <v>45396</v>
      </c>
      <c r="D338" t="s">
        <v>44</v>
      </c>
      <c r="E338" t="s">
        <v>19</v>
      </c>
      <c r="F338">
        <v>1295</v>
      </c>
      <c r="G338">
        <v>153</v>
      </c>
      <c r="H338">
        <v>81</v>
      </c>
      <c r="I338">
        <v>48350</v>
      </c>
      <c r="J338">
        <v>61033</v>
      </c>
      <c r="K338">
        <v>232</v>
      </c>
      <c r="L338" t="s">
        <v>36</v>
      </c>
      <c r="M338" t="s">
        <v>60</v>
      </c>
    </row>
    <row r="339" spans="1:13" x14ac:dyDescent="0.3">
      <c r="A339" t="s">
        <v>271</v>
      </c>
      <c r="B339" t="s">
        <v>7</v>
      </c>
      <c r="C339" s="12">
        <v>45827</v>
      </c>
      <c r="D339" t="s">
        <v>44</v>
      </c>
      <c r="E339" t="s">
        <v>23</v>
      </c>
      <c r="F339">
        <v>1433</v>
      </c>
      <c r="G339">
        <v>452</v>
      </c>
      <c r="H339">
        <v>305</v>
      </c>
      <c r="I339">
        <v>54541</v>
      </c>
      <c r="J339">
        <v>63700</v>
      </c>
      <c r="K339">
        <v>296</v>
      </c>
      <c r="L339" t="s">
        <v>27</v>
      </c>
      <c r="M339" t="s">
        <v>60</v>
      </c>
    </row>
    <row r="340" spans="1:13" x14ac:dyDescent="0.3">
      <c r="A340" t="s">
        <v>271</v>
      </c>
      <c r="B340" t="s">
        <v>7</v>
      </c>
      <c r="C340" s="12">
        <v>45827</v>
      </c>
      <c r="D340" t="s">
        <v>44</v>
      </c>
      <c r="E340" t="s">
        <v>23</v>
      </c>
      <c r="F340">
        <v>1433</v>
      </c>
      <c r="G340">
        <v>452</v>
      </c>
      <c r="H340">
        <v>305</v>
      </c>
      <c r="I340">
        <v>54541</v>
      </c>
      <c r="J340">
        <v>63700</v>
      </c>
      <c r="K340">
        <v>296</v>
      </c>
      <c r="L340" t="s">
        <v>36</v>
      </c>
      <c r="M340" t="s">
        <v>60</v>
      </c>
    </row>
    <row r="341" spans="1:13" x14ac:dyDescent="0.3">
      <c r="A341" t="s">
        <v>272</v>
      </c>
      <c r="B341" t="s">
        <v>10</v>
      </c>
      <c r="C341" s="12">
        <v>45832</v>
      </c>
      <c r="D341" t="s">
        <v>44</v>
      </c>
      <c r="E341" t="s">
        <v>9</v>
      </c>
      <c r="F341">
        <v>4902</v>
      </c>
      <c r="G341">
        <v>422</v>
      </c>
      <c r="H341">
        <v>376</v>
      </c>
      <c r="I341">
        <v>31674</v>
      </c>
      <c r="J341">
        <v>53225</v>
      </c>
      <c r="K341">
        <v>147</v>
      </c>
      <c r="L341" t="s">
        <v>33</v>
      </c>
      <c r="M341" t="s">
        <v>82</v>
      </c>
    </row>
    <row r="342" spans="1:13" x14ac:dyDescent="0.3">
      <c r="A342" t="s">
        <v>273</v>
      </c>
      <c r="B342" t="s">
        <v>7</v>
      </c>
      <c r="C342" s="12">
        <v>45574</v>
      </c>
      <c r="D342" t="s">
        <v>45</v>
      </c>
      <c r="E342" t="s">
        <v>29</v>
      </c>
      <c r="F342">
        <v>2659</v>
      </c>
      <c r="G342">
        <v>167</v>
      </c>
      <c r="H342">
        <v>73</v>
      </c>
      <c r="I342">
        <v>23090</v>
      </c>
      <c r="J342">
        <v>25872</v>
      </c>
      <c r="K342">
        <v>293</v>
      </c>
      <c r="L342" t="s">
        <v>30</v>
      </c>
      <c r="M342" t="s">
        <v>62</v>
      </c>
    </row>
    <row r="343" spans="1:13" x14ac:dyDescent="0.3">
      <c r="A343" t="s">
        <v>274</v>
      </c>
      <c r="B343" t="s">
        <v>13</v>
      </c>
      <c r="C343" s="12">
        <v>45672</v>
      </c>
      <c r="D343" t="s">
        <v>45</v>
      </c>
      <c r="E343" t="s">
        <v>78</v>
      </c>
      <c r="F343">
        <v>2599</v>
      </c>
      <c r="G343">
        <v>324</v>
      </c>
      <c r="H343">
        <v>182</v>
      </c>
      <c r="I343">
        <v>37525</v>
      </c>
      <c r="J343">
        <v>37216</v>
      </c>
      <c r="K343">
        <v>186</v>
      </c>
      <c r="L343" t="s">
        <v>27</v>
      </c>
      <c r="M343" t="s">
        <v>62</v>
      </c>
    </row>
    <row r="344" spans="1:13" x14ac:dyDescent="0.3">
      <c r="A344" t="s">
        <v>274</v>
      </c>
      <c r="B344" t="s">
        <v>13</v>
      </c>
      <c r="C344" s="12">
        <v>45672</v>
      </c>
      <c r="D344" t="s">
        <v>45</v>
      </c>
      <c r="E344" t="s">
        <v>78</v>
      </c>
      <c r="F344">
        <v>2599</v>
      </c>
      <c r="G344">
        <v>324</v>
      </c>
      <c r="H344">
        <v>182</v>
      </c>
      <c r="I344">
        <v>37525</v>
      </c>
      <c r="J344">
        <v>37216</v>
      </c>
      <c r="K344">
        <v>186</v>
      </c>
      <c r="L344" t="s">
        <v>24</v>
      </c>
      <c r="M344" t="s">
        <v>62</v>
      </c>
    </row>
    <row r="345" spans="1:13" x14ac:dyDescent="0.3">
      <c r="A345" t="s">
        <v>275</v>
      </c>
      <c r="B345" t="s">
        <v>7</v>
      </c>
      <c r="C345" s="12">
        <v>45669</v>
      </c>
      <c r="D345" t="s">
        <v>45</v>
      </c>
      <c r="E345" t="s">
        <v>35</v>
      </c>
      <c r="F345">
        <v>1765</v>
      </c>
      <c r="G345">
        <v>285</v>
      </c>
      <c r="H345">
        <v>100</v>
      </c>
      <c r="I345">
        <v>41313</v>
      </c>
      <c r="J345">
        <v>56575</v>
      </c>
      <c r="K345">
        <v>174</v>
      </c>
      <c r="L345" t="s">
        <v>30</v>
      </c>
      <c r="M345" t="s">
        <v>62</v>
      </c>
    </row>
    <row r="346" spans="1:13" x14ac:dyDescent="0.3">
      <c r="A346" t="s">
        <v>276</v>
      </c>
      <c r="B346" t="s">
        <v>10</v>
      </c>
      <c r="C346" s="12">
        <v>45808</v>
      </c>
      <c r="D346" t="s">
        <v>45</v>
      </c>
      <c r="E346" t="s">
        <v>23</v>
      </c>
      <c r="F346">
        <v>2169</v>
      </c>
      <c r="G346">
        <v>240</v>
      </c>
      <c r="H346">
        <v>57</v>
      </c>
      <c r="I346">
        <v>26109</v>
      </c>
      <c r="J346">
        <v>46667</v>
      </c>
      <c r="K346">
        <v>133</v>
      </c>
      <c r="L346" t="s">
        <v>30</v>
      </c>
      <c r="M346" t="s">
        <v>60</v>
      </c>
    </row>
    <row r="347" spans="1:13" x14ac:dyDescent="0.3">
      <c r="A347" t="s">
        <v>276</v>
      </c>
      <c r="B347" t="s">
        <v>10</v>
      </c>
      <c r="C347" s="12">
        <v>45808</v>
      </c>
      <c r="D347" t="s">
        <v>45</v>
      </c>
      <c r="E347" t="s">
        <v>23</v>
      </c>
      <c r="F347">
        <v>2169</v>
      </c>
      <c r="G347">
        <v>240</v>
      </c>
      <c r="H347">
        <v>57</v>
      </c>
      <c r="I347">
        <v>26109</v>
      </c>
      <c r="J347">
        <v>46667</v>
      </c>
      <c r="K347">
        <v>133</v>
      </c>
      <c r="L347" t="s">
        <v>33</v>
      </c>
      <c r="M347" t="s">
        <v>60</v>
      </c>
    </row>
    <row r="348" spans="1:13" x14ac:dyDescent="0.3">
      <c r="A348" t="s">
        <v>277</v>
      </c>
      <c r="B348" t="s">
        <v>7</v>
      </c>
      <c r="C348" s="12">
        <v>45579</v>
      </c>
      <c r="D348" t="s">
        <v>44</v>
      </c>
      <c r="E348" t="s">
        <v>15</v>
      </c>
      <c r="F348">
        <v>4303</v>
      </c>
      <c r="G348">
        <v>306</v>
      </c>
      <c r="H348">
        <v>302</v>
      </c>
      <c r="I348">
        <v>39575</v>
      </c>
      <c r="J348">
        <v>33762</v>
      </c>
      <c r="K348">
        <v>265</v>
      </c>
      <c r="L348" t="s">
        <v>27</v>
      </c>
      <c r="M348" t="s">
        <v>60</v>
      </c>
    </row>
    <row r="349" spans="1:13" x14ac:dyDescent="0.3">
      <c r="A349" t="s">
        <v>277</v>
      </c>
      <c r="B349" t="s">
        <v>7</v>
      </c>
      <c r="C349" s="12">
        <v>45579</v>
      </c>
      <c r="D349" t="s">
        <v>44</v>
      </c>
      <c r="E349" t="s">
        <v>15</v>
      </c>
      <c r="F349">
        <v>4303</v>
      </c>
      <c r="G349">
        <v>306</v>
      </c>
      <c r="H349">
        <v>302</v>
      </c>
      <c r="I349">
        <v>39575</v>
      </c>
      <c r="J349">
        <v>33762</v>
      </c>
      <c r="K349">
        <v>265</v>
      </c>
      <c r="L349" t="s">
        <v>36</v>
      </c>
      <c r="M349" t="s">
        <v>60</v>
      </c>
    </row>
    <row r="350" spans="1:13" x14ac:dyDescent="0.3">
      <c r="A350" t="s">
        <v>278</v>
      </c>
      <c r="B350" t="s">
        <v>7</v>
      </c>
      <c r="C350" s="12">
        <v>45332</v>
      </c>
      <c r="D350" t="s">
        <v>45</v>
      </c>
      <c r="E350" t="s">
        <v>26</v>
      </c>
      <c r="F350">
        <v>1519</v>
      </c>
      <c r="G350">
        <v>456</v>
      </c>
      <c r="H350">
        <v>379</v>
      </c>
      <c r="I350">
        <v>51611</v>
      </c>
      <c r="J350">
        <v>45880</v>
      </c>
      <c r="K350">
        <v>176</v>
      </c>
      <c r="L350" t="s">
        <v>30</v>
      </c>
      <c r="M350" t="s">
        <v>62</v>
      </c>
    </row>
    <row r="351" spans="1:13" x14ac:dyDescent="0.3">
      <c r="A351" t="s">
        <v>279</v>
      </c>
      <c r="B351" t="s">
        <v>13</v>
      </c>
      <c r="C351" s="12">
        <v>45636</v>
      </c>
      <c r="D351" t="s">
        <v>45</v>
      </c>
      <c r="E351" t="s">
        <v>23</v>
      </c>
      <c r="F351">
        <v>2569</v>
      </c>
      <c r="G351">
        <v>140</v>
      </c>
      <c r="H351">
        <v>375</v>
      </c>
      <c r="I351">
        <v>38372</v>
      </c>
      <c r="J351">
        <v>22102</v>
      </c>
      <c r="K351">
        <v>255</v>
      </c>
      <c r="L351" t="s">
        <v>27</v>
      </c>
      <c r="M351" t="s">
        <v>62</v>
      </c>
    </row>
    <row r="352" spans="1:13" x14ac:dyDescent="0.3">
      <c r="A352" t="s">
        <v>279</v>
      </c>
      <c r="B352" t="s">
        <v>13</v>
      </c>
      <c r="C352" s="12">
        <v>45636</v>
      </c>
      <c r="D352" t="s">
        <v>45</v>
      </c>
      <c r="E352" t="s">
        <v>23</v>
      </c>
      <c r="F352">
        <v>2569</v>
      </c>
      <c r="G352">
        <v>140</v>
      </c>
      <c r="H352">
        <v>375</v>
      </c>
      <c r="I352">
        <v>38372</v>
      </c>
      <c r="J352">
        <v>22102</v>
      </c>
      <c r="K352">
        <v>255</v>
      </c>
      <c r="L352" t="s">
        <v>24</v>
      </c>
      <c r="M352" t="s">
        <v>62</v>
      </c>
    </row>
    <row r="353" spans="1:13" x14ac:dyDescent="0.3">
      <c r="A353" t="s">
        <v>280</v>
      </c>
      <c r="B353" t="s">
        <v>7</v>
      </c>
      <c r="C353" s="12">
        <v>45786</v>
      </c>
      <c r="D353" t="s">
        <v>44</v>
      </c>
      <c r="E353" t="s">
        <v>35</v>
      </c>
      <c r="F353">
        <v>2778</v>
      </c>
      <c r="G353">
        <v>241</v>
      </c>
      <c r="H353">
        <v>317</v>
      </c>
      <c r="I353">
        <v>26247</v>
      </c>
      <c r="J353">
        <v>20677</v>
      </c>
      <c r="K353">
        <v>282</v>
      </c>
      <c r="L353" t="s">
        <v>36</v>
      </c>
      <c r="M353" t="s">
        <v>60</v>
      </c>
    </row>
    <row r="354" spans="1:13" x14ac:dyDescent="0.3">
      <c r="A354" t="s">
        <v>280</v>
      </c>
      <c r="B354" t="s">
        <v>7</v>
      </c>
      <c r="C354" s="12">
        <v>45786</v>
      </c>
      <c r="D354" t="s">
        <v>44</v>
      </c>
      <c r="E354" t="s">
        <v>35</v>
      </c>
      <c r="F354">
        <v>2778</v>
      </c>
      <c r="G354">
        <v>241</v>
      </c>
      <c r="H354">
        <v>317</v>
      </c>
      <c r="I354">
        <v>26247</v>
      </c>
      <c r="J354">
        <v>20677</v>
      </c>
      <c r="K354">
        <v>282</v>
      </c>
      <c r="L354" t="s">
        <v>33</v>
      </c>
      <c r="M354" t="s">
        <v>60</v>
      </c>
    </row>
    <row r="355" spans="1:13" x14ac:dyDescent="0.3">
      <c r="A355" t="s">
        <v>281</v>
      </c>
      <c r="B355" t="s">
        <v>7</v>
      </c>
      <c r="C355" s="12">
        <v>45829</v>
      </c>
      <c r="D355" t="s">
        <v>45</v>
      </c>
      <c r="E355" t="s">
        <v>15</v>
      </c>
      <c r="F355">
        <v>3611</v>
      </c>
      <c r="G355">
        <v>127</v>
      </c>
      <c r="H355">
        <v>139</v>
      </c>
      <c r="I355">
        <v>44768</v>
      </c>
      <c r="J355">
        <v>29435</v>
      </c>
      <c r="K355">
        <v>178</v>
      </c>
      <c r="L355" t="s">
        <v>33</v>
      </c>
      <c r="M355" t="s">
        <v>60</v>
      </c>
    </row>
    <row r="356" spans="1:13" x14ac:dyDescent="0.3">
      <c r="A356" t="s">
        <v>282</v>
      </c>
      <c r="B356" t="s">
        <v>7</v>
      </c>
      <c r="C356" s="12">
        <v>45462</v>
      </c>
      <c r="D356" t="s">
        <v>45</v>
      </c>
      <c r="E356" t="s">
        <v>23</v>
      </c>
      <c r="F356">
        <v>1224</v>
      </c>
      <c r="G356">
        <v>168</v>
      </c>
      <c r="H356">
        <v>199</v>
      </c>
      <c r="I356">
        <v>54232</v>
      </c>
      <c r="J356">
        <v>52844</v>
      </c>
      <c r="K356">
        <v>271</v>
      </c>
      <c r="L356" t="s">
        <v>30</v>
      </c>
      <c r="M356" t="s">
        <v>62</v>
      </c>
    </row>
    <row r="357" spans="1:13" x14ac:dyDescent="0.3">
      <c r="A357" t="s">
        <v>283</v>
      </c>
      <c r="B357" t="s">
        <v>7</v>
      </c>
      <c r="C357" s="12">
        <v>45636</v>
      </c>
      <c r="D357" t="s">
        <v>45</v>
      </c>
      <c r="E357" t="s">
        <v>26</v>
      </c>
      <c r="F357">
        <v>4673</v>
      </c>
      <c r="G357">
        <v>270</v>
      </c>
      <c r="H357">
        <v>93</v>
      </c>
      <c r="I357">
        <v>45260</v>
      </c>
      <c r="J357">
        <v>57513</v>
      </c>
      <c r="K357">
        <v>103</v>
      </c>
      <c r="L357" t="s">
        <v>33</v>
      </c>
      <c r="M357" t="s">
        <v>60</v>
      </c>
    </row>
    <row r="358" spans="1:13" x14ac:dyDescent="0.3">
      <c r="A358" t="s">
        <v>284</v>
      </c>
      <c r="B358" t="s">
        <v>13</v>
      </c>
      <c r="C358" s="12">
        <v>45323</v>
      </c>
      <c r="D358" t="s">
        <v>45</v>
      </c>
      <c r="E358" t="s">
        <v>29</v>
      </c>
      <c r="F358">
        <v>1432</v>
      </c>
      <c r="G358">
        <v>437</v>
      </c>
      <c r="H358">
        <v>267</v>
      </c>
      <c r="I358">
        <v>40634</v>
      </c>
      <c r="J358">
        <v>54511</v>
      </c>
      <c r="K358">
        <v>197</v>
      </c>
      <c r="L358" t="s">
        <v>27</v>
      </c>
      <c r="M358" t="s">
        <v>62</v>
      </c>
    </row>
    <row r="359" spans="1:13" x14ac:dyDescent="0.3">
      <c r="A359" t="s">
        <v>284</v>
      </c>
      <c r="B359" t="s">
        <v>13</v>
      </c>
      <c r="C359" s="12">
        <v>45323</v>
      </c>
      <c r="D359" t="s">
        <v>45</v>
      </c>
      <c r="E359" t="s">
        <v>29</v>
      </c>
      <c r="F359">
        <v>1432</v>
      </c>
      <c r="G359">
        <v>437</v>
      </c>
      <c r="H359">
        <v>267</v>
      </c>
      <c r="I359">
        <v>40634</v>
      </c>
      <c r="J359">
        <v>54511</v>
      </c>
      <c r="K359">
        <v>197</v>
      </c>
      <c r="L359" t="s">
        <v>24</v>
      </c>
      <c r="M359" t="s">
        <v>62</v>
      </c>
    </row>
    <row r="360" spans="1:13" x14ac:dyDescent="0.3">
      <c r="A360" t="s">
        <v>285</v>
      </c>
      <c r="B360" t="s">
        <v>7</v>
      </c>
      <c r="C360" s="12">
        <v>45308</v>
      </c>
      <c r="D360" t="s">
        <v>44</v>
      </c>
      <c r="E360" t="s">
        <v>12</v>
      </c>
      <c r="F360">
        <v>2174</v>
      </c>
      <c r="G360">
        <v>499</v>
      </c>
      <c r="H360">
        <v>212</v>
      </c>
      <c r="I360">
        <v>54938</v>
      </c>
      <c r="J360">
        <v>27190</v>
      </c>
      <c r="K360">
        <v>265</v>
      </c>
      <c r="L360" t="s">
        <v>36</v>
      </c>
      <c r="M360" t="s">
        <v>60</v>
      </c>
    </row>
    <row r="361" spans="1:13" x14ac:dyDescent="0.3">
      <c r="A361" t="s">
        <v>285</v>
      </c>
      <c r="B361" t="s">
        <v>7</v>
      </c>
      <c r="C361" s="12">
        <v>45308</v>
      </c>
      <c r="D361" t="s">
        <v>44</v>
      </c>
      <c r="E361" t="s">
        <v>12</v>
      </c>
      <c r="F361">
        <v>2174</v>
      </c>
      <c r="G361">
        <v>499</v>
      </c>
      <c r="H361">
        <v>212</v>
      </c>
      <c r="I361">
        <v>54938</v>
      </c>
      <c r="J361">
        <v>27190</v>
      </c>
      <c r="K361">
        <v>265</v>
      </c>
      <c r="L361" t="s">
        <v>33</v>
      </c>
      <c r="M361" t="s">
        <v>60</v>
      </c>
    </row>
    <row r="362" spans="1:13" x14ac:dyDescent="0.3">
      <c r="A362" t="s">
        <v>286</v>
      </c>
      <c r="B362" t="s">
        <v>13</v>
      </c>
      <c r="C362" s="12">
        <v>45738</v>
      </c>
      <c r="D362" t="s">
        <v>45</v>
      </c>
      <c r="E362" t="s">
        <v>35</v>
      </c>
      <c r="F362">
        <v>4308</v>
      </c>
      <c r="G362">
        <v>171</v>
      </c>
      <c r="H362">
        <v>106</v>
      </c>
      <c r="I362">
        <v>36955</v>
      </c>
      <c r="J362">
        <v>23949</v>
      </c>
      <c r="K362">
        <v>294</v>
      </c>
      <c r="L362" t="s">
        <v>27</v>
      </c>
      <c r="M362" t="s">
        <v>62</v>
      </c>
    </row>
    <row r="363" spans="1:13" x14ac:dyDescent="0.3">
      <c r="A363" t="s">
        <v>286</v>
      </c>
      <c r="B363" t="s">
        <v>13</v>
      </c>
      <c r="C363" s="12">
        <v>45738</v>
      </c>
      <c r="D363" t="s">
        <v>45</v>
      </c>
      <c r="E363" t="s">
        <v>35</v>
      </c>
      <c r="F363">
        <v>4308</v>
      </c>
      <c r="G363">
        <v>171</v>
      </c>
      <c r="H363">
        <v>106</v>
      </c>
      <c r="I363">
        <v>36955</v>
      </c>
      <c r="J363">
        <v>23949</v>
      </c>
      <c r="K363">
        <v>294</v>
      </c>
      <c r="L363" t="s">
        <v>24</v>
      </c>
      <c r="M363" t="s">
        <v>62</v>
      </c>
    </row>
    <row r="364" spans="1:13" x14ac:dyDescent="0.3">
      <c r="A364" t="s">
        <v>287</v>
      </c>
      <c r="B364" t="s">
        <v>13</v>
      </c>
      <c r="C364" s="12">
        <v>45442</v>
      </c>
      <c r="D364" t="s">
        <v>46</v>
      </c>
      <c r="E364" t="s">
        <v>23</v>
      </c>
      <c r="F364">
        <v>1060</v>
      </c>
      <c r="G364">
        <v>442</v>
      </c>
      <c r="H364">
        <v>319</v>
      </c>
      <c r="I364">
        <v>57194</v>
      </c>
      <c r="J364">
        <v>24258</v>
      </c>
      <c r="K364">
        <v>101</v>
      </c>
      <c r="L364" t="s">
        <v>27</v>
      </c>
      <c r="M364" t="s">
        <v>85</v>
      </c>
    </row>
    <row r="365" spans="1:13" x14ac:dyDescent="0.3">
      <c r="A365" t="s">
        <v>287</v>
      </c>
      <c r="B365" t="s">
        <v>13</v>
      </c>
      <c r="C365" s="12">
        <v>45442</v>
      </c>
      <c r="D365" t="s">
        <v>46</v>
      </c>
      <c r="E365" t="s">
        <v>23</v>
      </c>
      <c r="F365">
        <v>1060</v>
      </c>
      <c r="G365">
        <v>442</v>
      </c>
      <c r="H365">
        <v>319</v>
      </c>
      <c r="I365">
        <v>57194</v>
      </c>
      <c r="J365">
        <v>24258</v>
      </c>
      <c r="K365">
        <v>101</v>
      </c>
      <c r="L365" t="s">
        <v>30</v>
      </c>
      <c r="M365" t="s">
        <v>85</v>
      </c>
    </row>
    <row r="366" spans="1:13" x14ac:dyDescent="0.3">
      <c r="A366" t="s">
        <v>288</v>
      </c>
      <c r="B366" t="s">
        <v>13</v>
      </c>
      <c r="C366" s="12">
        <v>45346</v>
      </c>
      <c r="D366" t="s">
        <v>45</v>
      </c>
      <c r="E366" t="s">
        <v>35</v>
      </c>
      <c r="F366">
        <v>4653</v>
      </c>
      <c r="G366">
        <v>226</v>
      </c>
      <c r="H366">
        <v>349</v>
      </c>
      <c r="I366">
        <v>56876</v>
      </c>
      <c r="J366">
        <v>28452</v>
      </c>
      <c r="K366">
        <v>257</v>
      </c>
      <c r="L366" t="s">
        <v>27</v>
      </c>
      <c r="M366" t="s">
        <v>62</v>
      </c>
    </row>
    <row r="367" spans="1:13" x14ac:dyDescent="0.3">
      <c r="A367" t="s">
        <v>288</v>
      </c>
      <c r="B367" t="s">
        <v>13</v>
      </c>
      <c r="C367" s="12">
        <v>45346</v>
      </c>
      <c r="D367" t="s">
        <v>45</v>
      </c>
      <c r="E367" t="s">
        <v>35</v>
      </c>
      <c r="F367">
        <v>4653</v>
      </c>
      <c r="G367">
        <v>226</v>
      </c>
      <c r="H367">
        <v>349</v>
      </c>
      <c r="I367">
        <v>56876</v>
      </c>
      <c r="J367">
        <v>28452</v>
      </c>
      <c r="K367">
        <v>257</v>
      </c>
      <c r="L367" t="s">
        <v>24</v>
      </c>
      <c r="M367" t="s">
        <v>62</v>
      </c>
    </row>
    <row r="368" spans="1:13" x14ac:dyDescent="0.3">
      <c r="A368" t="s">
        <v>289</v>
      </c>
      <c r="B368" t="s">
        <v>13</v>
      </c>
      <c r="C368" s="12">
        <v>45791</v>
      </c>
      <c r="D368" t="s">
        <v>45</v>
      </c>
      <c r="E368" t="s">
        <v>19</v>
      </c>
      <c r="F368">
        <v>1701</v>
      </c>
      <c r="G368">
        <v>272</v>
      </c>
      <c r="H368">
        <v>385</v>
      </c>
      <c r="I368">
        <v>47496</v>
      </c>
      <c r="J368">
        <v>40832</v>
      </c>
      <c r="K368">
        <v>246</v>
      </c>
      <c r="L368" t="s">
        <v>27</v>
      </c>
      <c r="M368" t="s">
        <v>62</v>
      </c>
    </row>
    <row r="369" spans="1:13" x14ac:dyDescent="0.3">
      <c r="A369" t="s">
        <v>289</v>
      </c>
      <c r="B369" t="s">
        <v>13</v>
      </c>
      <c r="C369" s="12">
        <v>45791</v>
      </c>
      <c r="D369" t="s">
        <v>45</v>
      </c>
      <c r="E369" t="s">
        <v>19</v>
      </c>
      <c r="F369">
        <v>1701</v>
      </c>
      <c r="G369">
        <v>272</v>
      </c>
      <c r="H369">
        <v>385</v>
      </c>
      <c r="I369">
        <v>47496</v>
      </c>
      <c r="J369">
        <v>40832</v>
      </c>
      <c r="K369">
        <v>246</v>
      </c>
      <c r="L369" t="s">
        <v>24</v>
      </c>
      <c r="M369" t="s">
        <v>62</v>
      </c>
    </row>
    <row r="370" spans="1:13" x14ac:dyDescent="0.3">
      <c r="A370" t="s">
        <v>290</v>
      </c>
      <c r="B370" t="s">
        <v>10</v>
      </c>
      <c r="C370" s="12">
        <v>45379</v>
      </c>
      <c r="D370" t="s">
        <v>45</v>
      </c>
      <c r="E370" t="s">
        <v>23</v>
      </c>
      <c r="F370">
        <v>1673</v>
      </c>
      <c r="G370">
        <v>280</v>
      </c>
      <c r="H370">
        <v>67</v>
      </c>
      <c r="I370">
        <v>29847</v>
      </c>
      <c r="J370">
        <v>48016</v>
      </c>
      <c r="K370">
        <v>213</v>
      </c>
      <c r="L370" t="s">
        <v>30</v>
      </c>
      <c r="M370" t="s">
        <v>60</v>
      </c>
    </row>
    <row r="371" spans="1:13" x14ac:dyDescent="0.3">
      <c r="A371" t="s">
        <v>290</v>
      </c>
      <c r="B371" t="s">
        <v>10</v>
      </c>
      <c r="C371" s="12">
        <v>45379</v>
      </c>
      <c r="D371" t="s">
        <v>45</v>
      </c>
      <c r="E371" t="s">
        <v>23</v>
      </c>
      <c r="F371">
        <v>1673</v>
      </c>
      <c r="G371">
        <v>280</v>
      </c>
      <c r="H371">
        <v>67</v>
      </c>
      <c r="I371">
        <v>29847</v>
      </c>
      <c r="J371">
        <v>48016</v>
      </c>
      <c r="K371">
        <v>213</v>
      </c>
      <c r="L371" t="s">
        <v>33</v>
      </c>
      <c r="M371" t="s">
        <v>60</v>
      </c>
    </row>
    <row r="372" spans="1:13" x14ac:dyDescent="0.3">
      <c r="A372" t="s">
        <v>291</v>
      </c>
      <c r="B372" t="s">
        <v>13</v>
      </c>
      <c r="C372" s="12">
        <v>45723</v>
      </c>
      <c r="D372" t="s">
        <v>45</v>
      </c>
      <c r="E372" t="s">
        <v>32</v>
      </c>
      <c r="F372">
        <v>4310</v>
      </c>
      <c r="G372">
        <v>284</v>
      </c>
      <c r="H372">
        <v>306</v>
      </c>
      <c r="I372">
        <v>44606</v>
      </c>
      <c r="J372">
        <v>42604</v>
      </c>
      <c r="K372">
        <v>290</v>
      </c>
      <c r="L372" t="s">
        <v>27</v>
      </c>
      <c r="M372" t="s">
        <v>62</v>
      </c>
    </row>
    <row r="373" spans="1:13" x14ac:dyDescent="0.3">
      <c r="A373" t="s">
        <v>291</v>
      </c>
      <c r="B373" t="s">
        <v>13</v>
      </c>
      <c r="C373" s="12">
        <v>45723</v>
      </c>
      <c r="D373" t="s">
        <v>45</v>
      </c>
      <c r="E373" t="s">
        <v>32</v>
      </c>
      <c r="F373">
        <v>4310</v>
      </c>
      <c r="G373">
        <v>284</v>
      </c>
      <c r="H373">
        <v>306</v>
      </c>
      <c r="I373">
        <v>44606</v>
      </c>
      <c r="J373">
        <v>42604</v>
      </c>
      <c r="K373">
        <v>290</v>
      </c>
      <c r="L373" t="s">
        <v>24</v>
      </c>
      <c r="M373" t="s">
        <v>62</v>
      </c>
    </row>
    <row r="374" spans="1:13" x14ac:dyDescent="0.3">
      <c r="A374" t="s">
        <v>292</v>
      </c>
      <c r="B374" t="s">
        <v>7</v>
      </c>
      <c r="C374" s="12">
        <v>45585</v>
      </c>
      <c r="D374" t="s">
        <v>45</v>
      </c>
      <c r="E374" t="s">
        <v>26</v>
      </c>
      <c r="F374">
        <v>2752</v>
      </c>
      <c r="G374">
        <v>309</v>
      </c>
      <c r="H374">
        <v>91</v>
      </c>
      <c r="I374">
        <v>39038</v>
      </c>
      <c r="J374">
        <v>28095</v>
      </c>
      <c r="K374">
        <v>277</v>
      </c>
      <c r="L374" t="s">
        <v>33</v>
      </c>
      <c r="M374" t="s">
        <v>60</v>
      </c>
    </row>
    <row r="375" spans="1:13" x14ac:dyDescent="0.3">
      <c r="A375" t="s">
        <v>293</v>
      </c>
      <c r="B375" t="s">
        <v>7</v>
      </c>
      <c r="C375" s="12">
        <v>45324</v>
      </c>
      <c r="D375" t="s">
        <v>45</v>
      </c>
      <c r="E375" t="s">
        <v>26</v>
      </c>
      <c r="F375">
        <v>3818</v>
      </c>
      <c r="G375">
        <v>115</v>
      </c>
      <c r="H375">
        <v>286</v>
      </c>
      <c r="I375">
        <v>25127</v>
      </c>
      <c r="J375">
        <v>22277</v>
      </c>
      <c r="K375">
        <v>263</v>
      </c>
      <c r="L375" t="s">
        <v>33</v>
      </c>
      <c r="M375" t="s">
        <v>60</v>
      </c>
    </row>
    <row r="376" spans="1:13" x14ac:dyDescent="0.3">
      <c r="A376" t="s">
        <v>294</v>
      </c>
      <c r="B376" t="s">
        <v>13</v>
      </c>
      <c r="C376" s="12">
        <v>45542</v>
      </c>
      <c r="D376" t="s">
        <v>45</v>
      </c>
      <c r="E376" t="s">
        <v>78</v>
      </c>
      <c r="F376">
        <v>2101</v>
      </c>
      <c r="G376">
        <v>411</v>
      </c>
      <c r="H376">
        <v>190</v>
      </c>
      <c r="I376">
        <v>41791</v>
      </c>
      <c r="J376">
        <v>57090</v>
      </c>
      <c r="K376">
        <v>172</v>
      </c>
      <c r="L376" t="s">
        <v>27</v>
      </c>
      <c r="M376" t="s">
        <v>62</v>
      </c>
    </row>
    <row r="377" spans="1:13" x14ac:dyDescent="0.3">
      <c r="A377" t="s">
        <v>294</v>
      </c>
      <c r="B377" t="s">
        <v>13</v>
      </c>
      <c r="C377" s="12">
        <v>45542</v>
      </c>
      <c r="D377" t="s">
        <v>45</v>
      </c>
      <c r="E377" t="s">
        <v>78</v>
      </c>
      <c r="F377">
        <v>2101</v>
      </c>
      <c r="G377">
        <v>411</v>
      </c>
      <c r="H377">
        <v>190</v>
      </c>
      <c r="I377">
        <v>41791</v>
      </c>
      <c r="J377">
        <v>57090</v>
      </c>
      <c r="K377">
        <v>172</v>
      </c>
      <c r="L377" t="s">
        <v>24</v>
      </c>
      <c r="M377" t="s">
        <v>62</v>
      </c>
    </row>
    <row r="378" spans="1:13" x14ac:dyDescent="0.3">
      <c r="A378" t="s">
        <v>295</v>
      </c>
      <c r="B378" t="s">
        <v>10</v>
      </c>
      <c r="C378" s="12">
        <v>45646</v>
      </c>
      <c r="D378" t="s">
        <v>45</v>
      </c>
      <c r="E378" t="s">
        <v>19</v>
      </c>
      <c r="F378">
        <v>2519</v>
      </c>
      <c r="G378">
        <v>202</v>
      </c>
      <c r="H378">
        <v>239</v>
      </c>
      <c r="I378">
        <v>36245</v>
      </c>
      <c r="J378">
        <v>48606</v>
      </c>
      <c r="K378">
        <v>145</v>
      </c>
      <c r="L378" t="s">
        <v>27</v>
      </c>
      <c r="M378" t="s">
        <v>62</v>
      </c>
    </row>
    <row r="379" spans="1:13" x14ac:dyDescent="0.3">
      <c r="A379" t="s">
        <v>296</v>
      </c>
      <c r="B379" t="s">
        <v>13</v>
      </c>
      <c r="C379" s="12">
        <v>45305</v>
      </c>
      <c r="D379" t="s">
        <v>45</v>
      </c>
      <c r="E379" t="s">
        <v>23</v>
      </c>
      <c r="F379">
        <v>4502</v>
      </c>
      <c r="G379">
        <v>238</v>
      </c>
      <c r="H379">
        <v>386</v>
      </c>
      <c r="I379">
        <v>39198</v>
      </c>
      <c r="J379">
        <v>25050</v>
      </c>
      <c r="K379">
        <v>297</v>
      </c>
      <c r="L379" t="s">
        <v>27</v>
      </c>
      <c r="M379" t="s">
        <v>62</v>
      </c>
    </row>
    <row r="380" spans="1:13" x14ac:dyDescent="0.3">
      <c r="A380" t="s">
        <v>296</v>
      </c>
      <c r="B380" t="s">
        <v>13</v>
      </c>
      <c r="C380" s="12">
        <v>45305</v>
      </c>
      <c r="D380" t="s">
        <v>45</v>
      </c>
      <c r="E380" t="s">
        <v>23</v>
      </c>
      <c r="F380">
        <v>4502</v>
      </c>
      <c r="G380">
        <v>238</v>
      </c>
      <c r="H380">
        <v>386</v>
      </c>
      <c r="I380">
        <v>39198</v>
      </c>
      <c r="J380">
        <v>25050</v>
      </c>
      <c r="K380">
        <v>297</v>
      </c>
      <c r="L380" t="s">
        <v>24</v>
      </c>
      <c r="M380" t="s">
        <v>62</v>
      </c>
    </row>
    <row r="381" spans="1:13" x14ac:dyDescent="0.3">
      <c r="A381" t="s">
        <v>297</v>
      </c>
      <c r="B381" t="s">
        <v>10</v>
      </c>
      <c r="C381" s="12">
        <v>45823</v>
      </c>
      <c r="D381" t="s">
        <v>45</v>
      </c>
      <c r="E381" t="s">
        <v>15</v>
      </c>
      <c r="F381">
        <v>2478</v>
      </c>
      <c r="G381">
        <v>427</v>
      </c>
      <c r="H381">
        <v>242</v>
      </c>
      <c r="I381">
        <v>59272</v>
      </c>
      <c r="J381">
        <v>37833</v>
      </c>
      <c r="K381">
        <v>214</v>
      </c>
      <c r="L381" t="s">
        <v>30</v>
      </c>
      <c r="M381" t="s">
        <v>60</v>
      </c>
    </row>
    <row r="382" spans="1:13" x14ac:dyDescent="0.3">
      <c r="A382" t="s">
        <v>297</v>
      </c>
      <c r="B382" t="s">
        <v>10</v>
      </c>
      <c r="C382" s="12">
        <v>45823</v>
      </c>
      <c r="D382" t="s">
        <v>45</v>
      </c>
      <c r="E382" t="s">
        <v>15</v>
      </c>
      <c r="F382">
        <v>2478</v>
      </c>
      <c r="G382">
        <v>427</v>
      </c>
      <c r="H382">
        <v>242</v>
      </c>
      <c r="I382">
        <v>59272</v>
      </c>
      <c r="J382">
        <v>37833</v>
      </c>
      <c r="K382">
        <v>214</v>
      </c>
      <c r="L382" t="s">
        <v>33</v>
      </c>
      <c r="M382" t="s">
        <v>60</v>
      </c>
    </row>
    <row r="383" spans="1:13" x14ac:dyDescent="0.3">
      <c r="A383" t="s">
        <v>298</v>
      </c>
      <c r="B383" t="s">
        <v>7</v>
      </c>
      <c r="C383" s="12">
        <v>45639</v>
      </c>
      <c r="D383" t="s">
        <v>44</v>
      </c>
      <c r="E383" t="s">
        <v>12</v>
      </c>
      <c r="F383">
        <v>4984</v>
      </c>
      <c r="G383">
        <v>300</v>
      </c>
      <c r="H383">
        <v>338</v>
      </c>
      <c r="I383">
        <v>32900</v>
      </c>
      <c r="J383">
        <v>31691</v>
      </c>
      <c r="K383">
        <v>160</v>
      </c>
      <c r="L383" t="s">
        <v>36</v>
      </c>
      <c r="M383" t="s">
        <v>60</v>
      </c>
    </row>
    <row r="384" spans="1:13" x14ac:dyDescent="0.3">
      <c r="A384" t="s">
        <v>298</v>
      </c>
      <c r="B384" t="s">
        <v>7</v>
      </c>
      <c r="C384" s="12">
        <v>45639</v>
      </c>
      <c r="D384" t="s">
        <v>44</v>
      </c>
      <c r="E384" t="s">
        <v>12</v>
      </c>
      <c r="F384">
        <v>4984</v>
      </c>
      <c r="G384">
        <v>300</v>
      </c>
      <c r="H384">
        <v>338</v>
      </c>
      <c r="I384">
        <v>32900</v>
      </c>
      <c r="J384">
        <v>31691</v>
      </c>
      <c r="K384">
        <v>160</v>
      </c>
      <c r="L384" t="s">
        <v>33</v>
      </c>
      <c r="M384" t="s">
        <v>60</v>
      </c>
    </row>
    <row r="385" spans="1:13" x14ac:dyDescent="0.3">
      <c r="A385" t="s">
        <v>299</v>
      </c>
      <c r="B385" t="s">
        <v>13</v>
      </c>
      <c r="C385" s="12">
        <v>45533</v>
      </c>
      <c r="D385" t="s">
        <v>45</v>
      </c>
      <c r="E385" t="s">
        <v>29</v>
      </c>
      <c r="F385">
        <v>4774</v>
      </c>
      <c r="G385">
        <v>389</v>
      </c>
      <c r="H385">
        <v>358</v>
      </c>
      <c r="I385">
        <v>52346</v>
      </c>
      <c r="J385">
        <v>30518</v>
      </c>
      <c r="K385">
        <v>277</v>
      </c>
      <c r="L385" t="s">
        <v>27</v>
      </c>
      <c r="M385" t="s">
        <v>62</v>
      </c>
    </row>
    <row r="386" spans="1:13" x14ac:dyDescent="0.3">
      <c r="A386" t="s">
        <v>299</v>
      </c>
      <c r="B386" t="s">
        <v>13</v>
      </c>
      <c r="C386" s="12">
        <v>45533</v>
      </c>
      <c r="D386" t="s">
        <v>45</v>
      </c>
      <c r="E386" t="s">
        <v>29</v>
      </c>
      <c r="F386">
        <v>4774</v>
      </c>
      <c r="G386">
        <v>389</v>
      </c>
      <c r="H386">
        <v>358</v>
      </c>
      <c r="I386">
        <v>52346</v>
      </c>
      <c r="J386">
        <v>30518</v>
      </c>
      <c r="K386">
        <v>277</v>
      </c>
      <c r="L386" t="s">
        <v>24</v>
      </c>
      <c r="M386" t="s">
        <v>62</v>
      </c>
    </row>
    <row r="387" spans="1:13" x14ac:dyDescent="0.3">
      <c r="A387" t="s">
        <v>300</v>
      </c>
      <c r="B387" t="s">
        <v>7</v>
      </c>
      <c r="C387" s="12">
        <v>45550</v>
      </c>
      <c r="D387" t="s">
        <v>45</v>
      </c>
      <c r="E387" t="s">
        <v>9</v>
      </c>
      <c r="F387">
        <v>2145</v>
      </c>
      <c r="G387">
        <v>340</v>
      </c>
      <c r="H387">
        <v>85</v>
      </c>
      <c r="I387">
        <v>53323</v>
      </c>
      <c r="J387">
        <v>49938</v>
      </c>
      <c r="K387">
        <v>104</v>
      </c>
      <c r="L387" t="s">
        <v>33</v>
      </c>
      <c r="M387" t="s">
        <v>60</v>
      </c>
    </row>
    <row r="388" spans="1:13" x14ac:dyDescent="0.3">
      <c r="A388" t="s">
        <v>301</v>
      </c>
      <c r="B388" t="s">
        <v>7</v>
      </c>
      <c r="C388" s="12">
        <v>45759</v>
      </c>
      <c r="D388" t="s">
        <v>44</v>
      </c>
      <c r="E388" t="s">
        <v>26</v>
      </c>
      <c r="F388">
        <v>4315</v>
      </c>
      <c r="G388">
        <v>208</v>
      </c>
      <c r="H388">
        <v>273</v>
      </c>
      <c r="I388">
        <v>35780</v>
      </c>
      <c r="J388">
        <v>44349</v>
      </c>
      <c r="K388">
        <v>133</v>
      </c>
      <c r="L388" t="s">
        <v>27</v>
      </c>
      <c r="M388" t="s">
        <v>60</v>
      </c>
    </row>
    <row r="389" spans="1:13" x14ac:dyDescent="0.3">
      <c r="A389" t="s">
        <v>301</v>
      </c>
      <c r="B389" t="s">
        <v>7</v>
      </c>
      <c r="C389" s="12">
        <v>45759</v>
      </c>
      <c r="D389" t="s">
        <v>44</v>
      </c>
      <c r="E389" t="s">
        <v>26</v>
      </c>
      <c r="F389">
        <v>4315</v>
      </c>
      <c r="G389">
        <v>208</v>
      </c>
      <c r="H389">
        <v>273</v>
      </c>
      <c r="I389">
        <v>35780</v>
      </c>
      <c r="J389">
        <v>44349</v>
      </c>
      <c r="K389">
        <v>133</v>
      </c>
      <c r="L389" t="s">
        <v>36</v>
      </c>
      <c r="M389" t="s">
        <v>60</v>
      </c>
    </row>
    <row r="390" spans="1:13" x14ac:dyDescent="0.3">
      <c r="A390" t="s">
        <v>302</v>
      </c>
      <c r="B390" t="s">
        <v>7</v>
      </c>
      <c r="C390" s="12">
        <v>45636</v>
      </c>
      <c r="D390" t="s">
        <v>44</v>
      </c>
      <c r="E390" t="s">
        <v>29</v>
      </c>
      <c r="F390">
        <v>2267</v>
      </c>
      <c r="G390">
        <v>230</v>
      </c>
      <c r="H390">
        <v>243</v>
      </c>
      <c r="I390">
        <v>27904</v>
      </c>
      <c r="J390">
        <v>69771</v>
      </c>
      <c r="K390">
        <v>255</v>
      </c>
      <c r="L390" t="s">
        <v>27</v>
      </c>
      <c r="M390" t="s">
        <v>60</v>
      </c>
    </row>
    <row r="391" spans="1:13" x14ac:dyDescent="0.3">
      <c r="A391" t="s">
        <v>302</v>
      </c>
      <c r="B391" t="s">
        <v>7</v>
      </c>
      <c r="C391" s="12">
        <v>45636</v>
      </c>
      <c r="D391" t="s">
        <v>44</v>
      </c>
      <c r="E391" t="s">
        <v>29</v>
      </c>
      <c r="F391">
        <v>2267</v>
      </c>
      <c r="G391">
        <v>230</v>
      </c>
      <c r="H391">
        <v>243</v>
      </c>
      <c r="I391">
        <v>27904</v>
      </c>
      <c r="J391">
        <v>69771</v>
      </c>
      <c r="K391">
        <v>255</v>
      </c>
      <c r="L391" t="s">
        <v>36</v>
      </c>
      <c r="M391" t="s">
        <v>60</v>
      </c>
    </row>
    <row r="392" spans="1:13" x14ac:dyDescent="0.3">
      <c r="A392" t="s">
        <v>303</v>
      </c>
      <c r="B392" t="s">
        <v>13</v>
      </c>
      <c r="C392" s="12">
        <v>45816</v>
      </c>
      <c r="D392" t="s">
        <v>45</v>
      </c>
      <c r="E392" t="s">
        <v>35</v>
      </c>
      <c r="F392">
        <v>4375</v>
      </c>
      <c r="G392">
        <v>303</v>
      </c>
      <c r="H392">
        <v>294</v>
      </c>
      <c r="I392">
        <v>57468</v>
      </c>
      <c r="J392">
        <v>53397</v>
      </c>
      <c r="K392">
        <v>159</v>
      </c>
      <c r="L392" t="s">
        <v>27</v>
      </c>
      <c r="M392" t="s">
        <v>62</v>
      </c>
    </row>
    <row r="393" spans="1:13" x14ac:dyDescent="0.3">
      <c r="A393" t="s">
        <v>303</v>
      </c>
      <c r="B393" t="s">
        <v>13</v>
      </c>
      <c r="C393" s="12">
        <v>45816</v>
      </c>
      <c r="D393" t="s">
        <v>45</v>
      </c>
      <c r="E393" t="s">
        <v>35</v>
      </c>
      <c r="F393">
        <v>4375</v>
      </c>
      <c r="G393">
        <v>303</v>
      </c>
      <c r="H393">
        <v>294</v>
      </c>
      <c r="I393">
        <v>57468</v>
      </c>
      <c r="J393">
        <v>53397</v>
      </c>
      <c r="K393">
        <v>159</v>
      </c>
      <c r="L393" t="s">
        <v>24</v>
      </c>
      <c r="M393" t="s">
        <v>62</v>
      </c>
    </row>
    <row r="394" spans="1:13" x14ac:dyDescent="0.3">
      <c r="A394" t="s">
        <v>304</v>
      </c>
      <c r="B394" t="s">
        <v>7</v>
      </c>
      <c r="C394" s="12">
        <v>45666</v>
      </c>
      <c r="D394" t="s">
        <v>44</v>
      </c>
      <c r="E394" t="s">
        <v>78</v>
      </c>
      <c r="F394">
        <v>3817</v>
      </c>
      <c r="G394">
        <v>284</v>
      </c>
      <c r="H394">
        <v>204</v>
      </c>
      <c r="I394">
        <v>46434</v>
      </c>
      <c r="J394">
        <v>53396</v>
      </c>
      <c r="K394">
        <v>104</v>
      </c>
      <c r="L394" t="s">
        <v>36</v>
      </c>
      <c r="M394" t="s">
        <v>60</v>
      </c>
    </row>
    <row r="395" spans="1:13" x14ac:dyDescent="0.3">
      <c r="A395" t="s">
        <v>304</v>
      </c>
      <c r="B395" t="s">
        <v>7</v>
      </c>
      <c r="C395" s="12">
        <v>45666</v>
      </c>
      <c r="D395" t="s">
        <v>44</v>
      </c>
      <c r="E395" t="s">
        <v>78</v>
      </c>
      <c r="F395">
        <v>3817</v>
      </c>
      <c r="G395">
        <v>284</v>
      </c>
      <c r="H395">
        <v>204</v>
      </c>
      <c r="I395">
        <v>46434</v>
      </c>
      <c r="J395">
        <v>53396</v>
      </c>
      <c r="K395">
        <v>104</v>
      </c>
      <c r="L395" t="s">
        <v>33</v>
      </c>
      <c r="M395" t="s">
        <v>60</v>
      </c>
    </row>
    <row r="396" spans="1:13" x14ac:dyDescent="0.3">
      <c r="A396" t="s">
        <v>305</v>
      </c>
      <c r="B396" t="s">
        <v>7</v>
      </c>
      <c r="C396" s="12">
        <v>45481</v>
      </c>
      <c r="D396" t="s">
        <v>44</v>
      </c>
      <c r="E396" t="s">
        <v>32</v>
      </c>
      <c r="F396">
        <v>2981</v>
      </c>
      <c r="G396">
        <v>258</v>
      </c>
      <c r="H396">
        <v>168</v>
      </c>
      <c r="I396">
        <v>20677</v>
      </c>
      <c r="J396">
        <v>68290</v>
      </c>
      <c r="K396">
        <v>130</v>
      </c>
      <c r="L396" t="s">
        <v>30</v>
      </c>
      <c r="M396" t="s">
        <v>60</v>
      </c>
    </row>
    <row r="397" spans="1:13" x14ac:dyDescent="0.3">
      <c r="A397" t="s">
        <v>305</v>
      </c>
      <c r="B397" t="s">
        <v>7</v>
      </c>
      <c r="C397" s="12">
        <v>45481</v>
      </c>
      <c r="D397" t="s">
        <v>44</v>
      </c>
      <c r="E397" t="s">
        <v>32</v>
      </c>
      <c r="F397">
        <v>2981</v>
      </c>
      <c r="G397">
        <v>258</v>
      </c>
      <c r="H397">
        <v>168</v>
      </c>
      <c r="I397">
        <v>20677</v>
      </c>
      <c r="J397">
        <v>68290</v>
      </c>
      <c r="K397">
        <v>130</v>
      </c>
      <c r="L397" t="s">
        <v>33</v>
      </c>
      <c r="M397" t="s">
        <v>60</v>
      </c>
    </row>
    <row r="398" spans="1:13" x14ac:dyDescent="0.3">
      <c r="A398" t="s">
        <v>306</v>
      </c>
      <c r="B398" t="s">
        <v>7</v>
      </c>
      <c r="C398" s="12">
        <v>45551</v>
      </c>
      <c r="D398" t="s">
        <v>44</v>
      </c>
      <c r="E398" t="s">
        <v>78</v>
      </c>
      <c r="F398">
        <v>3300</v>
      </c>
      <c r="G398">
        <v>354</v>
      </c>
      <c r="H398">
        <v>397</v>
      </c>
      <c r="I398">
        <v>56773</v>
      </c>
      <c r="J398">
        <v>72110</v>
      </c>
      <c r="K398">
        <v>163</v>
      </c>
      <c r="L398" t="s">
        <v>27</v>
      </c>
      <c r="M398" t="s">
        <v>60</v>
      </c>
    </row>
    <row r="399" spans="1:13" x14ac:dyDescent="0.3">
      <c r="A399" t="s">
        <v>306</v>
      </c>
      <c r="B399" t="s">
        <v>7</v>
      </c>
      <c r="C399" s="12">
        <v>45551</v>
      </c>
      <c r="D399" t="s">
        <v>44</v>
      </c>
      <c r="E399" t="s">
        <v>78</v>
      </c>
      <c r="F399">
        <v>3300</v>
      </c>
      <c r="G399">
        <v>354</v>
      </c>
      <c r="H399">
        <v>397</v>
      </c>
      <c r="I399">
        <v>56773</v>
      </c>
      <c r="J399">
        <v>72110</v>
      </c>
      <c r="K399">
        <v>163</v>
      </c>
      <c r="L399" t="s">
        <v>36</v>
      </c>
      <c r="M399" t="s">
        <v>60</v>
      </c>
    </row>
    <row r="400" spans="1:13" x14ac:dyDescent="0.3">
      <c r="A400" t="s">
        <v>28</v>
      </c>
      <c r="B400" t="s">
        <v>13</v>
      </c>
      <c r="C400" s="12">
        <v>45457</v>
      </c>
      <c r="D400" t="s">
        <v>46</v>
      </c>
      <c r="E400" t="s">
        <v>29</v>
      </c>
      <c r="F400">
        <v>4722</v>
      </c>
      <c r="G400">
        <v>310</v>
      </c>
      <c r="H400">
        <v>344</v>
      </c>
      <c r="I400">
        <v>27911</v>
      </c>
      <c r="J400">
        <v>19000</v>
      </c>
      <c r="K400">
        <v>225</v>
      </c>
      <c r="L400" t="s">
        <v>27</v>
      </c>
      <c r="M400" t="s">
        <v>85</v>
      </c>
    </row>
    <row r="401" spans="1:13" x14ac:dyDescent="0.3">
      <c r="A401" t="s">
        <v>28</v>
      </c>
      <c r="B401" t="s">
        <v>13</v>
      </c>
      <c r="C401" s="12">
        <v>45457</v>
      </c>
      <c r="D401" t="s">
        <v>46</v>
      </c>
      <c r="E401" t="s">
        <v>29</v>
      </c>
      <c r="F401">
        <v>4722</v>
      </c>
      <c r="G401">
        <v>310</v>
      </c>
      <c r="H401">
        <v>344</v>
      </c>
      <c r="I401">
        <v>27911</v>
      </c>
      <c r="J401">
        <v>19000</v>
      </c>
      <c r="K401">
        <v>225</v>
      </c>
      <c r="L401" t="s">
        <v>30</v>
      </c>
      <c r="M401" t="s">
        <v>85</v>
      </c>
    </row>
    <row r="402" spans="1:13" x14ac:dyDescent="0.3">
      <c r="A402" t="s">
        <v>307</v>
      </c>
      <c r="B402" t="s">
        <v>10</v>
      </c>
      <c r="C402" s="12">
        <v>45357</v>
      </c>
      <c r="D402" t="s">
        <v>45</v>
      </c>
      <c r="E402" t="s">
        <v>23</v>
      </c>
      <c r="F402">
        <v>3529</v>
      </c>
      <c r="G402">
        <v>263</v>
      </c>
      <c r="H402">
        <v>107</v>
      </c>
      <c r="I402">
        <v>26570</v>
      </c>
      <c r="J402">
        <v>19367</v>
      </c>
      <c r="K402">
        <v>96</v>
      </c>
      <c r="L402" t="s">
        <v>27</v>
      </c>
      <c r="M402" t="s">
        <v>62</v>
      </c>
    </row>
    <row r="403" spans="1:13" x14ac:dyDescent="0.3">
      <c r="A403" t="s">
        <v>308</v>
      </c>
      <c r="B403" t="s">
        <v>7</v>
      </c>
      <c r="C403" s="12">
        <v>45792</v>
      </c>
      <c r="D403" t="s">
        <v>45</v>
      </c>
      <c r="E403" t="s">
        <v>78</v>
      </c>
      <c r="F403">
        <v>4782</v>
      </c>
      <c r="G403">
        <v>210</v>
      </c>
      <c r="H403">
        <v>311</v>
      </c>
      <c r="I403">
        <v>29793</v>
      </c>
      <c r="J403">
        <v>37543</v>
      </c>
      <c r="K403">
        <v>145</v>
      </c>
      <c r="L403" t="s">
        <v>33</v>
      </c>
      <c r="M403" t="s">
        <v>60</v>
      </c>
    </row>
    <row r="404" spans="1:13" x14ac:dyDescent="0.3">
      <c r="A404" t="s">
        <v>309</v>
      </c>
      <c r="B404" t="s">
        <v>7</v>
      </c>
      <c r="C404" s="12">
        <v>45480</v>
      </c>
      <c r="D404" t="s">
        <v>45</v>
      </c>
      <c r="E404" t="s">
        <v>23</v>
      </c>
      <c r="F404">
        <v>1848</v>
      </c>
      <c r="G404">
        <v>417</v>
      </c>
      <c r="H404">
        <v>294</v>
      </c>
      <c r="I404">
        <v>57819</v>
      </c>
      <c r="J404">
        <v>19798</v>
      </c>
      <c r="K404">
        <v>262</v>
      </c>
      <c r="L404" t="s">
        <v>30</v>
      </c>
      <c r="M404" t="s">
        <v>62</v>
      </c>
    </row>
    <row r="405" spans="1:13" x14ac:dyDescent="0.3">
      <c r="A405" t="s">
        <v>310</v>
      </c>
      <c r="B405" t="s">
        <v>13</v>
      </c>
      <c r="C405" s="12">
        <v>45591</v>
      </c>
      <c r="D405" t="s">
        <v>45</v>
      </c>
      <c r="E405" t="s">
        <v>12</v>
      </c>
      <c r="F405">
        <v>4676</v>
      </c>
      <c r="G405">
        <v>211</v>
      </c>
      <c r="H405">
        <v>55</v>
      </c>
      <c r="I405">
        <v>45917</v>
      </c>
      <c r="J405">
        <v>73503</v>
      </c>
      <c r="K405">
        <v>248</v>
      </c>
      <c r="L405" t="s">
        <v>27</v>
      </c>
      <c r="M405" t="s">
        <v>62</v>
      </c>
    </row>
    <row r="406" spans="1:13" x14ac:dyDescent="0.3">
      <c r="A406" t="s">
        <v>310</v>
      </c>
      <c r="B406" t="s">
        <v>13</v>
      </c>
      <c r="C406" s="12">
        <v>45591</v>
      </c>
      <c r="D406" t="s">
        <v>45</v>
      </c>
      <c r="E406" t="s">
        <v>12</v>
      </c>
      <c r="F406">
        <v>4676</v>
      </c>
      <c r="G406">
        <v>211</v>
      </c>
      <c r="H406">
        <v>55</v>
      </c>
      <c r="I406">
        <v>45917</v>
      </c>
      <c r="J406">
        <v>73503</v>
      </c>
      <c r="K406">
        <v>248</v>
      </c>
      <c r="L406" t="s">
        <v>24</v>
      </c>
      <c r="M406" t="s">
        <v>62</v>
      </c>
    </row>
    <row r="407" spans="1:13" x14ac:dyDescent="0.3">
      <c r="A407" t="s">
        <v>311</v>
      </c>
      <c r="B407" t="s">
        <v>13</v>
      </c>
      <c r="C407" s="12">
        <v>45512</v>
      </c>
      <c r="D407" t="s">
        <v>45</v>
      </c>
      <c r="E407" t="s">
        <v>26</v>
      </c>
      <c r="F407">
        <v>1994</v>
      </c>
      <c r="G407">
        <v>197</v>
      </c>
      <c r="H407">
        <v>290</v>
      </c>
      <c r="I407">
        <v>49500</v>
      </c>
      <c r="J407">
        <v>23343</v>
      </c>
      <c r="K407">
        <v>160</v>
      </c>
      <c r="L407" t="s">
        <v>27</v>
      </c>
      <c r="M407" t="s">
        <v>62</v>
      </c>
    </row>
    <row r="408" spans="1:13" x14ac:dyDescent="0.3">
      <c r="A408" t="s">
        <v>311</v>
      </c>
      <c r="B408" t="s">
        <v>13</v>
      </c>
      <c r="C408" s="12">
        <v>45512</v>
      </c>
      <c r="D408" t="s">
        <v>45</v>
      </c>
      <c r="E408" t="s">
        <v>26</v>
      </c>
      <c r="F408">
        <v>1994</v>
      </c>
      <c r="G408">
        <v>197</v>
      </c>
      <c r="H408">
        <v>290</v>
      </c>
      <c r="I408">
        <v>49500</v>
      </c>
      <c r="J408">
        <v>23343</v>
      </c>
      <c r="K408">
        <v>160</v>
      </c>
      <c r="L408" t="s">
        <v>24</v>
      </c>
      <c r="M408" t="s">
        <v>62</v>
      </c>
    </row>
    <row r="409" spans="1:13" x14ac:dyDescent="0.3">
      <c r="A409" t="s">
        <v>312</v>
      </c>
      <c r="B409" t="s">
        <v>7</v>
      </c>
      <c r="C409" s="12">
        <v>45691</v>
      </c>
      <c r="D409" t="s">
        <v>45</v>
      </c>
      <c r="E409" t="s">
        <v>23</v>
      </c>
      <c r="F409">
        <v>4995</v>
      </c>
      <c r="G409">
        <v>231</v>
      </c>
      <c r="H409">
        <v>94</v>
      </c>
      <c r="I409">
        <v>34431</v>
      </c>
      <c r="J409">
        <v>32560</v>
      </c>
      <c r="K409">
        <v>262</v>
      </c>
      <c r="L409" t="s">
        <v>33</v>
      </c>
      <c r="M409" t="s">
        <v>60</v>
      </c>
    </row>
    <row r="410" spans="1:13" x14ac:dyDescent="0.3">
      <c r="A410" t="s">
        <v>313</v>
      </c>
      <c r="B410" t="s">
        <v>7</v>
      </c>
      <c r="C410" s="12">
        <v>45385</v>
      </c>
      <c r="D410" t="s">
        <v>44</v>
      </c>
      <c r="E410" t="s">
        <v>32</v>
      </c>
      <c r="F410">
        <v>2291</v>
      </c>
      <c r="G410">
        <v>146</v>
      </c>
      <c r="H410">
        <v>399</v>
      </c>
      <c r="I410">
        <v>49319</v>
      </c>
      <c r="J410">
        <v>28056</v>
      </c>
      <c r="K410">
        <v>90</v>
      </c>
      <c r="L410" t="s">
        <v>27</v>
      </c>
      <c r="M410" t="s">
        <v>60</v>
      </c>
    </row>
    <row r="411" spans="1:13" x14ac:dyDescent="0.3">
      <c r="A411" t="s">
        <v>313</v>
      </c>
      <c r="B411" t="s">
        <v>7</v>
      </c>
      <c r="C411" s="12">
        <v>45385</v>
      </c>
      <c r="D411" t="s">
        <v>44</v>
      </c>
      <c r="E411" t="s">
        <v>32</v>
      </c>
      <c r="F411">
        <v>2291</v>
      </c>
      <c r="G411">
        <v>146</v>
      </c>
      <c r="H411">
        <v>399</v>
      </c>
      <c r="I411">
        <v>49319</v>
      </c>
      <c r="J411">
        <v>28056</v>
      </c>
      <c r="K411">
        <v>90</v>
      </c>
      <c r="L411" t="s">
        <v>36</v>
      </c>
      <c r="M411" t="s">
        <v>60</v>
      </c>
    </row>
    <row r="412" spans="1:13" x14ac:dyDescent="0.3">
      <c r="A412" t="s">
        <v>314</v>
      </c>
      <c r="B412" t="s">
        <v>7</v>
      </c>
      <c r="C412" s="12">
        <v>45481</v>
      </c>
      <c r="D412" t="s">
        <v>44</v>
      </c>
      <c r="E412" t="s">
        <v>29</v>
      </c>
      <c r="F412">
        <v>2304</v>
      </c>
      <c r="G412">
        <v>289</v>
      </c>
      <c r="H412">
        <v>161</v>
      </c>
      <c r="I412">
        <v>52645</v>
      </c>
      <c r="J412">
        <v>66262</v>
      </c>
      <c r="K412">
        <v>146</v>
      </c>
      <c r="L412" t="s">
        <v>36</v>
      </c>
      <c r="M412" t="s">
        <v>60</v>
      </c>
    </row>
    <row r="413" spans="1:13" x14ac:dyDescent="0.3">
      <c r="A413" t="s">
        <v>314</v>
      </c>
      <c r="B413" t="s">
        <v>7</v>
      </c>
      <c r="C413" s="12">
        <v>45481</v>
      </c>
      <c r="D413" t="s">
        <v>44</v>
      </c>
      <c r="E413" t="s">
        <v>29</v>
      </c>
      <c r="F413">
        <v>2304</v>
      </c>
      <c r="G413">
        <v>289</v>
      </c>
      <c r="H413">
        <v>161</v>
      </c>
      <c r="I413">
        <v>52645</v>
      </c>
      <c r="J413">
        <v>66262</v>
      </c>
      <c r="K413">
        <v>146</v>
      </c>
      <c r="L413" t="s">
        <v>33</v>
      </c>
      <c r="M413" t="s">
        <v>60</v>
      </c>
    </row>
    <row r="414" spans="1:13" x14ac:dyDescent="0.3">
      <c r="A414" t="s">
        <v>315</v>
      </c>
      <c r="B414" t="s">
        <v>7</v>
      </c>
      <c r="C414" s="12">
        <v>45451</v>
      </c>
      <c r="D414" t="s">
        <v>44</v>
      </c>
      <c r="E414" t="s">
        <v>32</v>
      </c>
      <c r="F414">
        <v>3413</v>
      </c>
      <c r="G414">
        <v>326</v>
      </c>
      <c r="H414">
        <v>86</v>
      </c>
      <c r="I414">
        <v>44680</v>
      </c>
      <c r="J414">
        <v>52719</v>
      </c>
      <c r="K414">
        <v>272</v>
      </c>
      <c r="L414" t="s">
        <v>27</v>
      </c>
      <c r="M414" t="s">
        <v>60</v>
      </c>
    </row>
    <row r="415" spans="1:13" x14ac:dyDescent="0.3">
      <c r="A415" t="s">
        <v>315</v>
      </c>
      <c r="B415" t="s">
        <v>7</v>
      </c>
      <c r="C415" s="12">
        <v>45451</v>
      </c>
      <c r="D415" t="s">
        <v>44</v>
      </c>
      <c r="E415" t="s">
        <v>32</v>
      </c>
      <c r="F415">
        <v>3413</v>
      </c>
      <c r="G415">
        <v>326</v>
      </c>
      <c r="H415">
        <v>86</v>
      </c>
      <c r="I415">
        <v>44680</v>
      </c>
      <c r="J415">
        <v>52719</v>
      </c>
      <c r="K415">
        <v>272</v>
      </c>
      <c r="L415" t="s">
        <v>36</v>
      </c>
      <c r="M415" t="s">
        <v>60</v>
      </c>
    </row>
    <row r="416" spans="1:13" x14ac:dyDescent="0.3">
      <c r="A416" t="s">
        <v>316</v>
      </c>
      <c r="B416" t="s">
        <v>13</v>
      </c>
      <c r="C416" s="12">
        <v>45736</v>
      </c>
      <c r="D416" t="s">
        <v>46</v>
      </c>
      <c r="E416" t="s">
        <v>26</v>
      </c>
      <c r="F416">
        <v>1453</v>
      </c>
      <c r="G416">
        <v>156</v>
      </c>
      <c r="H416">
        <v>178</v>
      </c>
      <c r="I416">
        <v>52980</v>
      </c>
      <c r="J416">
        <v>57180</v>
      </c>
      <c r="K416">
        <v>286</v>
      </c>
      <c r="L416" t="s">
        <v>27</v>
      </c>
      <c r="M416" t="s">
        <v>85</v>
      </c>
    </row>
    <row r="417" spans="1:13" x14ac:dyDescent="0.3">
      <c r="A417" t="s">
        <v>316</v>
      </c>
      <c r="B417" t="s">
        <v>13</v>
      </c>
      <c r="C417" s="12">
        <v>45736</v>
      </c>
      <c r="D417" t="s">
        <v>46</v>
      </c>
      <c r="E417" t="s">
        <v>26</v>
      </c>
      <c r="F417">
        <v>1453</v>
      </c>
      <c r="G417">
        <v>156</v>
      </c>
      <c r="H417">
        <v>178</v>
      </c>
      <c r="I417">
        <v>52980</v>
      </c>
      <c r="J417">
        <v>57180</v>
      </c>
      <c r="K417">
        <v>286</v>
      </c>
      <c r="L417" t="s">
        <v>30</v>
      </c>
      <c r="M417" t="s">
        <v>85</v>
      </c>
    </row>
    <row r="418" spans="1:13" x14ac:dyDescent="0.3">
      <c r="A418" t="s">
        <v>317</v>
      </c>
      <c r="B418" t="s">
        <v>7</v>
      </c>
      <c r="C418" s="12">
        <v>45676</v>
      </c>
      <c r="D418" t="s">
        <v>44</v>
      </c>
      <c r="E418" t="s">
        <v>35</v>
      </c>
      <c r="F418">
        <v>1651</v>
      </c>
      <c r="G418">
        <v>480</v>
      </c>
      <c r="H418">
        <v>282</v>
      </c>
      <c r="I418">
        <v>32140</v>
      </c>
      <c r="J418">
        <v>70560</v>
      </c>
      <c r="K418">
        <v>138</v>
      </c>
      <c r="L418" t="s">
        <v>30</v>
      </c>
      <c r="M418" t="s">
        <v>60</v>
      </c>
    </row>
    <row r="419" spans="1:13" x14ac:dyDescent="0.3">
      <c r="A419" t="s">
        <v>317</v>
      </c>
      <c r="B419" t="s">
        <v>7</v>
      </c>
      <c r="C419" s="12">
        <v>45676</v>
      </c>
      <c r="D419" t="s">
        <v>44</v>
      </c>
      <c r="E419" t="s">
        <v>35</v>
      </c>
      <c r="F419">
        <v>1651</v>
      </c>
      <c r="G419">
        <v>480</v>
      </c>
      <c r="H419">
        <v>282</v>
      </c>
      <c r="I419">
        <v>32140</v>
      </c>
      <c r="J419">
        <v>70560</v>
      </c>
      <c r="K419">
        <v>138</v>
      </c>
      <c r="L419" t="s">
        <v>33</v>
      </c>
      <c r="M419" t="s">
        <v>60</v>
      </c>
    </row>
    <row r="420" spans="1:13" x14ac:dyDescent="0.3">
      <c r="A420" t="s">
        <v>318</v>
      </c>
      <c r="B420" t="s">
        <v>7</v>
      </c>
      <c r="C420" s="12">
        <v>45662</v>
      </c>
      <c r="D420" t="s">
        <v>44</v>
      </c>
      <c r="E420" t="s">
        <v>15</v>
      </c>
      <c r="F420">
        <v>3341</v>
      </c>
      <c r="G420">
        <v>154</v>
      </c>
      <c r="H420">
        <v>123</v>
      </c>
      <c r="I420">
        <v>43369</v>
      </c>
      <c r="J420">
        <v>49035</v>
      </c>
      <c r="K420">
        <v>128</v>
      </c>
      <c r="L420" t="s">
        <v>36</v>
      </c>
      <c r="M420" t="s">
        <v>60</v>
      </c>
    </row>
    <row r="421" spans="1:13" x14ac:dyDescent="0.3">
      <c r="A421" t="s">
        <v>318</v>
      </c>
      <c r="B421" t="s">
        <v>7</v>
      </c>
      <c r="C421" s="12">
        <v>45662</v>
      </c>
      <c r="D421" t="s">
        <v>44</v>
      </c>
      <c r="E421" t="s">
        <v>15</v>
      </c>
      <c r="F421">
        <v>3341</v>
      </c>
      <c r="G421">
        <v>154</v>
      </c>
      <c r="H421">
        <v>123</v>
      </c>
      <c r="I421">
        <v>43369</v>
      </c>
      <c r="J421">
        <v>49035</v>
      </c>
      <c r="K421">
        <v>128</v>
      </c>
      <c r="L421" t="s">
        <v>33</v>
      </c>
      <c r="M421" t="s">
        <v>60</v>
      </c>
    </row>
    <row r="422" spans="1:13" x14ac:dyDescent="0.3">
      <c r="A422" t="s">
        <v>319</v>
      </c>
      <c r="B422" t="s">
        <v>7</v>
      </c>
      <c r="C422" s="12">
        <v>45612</v>
      </c>
      <c r="D422" t="s">
        <v>45</v>
      </c>
      <c r="E422" t="s">
        <v>26</v>
      </c>
      <c r="F422">
        <v>2972</v>
      </c>
      <c r="G422">
        <v>263</v>
      </c>
      <c r="H422">
        <v>308</v>
      </c>
      <c r="I422">
        <v>51740</v>
      </c>
      <c r="J422">
        <v>28214</v>
      </c>
      <c r="K422">
        <v>190</v>
      </c>
      <c r="L422" t="s">
        <v>30</v>
      </c>
      <c r="M422" t="s">
        <v>62</v>
      </c>
    </row>
    <row r="423" spans="1:13" x14ac:dyDescent="0.3">
      <c r="A423" t="s">
        <v>320</v>
      </c>
      <c r="B423" t="s">
        <v>7</v>
      </c>
      <c r="C423" s="12">
        <v>45626</v>
      </c>
      <c r="D423" t="s">
        <v>44</v>
      </c>
      <c r="E423" t="s">
        <v>15</v>
      </c>
      <c r="F423">
        <v>4963</v>
      </c>
      <c r="G423">
        <v>255</v>
      </c>
      <c r="H423">
        <v>193</v>
      </c>
      <c r="I423">
        <v>44386</v>
      </c>
      <c r="J423">
        <v>28415</v>
      </c>
      <c r="K423">
        <v>174</v>
      </c>
      <c r="L423" t="s">
        <v>36</v>
      </c>
      <c r="M423" t="s">
        <v>60</v>
      </c>
    </row>
    <row r="424" spans="1:13" x14ac:dyDescent="0.3">
      <c r="A424" t="s">
        <v>320</v>
      </c>
      <c r="B424" t="s">
        <v>7</v>
      </c>
      <c r="C424" s="12">
        <v>45626</v>
      </c>
      <c r="D424" t="s">
        <v>44</v>
      </c>
      <c r="E424" t="s">
        <v>15</v>
      </c>
      <c r="F424">
        <v>4963</v>
      </c>
      <c r="G424">
        <v>255</v>
      </c>
      <c r="H424">
        <v>193</v>
      </c>
      <c r="I424">
        <v>44386</v>
      </c>
      <c r="J424">
        <v>28415</v>
      </c>
      <c r="K424">
        <v>174</v>
      </c>
      <c r="L424" t="s">
        <v>33</v>
      </c>
      <c r="M424" t="s">
        <v>60</v>
      </c>
    </row>
    <row r="425" spans="1:13" x14ac:dyDescent="0.3">
      <c r="A425" t="s">
        <v>321</v>
      </c>
      <c r="B425" t="s">
        <v>13</v>
      </c>
      <c r="C425" s="12">
        <v>45378</v>
      </c>
      <c r="D425" t="s">
        <v>45</v>
      </c>
      <c r="E425" t="s">
        <v>35</v>
      </c>
      <c r="F425">
        <v>2399</v>
      </c>
      <c r="G425">
        <v>191</v>
      </c>
      <c r="H425">
        <v>221</v>
      </c>
      <c r="I425">
        <v>51603</v>
      </c>
      <c r="J425">
        <v>40033</v>
      </c>
      <c r="K425">
        <v>173</v>
      </c>
      <c r="L425" t="s">
        <v>27</v>
      </c>
      <c r="M425" t="s">
        <v>62</v>
      </c>
    </row>
    <row r="426" spans="1:13" x14ac:dyDescent="0.3">
      <c r="A426" t="s">
        <v>321</v>
      </c>
      <c r="B426" t="s">
        <v>13</v>
      </c>
      <c r="C426" s="12">
        <v>45378</v>
      </c>
      <c r="D426" t="s">
        <v>45</v>
      </c>
      <c r="E426" t="s">
        <v>35</v>
      </c>
      <c r="F426">
        <v>2399</v>
      </c>
      <c r="G426">
        <v>191</v>
      </c>
      <c r="H426">
        <v>221</v>
      </c>
      <c r="I426">
        <v>51603</v>
      </c>
      <c r="J426">
        <v>40033</v>
      </c>
      <c r="K426">
        <v>173</v>
      </c>
      <c r="L426" t="s">
        <v>24</v>
      </c>
      <c r="M426" t="s">
        <v>62</v>
      </c>
    </row>
    <row r="427" spans="1:13" x14ac:dyDescent="0.3">
      <c r="A427" t="s">
        <v>322</v>
      </c>
      <c r="B427" t="s">
        <v>13</v>
      </c>
      <c r="C427" s="12">
        <v>45808</v>
      </c>
      <c r="D427" t="s">
        <v>46</v>
      </c>
      <c r="E427" t="s">
        <v>9</v>
      </c>
      <c r="F427">
        <v>2162</v>
      </c>
      <c r="G427">
        <v>318</v>
      </c>
      <c r="H427">
        <v>83</v>
      </c>
      <c r="I427">
        <v>46719</v>
      </c>
      <c r="J427">
        <v>20482</v>
      </c>
      <c r="K427">
        <v>185</v>
      </c>
      <c r="L427" t="s">
        <v>27</v>
      </c>
      <c r="M427" t="s">
        <v>85</v>
      </c>
    </row>
    <row r="428" spans="1:13" x14ac:dyDescent="0.3">
      <c r="A428" t="s">
        <v>322</v>
      </c>
      <c r="B428" t="s">
        <v>13</v>
      </c>
      <c r="C428" s="12">
        <v>45808</v>
      </c>
      <c r="D428" t="s">
        <v>46</v>
      </c>
      <c r="E428" t="s">
        <v>9</v>
      </c>
      <c r="F428">
        <v>2162</v>
      </c>
      <c r="G428">
        <v>318</v>
      </c>
      <c r="H428">
        <v>83</v>
      </c>
      <c r="I428">
        <v>46719</v>
      </c>
      <c r="J428">
        <v>20482</v>
      </c>
      <c r="K428">
        <v>185</v>
      </c>
      <c r="L428" t="s">
        <v>30</v>
      </c>
      <c r="M428" t="s">
        <v>85</v>
      </c>
    </row>
    <row r="429" spans="1:13" x14ac:dyDescent="0.3">
      <c r="A429" t="s">
        <v>323</v>
      </c>
      <c r="B429" t="s">
        <v>7</v>
      </c>
      <c r="C429" s="12">
        <v>45825</v>
      </c>
      <c r="D429" t="s">
        <v>44</v>
      </c>
      <c r="E429" t="s">
        <v>15</v>
      </c>
      <c r="F429">
        <v>4341</v>
      </c>
      <c r="G429">
        <v>141</v>
      </c>
      <c r="H429">
        <v>63</v>
      </c>
      <c r="I429">
        <v>50081</v>
      </c>
      <c r="J429">
        <v>27507</v>
      </c>
      <c r="K429">
        <v>221</v>
      </c>
      <c r="L429" t="s">
        <v>27</v>
      </c>
      <c r="M429" t="s">
        <v>60</v>
      </c>
    </row>
    <row r="430" spans="1:13" x14ac:dyDescent="0.3">
      <c r="A430" t="s">
        <v>323</v>
      </c>
      <c r="B430" t="s">
        <v>7</v>
      </c>
      <c r="C430" s="12">
        <v>45825</v>
      </c>
      <c r="D430" t="s">
        <v>44</v>
      </c>
      <c r="E430" t="s">
        <v>15</v>
      </c>
      <c r="F430">
        <v>4341</v>
      </c>
      <c r="G430">
        <v>141</v>
      </c>
      <c r="H430">
        <v>63</v>
      </c>
      <c r="I430">
        <v>50081</v>
      </c>
      <c r="J430">
        <v>27507</v>
      </c>
      <c r="K430">
        <v>221</v>
      </c>
      <c r="L430" t="s">
        <v>36</v>
      </c>
      <c r="M430" t="s">
        <v>60</v>
      </c>
    </row>
    <row r="431" spans="1:13" x14ac:dyDescent="0.3">
      <c r="A431" t="s">
        <v>324</v>
      </c>
      <c r="B431" t="s">
        <v>10</v>
      </c>
      <c r="C431" s="12">
        <v>45442</v>
      </c>
      <c r="D431" t="s">
        <v>44</v>
      </c>
      <c r="E431" t="s">
        <v>9</v>
      </c>
      <c r="F431">
        <v>2448</v>
      </c>
      <c r="G431">
        <v>464</v>
      </c>
      <c r="H431">
        <v>98</v>
      </c>
      <c r="I431">
        <v>25737</v>
      </c>
      <c r="J431">
        <v>48545</v>
      </c>
      <c r="K431">
        <v>246</v>
      </c>
      <c r="L431" t="s">
        <v>33</v>
      </c>
      <c r="M431" t="s">
        <v>82</v>
      </c>
    </row>
    <row r="432" spans="1:13" x14ac:dyDescent="0.3">
      <c r="A432" t="s">
        <v>325</v>
      </c>
      <c r="B432" t="s">
        <v>13</v>
      </c>
      <c r="C432" s="12">
        <v>45604</v>
      </c>
      <c r="D432" t="s">
        <v>45</v>
      </c>
      <c r="E432" t="s">
        <v>32</v>
      </c>
      <c r="F432">
        <v>2471</v>
      </c>
      <c r="G432">
        <v>166</v>
      </c>
      <c r="H432">
        <v>320</v>
      </c>
      <c r="I432">
        <v>48254</v>
      </c>
      <c r="J432">
        <v>46900</v>
      </c>
      <c r="K432">
        <v>111</v>
      </c>
      <c r="L432" t="s">
        <v>27</v>
      </c>
      <c r="M432" t="s">
        <v>62</v>
      </c>
    </row>
    <row r="433" spans="1:13" x14ac:dyDescent="0.3">
      <c r="A433" t="s">
        <v>325</v>
      </c>
      <c r="B433" t="s">
        <v>13</v>
      </c>
      <c r="C433" s="12">
        <v>45604</v>
      </c>
      <c r="D433" t="s">
        <v>45</v>
      </c>
      <c r="E433" t="s">
        <v>32</v>
      </c>
      <c r="F433">
        <v>2471</v>
      </c>
      <c r="G433">
        <v>166</v>
      </c>
      <c r="H433">
        <v>320</v>
      </c>
      <c r="I433">
        <v>48254</v>
      </c>
      <c r="J433">
        <v>46900</v>
      </c>
      <c r="K433">
        <v>111</v>
      </c>
      <c r="L433" t="s">
        <v>24</v>
      </c>
      <c r="M433" t="s">
        <v>62</v>
      </c>
    </row>
    <row r="434" spans="1:13" x14ac:dyDescent="0.3">
      <c r="A434" t="s">
        <v>326</v>
      </c>
      <c r="B434" t="s">
        <v>13</v>
      </c>
      <c r="C434" s="12">
        <v>45368</v>
      </c>
      <c r="D434" t="s">
        <v>46</v>
      </c>
      <c r="E434" t="s">
        <v>15</v>
      </c>
      <c r="F434">
        <v>2692</v>
      </c>
      <c r="G434">
        <v>446</v>
      </c>
      <c r="H434">
        <v>216</v>
      </c>
      <c r="I434">
        <v>45818</v>
      </c>
      <c r="J434">
        <v>62723</v>
      </c>
      <c r="K434">
        <v>85</v>
      </c>
      <c r="L434" t="s">
        <v>27</v>
      </c>
      <c r="M434" t="s">
        <v>85</v>
      </c>
    </row>
    <row r="435" spans="1:13" x14ac:dyDescent="0.3">
      <c r="A435" t="s">
        <v>326</v>
      </c>
      <c r="B435" t="s">
        <v>13</v>
      </c>
      <c r="C435" s="12">
        <v>45368</v>
      </c>
      <c r="D435" t="s">
        <v>46</v>
      </c>
      <c r="E435" t="s">
        <v>15</v>
      </c>
      <c r="F435">
        <v>2692</v>
      </c>
      <c r="G435">
        <v>446</v>
      </c>
      <c r="H435">
        <v>216</v>
      </c>
      <c r="I435">
        <v>45818</v>
      </c>
      <c r="J435">
        <v>62723</v>
      </c>
      <c r="K435">
        <v>85</v>
      </c>
      <c r="L435" t="s">
        <v>30</v>
      </c>
      <c r="M435" t="s">
        <v>85</v>
      </c>
    </row>
    <row r="436" spans="1:13" x14ac:dyDescent="0.3">
      <c r="A436" t="s">
        <v>327</v>
      </c>
      <c r="B436" t="s">
        <v>13</v>
      </c>
      <c r="C436" s="12">
        <v>45464</v>
      </c>
      <c r="D436" t="s">
        <v>46</v>
      </c>
      <c r="E436" t="s">
        <v>35</v>
      </c>
      <c r="F436">
        <v>4621</v>
      </c>
      <c r="G436">
        <v>374</v>
      </c>
      <c r="H436">
        <v>298</v>
      </c>
      <c r="I436">
        <v>56979</v>
      </c>
      <c r="J436">
        <v>24098</v>
      </c>
      <c r="K436">
        <v>205</v>
      </c>
      <c r="L436" t="s">
        <v>27</v>
      </c>
      <c r="M436" t="s">
        <v>85</v>
      </c>
    </row>
    <row r="437" spans="1:13" x14ac:dyDescent="0.3">
      <c r="A437" t="s">
        <v>327</v>
      </c>
      <c r="B437" t="s">
        <v>13</v>
      </c>
      <c r="C437" s="12">
        <v>45464</v>
      </c>
      <c r="D437" t="s">
        <v>46</v>
      </c>
      <c r="E437" t="s">
        <v>35</v>
      </c>
      <c r="F437">
        <v>4621</v>
      </c>
      <c r="G437">
        <v>374</v>
      </c>
      <c r="H437">
        <v>298</v>
      </c>
      <c r="I437">
        <v>56979</v>
      </c>
      <c r="J437">
        <v>24098</v>
      </c>
      <c r="K437">
        <v>205</v>
      </c>
      <c r="L437" t="s">
        <v>30</v>
      </c>
      <c r="M437" t="s">
        <v>85</v>
      </c>
    </row>
    <row r="438" spans="1:13" x14ac:dyDescent="0.3">
      <c r="A438" t="s">
        <v>328</v>
      </c>
      <c r="B438" t="s">
        <v>7</v>
      </c>
      <c r="C438" s="12">
        <v>45609</v>
      </c>
      <c r="D438" t="s">
        <v>44</v>
      </c>
      <c r="E438" t="s">
        <v>12</v>
      </c>
      <c r="F438">
        <v>1409</v>
      </c>
      <c r="G438">
        <v>466</v>
      </c>
      <c r="H438">
        <v>105</v>
      </c>
      <c r="I438">
        <v>58923</v>
      </c>
      <c r="J438">
        <v>38753</v>
      </c>
      <c r="K438">
        <v>265</v>
      </c>
      <c r="L438" t="s">
        <v>27</v>
      </c>
      <c r="M438" t="s">
        <v>60</v>
      </c>
    </row>
    <row r="439" spans="1:13" x14ac:dyDescent="0.3">
      <c r="A439" t="s">
        <v>328</v>
      </c>
      <c r="B439" t="s">
        <v>7</v>
      </c>
      <c r="C439" s="12">
        <v>45609</v>
      </c>
      <c r="D439" t="s">
        <v>44</v>
      </c>
      <c r="E439" t="s">
        <v>12</v>
      </c>
      <c r="F439">
        <v>1409</v>
      </c>
      <c r="G439">
        <v>466</v>
      </c>
      <c r="H439">
        <v>105</v>
      </c>
      <c r="I439">
        <v>58923</v>
      </c>
      <c r="J439">
        <v>38753</v>
      </c>
      <c r="K439">
        <v>265</v>
      </c>
      <c r="L439" t="s">
        <v>36</v>
      </c>
      <c r="M439" t="s">
        <v>60</v>
      </c>
    </row>
    <row r="440" spans="1:13" x14ac:dyDescent="0.3">
      <c r="A440" t="s">
        <v>329</v>
      </c>
      <c r="B440" t="s">
        <v>7</v>
      </c>
      <c r="C440" s="12">
        <v>45693</v>
      </c>
      <c r="D440" t="s">
        <v>44</v>
      </c>
      <c r="E440" t="s">
        <v>19</v>
      </c>
      <c r="F440">
        <v>3029</v>
      </c>
      <c r="G440">
        <v>440</v>
      </c>
      <c r="H440">
        <v>66</v>
      </c>
      <c r="I440">
        <v>23815</v>
      </c>
      <c r="J440">
        <v>47895</v>
      </c>
      <c r="K440">
        <v>210</v>
      </c>
      <c r="L440" t="s">
        <v>27</v>
      </c>
      <c r="M440" t="s">
        <v>60</v>
      </c>
    </row>
    <row r="441" spans="1:13" x14ac:dyDescent="0.3">
      <c r="A441" t="s">
        <v>329</v>
      </c>
      <c r="B441" t="s">
        <v>7</v>
      </c>
      <c r="C441" s="12">
        <v>45693</v>
      </c>
      <c r="D441" t="s">
        <v>44</v>
      </c>
      <c r="E441" t="s">
        <v>19</v>
      </c>
      <c r="F441">
        <v>3029</v>
      </c>
      <c r="G441">
        <v>440</v>
      </c>
      <c r="H441">
        <v>66</v>
      </c>
      <c r="I441">
        <v>23815</v>
      </c>
      <c r="J441">
        <v>47895</v>
      </c>
      <c r="K441">
        <v>210</v>
      </c>
      <c r="L441" t="s">
        <v>36</v>
      </c>
      <c r="M441" t="s">
        <v>60</v>
      </c>
    </row>
    <row r="442" spans="1:13" x14ac:dyDescent="0.3">
      <c r="A442" t="s">
        <v>330</v>
      </c>
      <c r="B442" t="s">
        <v>7</v>
      </c>
      <c r="C442" s="12">
        <v>45603</v>
      </c>
      <c r="D442" t="s">
        <v>45</v>
      </c>
      <c r="E442" t="s">
        <v>15</v>
      </c>
      <c r="F442">
        <v>2229</v>
      </c>
      <c r="G442">
        <v>395</v>
      </c>
      <c r="H442">
        <v>328</v>
      </c>
      <c r="I442">
        <v>56921</v>
      </c>
      <c r="J442">
        <v>37176</v>
      </c>
      <c r="K442">
        <v>126</v>
      </c>
      <c r="L442" t="s">
        <v>30</v>
      </c>
      <c r="M442" t="s">
        <v>62</v>
      </c>
    </row>
    <row r="443" spans="1:13" x14ac:dyDescent="0.3">
      <c r="A443" t="s">
        <v>331</v>
      </c>
      <c r="B443" t="s">
        <v>7</v>
      </c>
      <c r="C443" s="12">
        <v>45334</v>
      </c>
      <c r="D443" t="s">
        <v>45</v>
      </c>
      <c r="E443" t="s">
        <v>15</v>
      </c>
      <c r="F443">
        <v>2691</v>
      </c>
      <c r="G443">
        <v>486</v>
      </c>
      <c r="H443">
        <v>206</v>
      </c>
      <c r="I443">
        <v>51133</v>
      </c>
      <c r="J443">
        <v>44583</v>
      </c>
      <c r="K443">
        <v>276</v>
      </c>
      <c r="L443" t="s">
        <v>33</v>
      </c>
      <c r="M443" t="s">
        <v>60</v>
      </c>
    </row>
    <row r="444" spans="1:13" x14ac:dyDescent="0.3">
      <c r="A444" t="s">
        <v>332</v>
      </c>
      <c r="B444" t="s">
        <v>10</v>
      </c>
      <c r="C444" s="12">
        <v>45573</v>
      </c>
      <c r="D444" t="s">
        <v>45</v>
      </c>
      <c r="E444" t="s">
        <v>15</v>
      </c>
      <c r="F444">
        <v>2110</v>
      </c>
      <c r="G444">
        <v>384</v>
      </c>
      <c r="H444">
        <v>236</v>
      </c>
      <c r="I444">
        <v>49965</v>
      </c>
      <c r="J444">
        <v>61555</v>
      </c>
      <c r="K444">
        <v>195</v>
      </c>
      <c r="L444" t="s">
        <v>27</v>
      </c>
      <c r="M444" t="s">
        <v>62</v>
      </c>
    </row>
    <row r="445" spans="1:13" x14ac:dyDescent="0.3">
      <c r="A445" t="s">
        <v>333</v>
      </c>
      <c r="B445" t="s">
        <v>10</v>
      </c>
      <c r="C445" s="12">
        <v>45341</v>
      </c>
      <c r="D445" t="s">
        <v>45</v>
      </c>
      <c r="E445" t="s">
        <v>29</v>
      </c>
      <c r="F445">
        <v>4752</v>
      </c>
      <c r="G445">
        <v>449</v>
      </c>
      <c r="H445">
        <v>309</v>
      </c>
      <c r="I445">
        <v>58530</v>
      </c>
      <c r="J445">
        <v>26630</v>
      </c>
      <c r="K445">
        <v>234</v>
      </c>
      <c r="L445" t="s">
        <v>27</v>
      </c>
      <c r="M445" t="s">
        <v>62</v>
      </c>
    </row>
    <row r="446" spans="1:13" x14ac:dyDescent="0.3">
      <c r="A446" t="s">
        <v>334</v>
      </c>
      <c r="B446" t="s">
        <v>7</v>
      </c>
      <c r="C446" s="12">
        <v>45720</v>
      </c>
      <c r="D446" t="s">
        <v>45</v>
      </c>
      <c r="E446" t="s">
        <v>19</v>
      </c>
      <c r="F446">
        <v>2177</v>
      </c>
      <c r="G446">
        <v>258</v>
      </c>
      <c r="H446">
        <v>292</v>
      </c>
      <c r="I446">
        <v>47276</v>
      </c>
      <c r="J446">
        <v>51324</v>
      </c>
      <c r="K446">
        <v>143</v>
      </c>
      <c r="L446" t="s">
        <v>33</v>
      </c>
      <c r="M446" t="s">
        <v>60</v>
      </c>
    </row>
    <row r="447" spans="1:13" x14ac:dyDescent="0.3">
      <c r="A447" t="s">
        <v>335</v>
      </c>
      <c r="B447" t="s">
        <v>10</v>
      </c>
      <c r="C447" s="12">
        <v>45691</v>
      </c>
      <c r="D447" t="s">
        <v>44</v>
      </c>
      <c r="E447" t="s">
        <v>12</v>
      </c>
      <c r="F447">
        <v>1205</v>
      </c>
      <c r="G447">
        <v>486</v>
      </c>
      <c r="H447">
        <v>269</v>
      </c>
      <c r="I447">
        <v>23341</v>
      </c>
      <c r="J447">
        <v>42411</v>
      </c>
      <c r="K447">
        <v>184</v>
      </c>
      <c r="L447" t="s">
        <v>33</v>
      </c>
      <c r="M447" t="s">
        <v>82</v>
      </c>
    </row>
    <row r="448" spans="1:13" x14ac:dyDescent="0.3">
      <c r="A448" t="s">
        <v>336</v>
      </c>
      <c r="B448" t="s">
        <v>10</v>
      </c>
      <c r="C448" s="12">
        <v>45628</v>
      </c>
      <c r="D448" t="s">
        <v>45</v>
      </c>
      <c r="E448" t="s">
        <v>32</v>
      </c>
      <c r="F448">
        <v>3194</v>
      </c>
      <c r="G448">
        <v>292</v>
      </c>
      <c r="H448">
        <v>245</v>
      </c>
      <c r="I448">
        <v>56371</v>
      </c>
      <c r="J448">
        <v>65597</v>
      </c>
      <c r="K448">
        <v>163</v>
      </c>
      <c r="L448" t="s">
        <v>30</v>
      </c>
      <c r="M448" t="s">
        <v>60</v>
      </c>
    </row>
    <row r="449" spans="1:13" x14ac:dyDescent="0.3">
      <c r="A449" t="s">
        <v>336</v>
      </c>
      <c r="B449" t="s">
        <v>10</v>
      </c>
      <c r="C449" s="12">
        <v>45628</v>
      </c>
      <c r="D449" t="s">
        <v>45</v>
      </c>
      <c r="E449" t="s">
        <v>32</v>
      </c>
      <c r="F449">
        <v>3194</v>
      </c>
      <c r="G449">
        <v>292</v>
      </c>
      <c r="H449">
        <v>245</v>
      </c>
      <c r="I449">
        <v>56371</v>
      </c>
      <c r="J449">
        <v>65597</v>
      </c>
      <c r="K449">
        <v>163</v>
      </c>
      <c r="L449" t="s">
        <v>33</v>
      </c>
      <c r="M449" t="s">
        <v>60</v>
      </c>
    </row>
    <row r="450" spans="1:13" x14ac:dyDescent="0.3">
      <c r="A450" s="14" t="s">
        <v>16</v>
      </c>
      <c r="B450" s="14" t="s">
        <v>7</v>
      </c>
      <c r="C450" s="15">
        <v>45676</v>
      </c>
      <c r="D450" s="14" t="s">
        <v>44</v>
      </c>
      <c r="E450" s="14" t="s">
        <v>12</v>
      </c>
      <c r="F450" s="14">
        <v>3507</v>
      </c>
      <c r="G450" s="14">
        <v>295</v>
      </c>
      <c r="H450" s="14">
        <v>371</v>
      </c>
      <c r="I450" s="14">
        <v>20410</v>
      </c>
      <c r="J450" s="14">
        <v>53965</v>
      </c>
      <c r="K450" s="14">
        <v>212</v>
      </c>
      <c r="L450" s="14" t="s">
        <v>30</v>
      </c>
      <c r="M450" s="14" t="s">
        <v>60</v>
      </c>
    </row>
    <row r="451" spans="1:13" x14ac:dyDescent="0.3">
      <c r="A451" t="s">
        <v>16</v>
      </c>
      <c r="B451" t="s">
        <v>7</v>
      </c>
      <c r="C451" s="12">
        <v>45676</v>
      </c>
      <c r="D451" t="s">
        <v>44</v>
      </c>
      <c r="E451" t="s">
        <v>12</v>
      </c>
      <c r="F451">
        <v>3507</v>
      </c>
      <c r="G451">
        <v>295</v>
      </c>
      <c r="H451">
        <v>371</v>
      </c>
      <c r="I451">
        <v>20410</v>
      </c>
      <c r="J451">
        <v>53965</v>
      </c>
      <c r="K451">
        <v>212</v>
      </c>
      <c r="L451" t="s">
        <v>33</v>
      </c>
      <c r="M451" t="s">
        <v>60</v>
      </c>
    </row>
    <row r="452" spans="1:13" x14ac:dyDescent="0.3">
      <c r="A452" s="14" t="s">
        <v>337</v>
      </c>
      <c r="B452" s="14" t="s">
        <v>7</v>
      </c>
      <c r="C452" s="15">
        <v>45563</v>
      </c>
      <c r="D452" s="14" t="s">
        <v>44</v>
      </c>
      <c r="E452" s="14" t="s">
        <v>29</v>
      </c>
      <c r="F452" s="14">
        <v>4471</v>
      </c>
      <c r="G452" s="14">
        <v>317</v>
      </c>
      <c r="H452" s="14">
        <v>249</v>
      </c>
      <c r="I452" s="14">
        <v>44862</v>
      </c>
      <c r="J452" s="14">
        <v>33365</v>
      </c>
      <c r="K452" s="14">
        <v>184</v>
      </c>
      <c r="L452" s="14" t="s">
        <v>27</v>
      </c>
      <c r="M452" s="14" t="s">
        <v>60</v>
      </c>
    </row>
    <row r="453" spans="1:13" x14ac:dyDescent="0.3">
      <c r="A453" t="s">
        <v>337</v>
      </c>
      <c r="B453" t="s">
        <v>7</v>
      </c>
      <c r="C453" s="12">
        <v>45563</v>
      </c>
      <c r="D453" t="s">
        <v>44</v>
      </c>
      <c r="E453" t="s">
        <v>29</v>
      </c>
      <c r="F453">
        <v>4471</v>
      </c>
      <c r="G453">
        <v>317</v>
      </c>
      <c r="H453">
        <v>249</v>
      </c>
      <c r="I453">
        <v>44862</v>
      </c>
      <c r="J453">
        <v>33365</v>
      </c>
      <c r="K453">
        <v>184</v>
      </c>
      <c r="L453" t="s">
        <v>36</v>
      </c>
      <c r="M453" t="s">
        <v>60</v>
      </c>
    </row>
    <row r="454" spans="1:13" x14ac:dyDescent="0.3">
      <c r="A454" s="14" t="s">
        <v>338</v>
      </c>
      <c r="B454" s="14" t="s">
        <v>10</v>
      </c>
      <c r="C454" s="15">
        <v>45298</v>
      </c>
      <c r="D454" s="14" t="s">
        <v>45</v>
      </c>
      <c r="E454" s="14" t="s">
        <v>32</v>
      </c>
      <c r="F454" s="14">
        <v>4931</v>
      </c>
      <c r="G454" s="14">
        <v>469</v>
      </c>
      <c r="H454" s="14">
        <v>193</v>
      </c>
      <c r="I454" s="14">
        <v>56701</v>
      </c>
      <c r="J454" s="14">
        <v>69437</v>
      </c>
      <c r="K454" s="14">
        <v>291</v>
      </c>
      <c r="L454" s="14" t="s">
        <v>30</v>
      </c>
      <c r="M454" s="14" t="s">
        <v>60</v>
      </c>
    </row>
    <row r="455" spans="1:13" x14ac:dyDescent="0.3">
      <c r="A455" t="s">
        <v>338</v>
      </c>
      <c r="B455" t="s">
        <v>10</v>
      </c>
      <c r="C455" s="12">
        <v>45298</v>
      </c>
      <c r="D455" t="s">
        <v>45</v>
      </c>
      <c r="E455" t="s">
        <v>32</v>
      </c>
      <c r="F455">
        <v>4931</v>
      </c>
      <c r="G455">
        <v>469</v>
      </c>
      <c r="H455">
        <v>193</v>
      </c>
      <c r="I455">
        <v>56701</v>
      </c>
      <c r="J455">
        <v>69437</v>
      </c>
      <c r="K455">
        <v>291</v>
      </c>
      <c r="L455" t="s">
        <v>33</v>
      </c>
      <c r="M455" t="s">
        <v>60</v>
      </c>
    </row>
    <row r="456" spans="1:13" x14ac:dyDescent="0.3">
      <c r="A456" s="14" t="s">
        <v>339</v>
      </c>
      <c r="B456" s="14" t="s">
        <v>7</v>
      </c>
      <c r="C456" s="15">
        <v>45343</v>
      </c>
      <c r="D456" s="14" t="s">
        <v>44</v>
      </c>
      <c r="E456" s="14" t="s">
        <v>9</v>
      </c>
      <c r="F456" s="14">
        <v>2604</v>
      </c>
      <c r="G456" s="14">
        <v>439</v>
      </c>
      <c r="H456" s="14">
        <v>148</v>
      </c>
      <c r="I456" s="14">
        <v>58468</v>
      </c>
      <c r="J456" s="14">
        <v>39629</v>
      </c>
      <c r="K456" s="14">
        <v>163</v>
      </c>
      <c r="L456" s="14" t="s">
        <v>36</v>
      </c>
      <c r="M456" s="14" t="s">
        <v>60</v>
      </c>
    </row>
    <row r="457" spans="1:13" x14ac:dyDescent="0.3">
      <c r="A457" t="s">
        <v>339</v>
      </c>
      <c r="B457" t="s">
        <v>7</v>
      </c>
      <c r="C457" s="12">
        <v>45343</v>
      </c>
      <c r="D457" t="s">
        <v>44</v>
      </c>
      <c r="E457" t="s">
        <v>9</v>
      </c>
      <c r="F457">
        <v>2604</v>
      </c>
      <c r="G457">
        <v>439</v>
      </c>
      <c r="H457">
        <v>148</v>
      </c>
      <c r="I457">
        <v>58468</v>
      </c>
      <c r="J457">
        <v>39629</v>
      </c>
      <c r="K457">
        <v>163</v>
      </c>
      <c r="L457" t="s">
        <v>33</v>
      </c>
      <c r="M457" t="s">
        <v>60</v>
      </c>
    </row>
    <row r="458" spans="1:13" x14ac:dyDescent="0.3">
      <c r="A458" s="14" t="s">
        <v>340</v>
      </c>
      <c r="B458" s="14" t="s">
        <v>10</v>
      </c>
      <c r="C458" s="15">
        <v>45531</v>
      </c>
      <c r="D458" s="14" t="s">
        <v>45</v>
      </c>
      <c r="E458" s="14" t="s">
        <v>35</v>
      </c>
      <c r="F458" s="14">
        <v>4197</v>
      </c>
      <c r="G458" s="14">
        <v>359</v>
      </c>
      <c r="H458" s="14">
        <v>280</v>
      </c>
      <c r="I458" s="14">
        <v>56048</v>
      </c>
      <c r="J458" s="14">
        <v>70930</v>
      </c>
      <c r="K458" s="14">
        <v>295</v>
      </c>
      <c r="L458" s="14" t="s">
        <v>27</v>
      </c>
      <c r="M458" s="14" t="s">
        <v>62</v>
      </c>
    </row>
    <row r="459" spans="1:13" x14ac:dyDescent="0.3">
      <c r="A459" t="s">
        <v>341</v>
      </c>
      <c r="B459" t="s">
        <v>10</v>
      </c>
      <c r="C459" s="12">
        <v>45589</v>
      </c>
      <c r="D459" t="s">
        <v>44</v>
      </c>
      <c r="E459" t="s">
        <v>32</v>
      </c>
      <c r="F459">
        <v>1914</v>
      </c>
      <c r="G459">
        <v>255</v>
      </c>
      <c r="H459">
        <v>156</v>
      </c>
      <c r="I459">
        <v>27660</v>
      </c>
      <c r="J459">
        <v>47776</v>
      </c>
      <c r="K459">
        <v>111</v>
      </c>
      <c r="L459" t="s">
        <v>33</v>
      </c>
      <c r="M459" t="s">
        <v>82</v>
      </c>
    </row>
    <row r="460" spans="1:13" x14ac:dyDescent="0.3">
      <c r="A460" s="14" t="s">
        <v>342</v>
      </c>
      <c r="B460" s="14" t="s">
        <v>13</v>
      </c>
      <c r="C460" s="15">
        <v>45686</v>
      </c>
      <c r="D460" s="14" t="s">
        <v>45</v>
      </c>
      <c r="E460" s="14" t="s">
        <v>12</v>
      </c>
      <c r="F460" s="14">
        <v>1334</v>
      </c>
      <c r="G460" s="14">
        <v>357</v>
      </c>
      <c r="H460" s="14">
        <v>257</v>
      </c>
      <c r="I460" s="14">
        <v>56910</v>
      </c>
      <c r="J460" s="14">
        <v>70606</v>
      </c>
      <c r="K460" s="14">
        <v>228</v>
      </c>
      <c r="L460" s="14" t="s">
        <v>27</v>
      </c>
      <c r="M460" s="14" t="s">
        <v>62</v>
      </c>
    </row>
    <row r="461" spans="1:13" x14ac:dyDescent="0.3">
      <c r="A461" t="s">
        <v>342</v>
      </c>
      <c r="B461" t="s">
        <v>13</v>
      </c>
      <c r="C461" s="12">
        <v>45686</v>
      </c>
      <c r="D461" t="s">
        <v>45</v>
      </c>
      <c r="E461" t="s">
        <v>12</v>
      </c>
      <c r="F461">
        <v>1334</v>
      </c>
      <c r="G461">
        <v>357</v>
      </c>
      <c r="H461">
        <v>257</v>
      </c>
      <c r="I461">
        <v>56910</v>
      </c>
      <c r="J461">
        <v>70606</v>
      </c>
      <c r="K461">
        <v>228</v>
      </c>
      <c r="L461" t="s">
        <v>24</v>
      </c>
      <c r="M461" t="s">
        <v>62</v>
      </c>
    </row>
    <row r="462" spans="1:13" x14ac:dyDescent="0.3">
      <c r="A462" s="14" t="s">
        <v>343</v>
      </c>
      <c r="B462" s="14" t="s">
        <v>10</v>
      </c>
      <c r="C462" s="15">
        <v>45413</v>
      </c>
      <c r="D462" s="14" t="s">
        <v>45</v>
      </c>
      <c r="E462" s="14" t="s">
        <v>9</v>
      </c>
      <c r="F462" s="14">
        <v>3359</v>
      </c>
      <c r="G462" s="14">
        <v>137</v>
      </c>
      <c r="H462" s="14">
        <v>387</v>
      </c>
      <c r="I462" s="14">
        <v>33861</v>
      </c>
      <c r="J462" s="14">
        <v>47257</v>
      </c>
      <c r="K462" s="14">
        <v>198</v>
      </c>
      <c r="L462" s="14" t="s">
        <v>27</v>
      </c>
      <c r="M462" s="14" t="s">
        <v>62</v>
      </c>
    </row>
    <row r="463" spans="1:13" x14ac:dyDescent="0.3">
      <c r="A463" t="s">
        <v>344</v>
      </c>
      <c r="B463" t="s">
        <v>13</v>
      </c>
      <c r="C463" s="12">
        <v>45468</v>
      </c>
      <c r="D463" t="s">
        <v>45</v>
      </c>
      <c r="E463" t="s">
        <v>78</v>
      </c>
      <c r="F463">
        <v>2172</v>
      </c>
      <c r="G463">
        <v>338</v>
      </c>
      <c r="H463">
        <v>70</v>
      </c>
      <c r="I463">
        <v>30515</v>
      </c>
      <c r="J463">
        <v>57853</v>
      </c>
      <c r="K463">
        <v>156</v>
      </c>
      <c r="L463" t="s">
        <v>27</v>
      </c>
      <c r="M463" t="s">
        <v>62</v>
      </c>
    </row>
    <row r="464" spans="1:13" x14ac:dyDescent="0.3">
      <c r="A464" s="14" t="s">
        <v>344</v>
      </c>
      <c r="B464" s="14" t="s">
        <v>13</v>
      </c>
      <c r="C464" s="15">
        <v>45468</v>
      </c>
      <c r="D464" s="14" t="s">
        <v>45</v>
      </c>
      <c r="E464" s="14" t="s">
        <v>78</v>
      </c>
      <c r="F464" s="14">
        <v>2172</v>
      </c>
      <c r="G464" s="14">
        <v>338</v>
      </c>
      <c r="H464" s="14">
        <v>70</v>
      </c>
      <c r="I464" s="14">
        <v>30515</v>
      </c>
      <c r="J464" s="14">
        <v>57853</v>
      </c>
      <c r="K464" s="14">
        <v>156</v>
      </c>
      <c r="L464" s="14" t="s">
        <v>24</v>
      </c>
      <c r="M464" s="14" t="s">
        <v>62</v>
      </c>
    </row>
    <row r="465" spans="1:13" x14ac:dyDescent="0.3">
      <c r="A465" t="s">
        <v>345</v>
      </c>
      <c r="B465" t="s">
        <v>7</v>
      </c>
      <c r="C465" s="12">
        <v>45513</v>
      </c>
      <c r="D465" t="s">
        <v>44</v>
      </c>
      <c r="E465" t="s">
        <v>26</v>
      </c>
      <c r="F465">
        <v>4877</v>
      </c>
      <c r="G465">
        <v>442</v>
      </c>
      <c r="H465">
        <v>236</v>
      </c>
      <c r="I465">
        <v>52673</v>
      </c>
      <c r="J465">
        <v>48241</v>
      </c>
      <c r="K465">
        <v>114</v>
      </c>
      <c r="L465" t="s">
        <v>27</v>
      </c>
      <c r="M465" t="s">
        <v>60</v>
      </c>
    </row>
    <row r="466" spans="1:13" x14ac:dyDescent="0.3">
      <c r="A466" s="14" t="s">
        <v>345</v>
      </c>
      <c r="B466" s="14" t="s">
        <v>7</v>
      </c>
      <c r="C466" s="15">
        <v>45513</v>
      </c>
      <c r="D466" s="14" t="s">
        <v>44</v>
      </c>
      <c r="E466" s="14" t="s">
        <v>26</v>
      </c>
      <c r="F466" s="14">
        <v>4877</v>
      </c>
      <c r="G466" s="14">
        <v>442</v>
      </c>
      <c r="H466" s="14">
        <v>236</v>
      </c>
      <c r="I466" s="14">
        <v>52673</v>
      </c>
      <c r="J466" s="14">
        <v>48241</v>
      </c>
      <c r="K466" s="14">
        <v>114</v>
      </c>
      <c r="L466" s="14" t="s">
        <v>36</v>
      </c>
      <c r="M466" s="14" t="s">
        <v>60</v>
      </c>
    </row>
    <row r="467" spans="1:13" x14ac:dyDescent="0.3">
      <c r="A467" t="s">
        <v>346</v>
      </c>
      <c r="B467" t="s">
        <v>10</v>
      </c>
      <c r="C467" s="12">
        <v>45678</v>
      </c>
      <c r="D467" t="s">
        <v>44</v>
      </c>
      <c r="E467" t="s">
        <v>12</v>
      </c>
      <c r="F467">
        <v>4918</v>
      </c>
      <c r="G467">
        <v>440</v>
      </c>
      <c r="H467">
        <v>149</v>
      </c>
      <c r="I467">
        <v>53269</v>
      </c>
      <c r="J467">
        <v>64370</v>
      </c>
      <c r="K467">
        <v>269</v>
      </c>
      <c r="L467" t="s">
        <v>33</v>
      </c>
      <c r="M467" t="s">
        <v>82</v>
      </c>
    </row>
    <row r="468" spans="1:13" x14ac:dyDescent="0.3">
      <c r="A468" s="14" t="s">
        <v>347</v>
      </c>
      <c r="B468" s="14" t="s">
        <v>7</v>
      </c>
      <c r="C468" s="15">
        <v>45517</v>
      </c>
      <c r="D468" s="14" t="s">
        <v>45</v>
      </c>
      <c r="E468" s="14" t="s">
        <v>15</v>
      </c>
      <c r="F468" s="14">
        <v>3418</v>
      </c>
      <c r="G468" s="14">
        <v>107</v>
      </c>
      <c r="H468" s="14">
        <v>221</v>
      </c>
      <c r="I468" s="14">
        <v>23927</v>
      </c>
      <c r="J468" s="14">
        <v>26182</v>
      </c>
      <c r="K468" s="14">
        <v>155</v>
      </c>
      <c r="L468" s="14" t="s">
        <v>30</v>
      </c>
      <c r="M468" s="14" t="s">
        <v>62</v>
      </c>
    </row>
    <row r="469" spans="1:13" x14ac:dyDescent="0.3">
      <c r="A469" t="s">
        <v>348</v>
      </c>
      <c r="B469" t="s">
        <v>10</v>
      </c>
      <c r="C469" s="12">
        <v>45472</v>
      </c>
      <c r="D469" t="s">
        <v>45</v>
      </c>
      <c r="E469" t="s">
        <v>78</v>
      </c>
      <c r="F469">
        <v>2088</v>
      </c>
      <c r="G469">
        <v>490</v>
      </c>
      <c r="H469">
        <v>124</v>
      </c>
      <c r="I469">
        <v>46544</v>
      </c>
      <c r="J469">
        <v>69346</v>
      </c>
      <c r="K469">
        <v>178</v>
      </c>
      <c r="L469" t="s">
        <v>30</v>
      </c>
      <c r="M469" t="s">
        <v>60</v>
      </c>
    </row>
    <row r="470" spans="1:13" x14ac:dyDescent="0.3">
      <c r="A470" s="14" t="s">
        <v>348</v>
      </c>
      <c r="B470" s="14" t="s">
        <v>10</v>
      </c>
      <c r="C470" s="15">
        <v>45472</v>
      </c>
      <c r="D470" s="14" t="s">
        <v>45</v>
      </c>
      <c r="E470" s="14" t="s">
        <v>78</v>
      </c>
      <c r="F470" s="14">
        <v>2088</v>
      </c>
      <c r="G470" s="14">
        <v>490</v>
      </c>
      <c r="H470" s="14">
        <v>124</v>
      </c>
      <c r="I470" s="14">
        <v>46544</v>
      </c>
      <c r="J470" s="14">
        <v>69346</v>
      </c>
      <c r="K470" s="14">
        <v>178</v>
      </c>
      <c r="L470" s="14" t="s">
        <v>33</v>
      </c>
      <c r="M470" s="14" t="s">
        <v>60</v>
      </c>
    </row>
    <row r="471" spans="1:13" x14ac:dyDescent="0.3">
      <c r="A471" t="s">
        <v>349</v>
      </c>
      <c r="B471" t="s">
        <v>7</v>
      </c>
      <c r="C471" s="12">
        <v>45599</v>
      </c>
      <c r="D471" t="s">
        <v>44</v>
      </c>
      <c r="E471" t="s">
        <v>15</v>
      </c>
      <c r="F471">
        <v>3061</v>
      </c>
      <c r="G471">
        <v>320</v>
      </c>
      <c r="H471">
        <v>76</v>
      </c>
      <c r="I471">
        <v>26640</v>
      </c>
      <c r="J471">
        <v>24306</v>
      </c>
      <c r="K471">
        <v>112</v>
      </c>
      <c r="L471" t="s">
        <v>36</v>
      </c>
      <c r="M471" t="s">
        <v>60</v>
      </c>
    </row>
    <row r="472" spans="1:13" x14ac:dyDescent="0.3">
      <c r="A472" s="14" t="s">
        <v>349</v>
      </c>
      <c r="B472" s="14" t="s">
        <v>7</v>
      </c>
      <c r="C472" s="15">
        <v>45599</v>
      </c>
      <c r="D472" s="14" t="s">
        <v>44</v>
      </c>
      <c r="E472" s="14" t="s">
        <v>15</v>
      </c>
      <c r="F472" s="14">
        <v>3061</v>
      </c>
      <c r="G472" s="14">
        <v>320</v>
      </c>
      <c r="H472" s="14">
        <v>76</v>
      </c>
      <c r="I472" s="14">
        <v>26640</v>
      </c>
      <c r="J472" s="14">
        <v>24306</v>
      </c>
      <c r="K472" s="14">
        <v>112</v>
      </c>
      <c r="L472" s="14" t="s">
        <v>33</v>
      </c>
      <c r="M472" s="14" t="s">
        <v>60</v>
      </c>
    </row>
    <row r="473" spans="1:13" x14ac:dyDescent="0.3">
      <c r="A473" t="s">
        <v>350</v>
      </c>
      <c r="B473" t="s">
        <v>13</v>
      </c>
      <c r="C473" s="12">
        <v>45765</v>
      </c>
      <c r="D473" t="s">
        <v>46</v>
      </c>
      <c r="E473" t="s">
        <v>78</v>
      </c>
      <c r="F473">
        <v>1265</v>
      </c>
      <c r="G473">
        <v>230</v>
      </c>
      <c r="H473">
        <v>364</v>
      </c>
      <c r="I473">
        <v>41312</v>
      </c>
      <c r="J473">
        <v>50382</v>
      </c>
      <c r="K473">
        <v>106</v>
      </c>
      <c r="L473" t="s">
        <v>27</v>
      </c>
      <c r="M473" t="s">
        <v>85</v>
      </c>
    </row>
    <row r="474" spans="1:13" x14ac:dyDescent="0.3">
      <c r="A474" s="14" t="s">
        <v>350</v>
      </c>
      <c r="B474" s="14" t="s">
        <v>13</v>
      </c>
      <c r="C474" s="15">
        <v>45765</v>
      </c>
      <c r="D474" s="14" t="s">
        <v>46</v>
      </c>
      <c r="E474" s="14" t="s">
        <v>78</v>
      </c>
      <c r="F474" s="14">
        <v>1265</v>
      </c>
      <c r="G474" s="14">
        <v>230</v>
      </c>
      <c r="H474" s="14">
        <v>364</v>
      </c>
      <c r="I474" s="14">
        <v>41312</v>
      </c>
      <c r="J474" s="14">
        <v>50382</v>
      </c>
      <c r="K474" s="14">
        <v>106</v>
      </c>
      <c r="L474" s="14" t="s">
        <v>30</v>
      </c>
      <c r="M474" s="14" t="s">
        <v>85</v>
      </c>
    </row>
    <row r="475" spans="1:13" x14ac:dyDescent="0.3">
      <c r="A475" t="s">
        <v>351</v>
      </c>
      <c r="B475" t="s">
        <v>10</v>
      </c>
      <c r="C475" s="12">
        <v>45653</v>
      </c>
      <c r="D475" t="s">
        <v>45</v>
      </c>
      <c r="E475" t="s">
        <v>26</v>
      </c>
      <c r="F475">
        <v>1436</v>
      </c>
      <c r="G475">
        <v>219</v>
      </c>
      <c r="H475">
        <v>229</v>
      </c>
      <c r="I475">
        <v>58488</v>
      </c>
      <c r="J475">
        <v>24314</v>
      </c>
      <c r="K475">
        <v>147</v>
      </c>
      <c r="L475" t="s">
        <v>27</v>
      </c>
      <c r="M475" t="s">
        <v>62</v>
      </c>
    </row>
    <row r="476" spans="1:13" x14ac:dyDescent="0.3">
      <c r="A476" s="14" t="s">
        <v>352</v>
      </c>
      <c r="B476" s="14" t="s">
        <v>10</v>
      </c>
      <c r="C476" s="15">
        <v>45724</v>
      </c>
      <c r="D476" s="14" t="s">
        <v>44</v>
      </c>
      <c r="E476" s="14" t="s">
        <v>32</v>
      </c>
      <c r="F476" s="14">
        <v>2244</v>
      </c>
      <c r="G476" s="14">
        <v>392</v>
      </c>
      <c r="H476" s="14">
        <v>231</v>
      </c>
      <c r="I476" s="14">
        <v>25834</v>
      </c>
      <c r="J476" s="14">
        <v>50906</v>
      </c>
      <c r="K476" s="14">
        <v>165</v>
      </c>
      <c r="L476" s="14" t="s">
        <v>33</v>
      </c>
      <c r="M476" s="14" t="s">
        <v>82</v>
      </c>
    </row>
    <row r="477" spans="1:13" x14ac:dyDescent="0.3">
      <c r="A477" t="s">
        <v>353</v>
      </c>
      <c r="B477" t="s">
        <v>7</v>
      </c>
      <c r="C477" s="12">
        <v>45736</v>
      </c>
      <c r="D477" t="s">
        <v>44</v>
      </c>
      <c r="E477" t="s">
        <v>78</v>
      </c>
      <c r="F477">
        <v>3393</v>
      </c>
      <c r="G477">
        <v>104</v>
      </c>
      <c r="H477">
        <v>79</v>
      </c>
      <c r="I477">
        <v>30025</v>
      </c>
      <c r="J477">
        <v>21593</v>
      </c>
      <c r="K477">
        <v>165</v>
      </c>
      <c r="L477" t="s">
        <v>36</v>
      </c>
      <c r="M477" t="s">
        <v>60</v>
      </c>
    </row>
    <row r="478" spans="1:13" x14ac:dyDescent="0.3">
      <c r="A478" s="14" t="s">
        <v>353</v>
      </c>
      <c r="B478" s="14" t="s">
        <v>7</v>
      </c>
      <c r="C478" s="15">
        <v>45736</v>
      </c>
      <c r="D478" s="14" t="s">
        <v>44</v>
      </c>
      <c r="E478" s="14" t="s">
        <v>78</v>
      </c>
      <c r="F478" s="14">
        <v>3393</v>
      </c>
      <c r="G478" s="14">
        <v>104</v>
      </c>
      <c r="H478" s="14">
        <v>79</v>
      </c>
      <c r="I478" s="14">
        <v>30025</v>
      </c>
      <c r="J478" s="14">
        <v>21593</v>
      </c>
      <c r="K478" s="14">
        <v>165</v>
      </c>
      <c r="L478" s="14" t="s">
        <v>33</v>
      </c>
      <c r="M478" s="14" t="s">
        <v>60</v>
      </c>
    </row>
    <row r="479" spans="1:13" x14ac:dyDescent="0.3">
      <c r="A479" t="s">
        <v>354</v>
      </c>
      <c r="B479" t="s">
        <v>7</v>
      </c>
      <c r="C479" s="12">
        <v>45612</v>
      </c>
      <c r="D479" t="s">
        <v>45</v>
      </c>
      <c r="E479" t="s">
        <v>15</v>
      </c>
      <c r="F479">
        <v>2901</v>
      </c>
      <c r="G479">
        <v>108</v>
      </c>
      <c r="H479">
        <v>86</v>
      </c>
      <c r="I479">
        <v>51777</v>
      </c>
      <c r="J479">
        <v>23773</v>
      </c>
      <c r="K479">
        <v>160</v>
      </c>
      <c r="L479" t="s">
        <v>30</v>
      </c>
      <c r="M479" t="s">
        <v>62</v>
      </c>
    </row>
    <row r="480" spans="1:13" x14ac:dyDescent="0.3">
      <c r="A480" s="14" t="s">
        <v>355</v>
      </c>
      <c r="B480" s="14" t="s">
        <v>7</v>
      </c>
      <c r="C480" s="15">
        <v>45838</v>
      </c>
      <c r="D480" s="14" t="s">
        <v>45</v>
      </c>
      <c r="E480" s="14" t="s">
        <v>23</v>
      </c>
      <c r="F480" s="14">
        <v>2275</v>
      </c>
      <c r="G480" s="14">
        <v>285</v>
      </c>
      <c r="H480" s="14">
        <v>125</v>
      </c>
      <c r="I480" s="14">
        <v>43970</v>
      </c>
      <c r="J480" s="14">
        <v>74761</v>
      </c>
      <c r="K480" s="14">
        <v>83</v>
      </c>
      <c r="L480" s="14" t="s">
        <v>33</v>
      </c>
      <c r="M480" s="14" t="s">
        <v>60</v>
      </c>
    </row>
    <row r="481" spans="1:13" x14ac:dyDescent="0.3">
      <c r="A481" t="s">
        <v>356</v>
      </c>
      <c r="B481" t="s">
        <v>7</v>
      </c>
      <c r="C481" s="12">
        <v>45303</v>
      </c>
      <c r="D481" t="s">
        <v>44</v>
      </c>
      <c r="E481" t="s">
        <v>29</v>
      </c>
      <c r="F481">
        <v>2227</v>
      </c>
      <c r="G481">
        <v>494</v>
      </c>
      <c r="H481">
        <v>161</v>
      </c>
      <c r="I481">
        <v>51651</v>
      </c>
      <c r="J481">
        <v>68074</v>
      </c>
      <c r="K481">
        <v>240</v>
      </c>
      <c r="L481" t="s">
        <v>27</v>
      </c>
      <c r="M481" t="s">
        <v>60</v>
      </c>
    </row>
    <row r="482" spans="1:13" x14ac:dyDescent="0.3">
      <c r="A482" s="14" t="s">
        <v>356</v>
      </c>
      <c r="B482" s="14" t="s">
        <v>7</v>
      </c>
      <c r="C482" s="15">
        <v>45303</v>
      </c>
      <c r="D482" s="14" t="s">
        <v>44</v>
      </c>
      <c r="E482" s="14" t="s">
        <v>29</v>
      </c>
      <c r="F482" s="14">
        <v>2227</v>
      </c>
      <c r="G482" s="14">
        <v>494</v>
      </c>
      <c r="H482" s="14">
        <v>161</v>
      </c>
      <c r="I482" s="14">
        <v>51651</v>
      </c>
      <c r="J482" s="14">
        <v>68074</v>
      </c>
      <c r="K482" s="14">
        <v>240</v>
      </c>
      <c r="L482" s="14" t="s">
        <v>36</v>
      </c>
      <c r="M482" s="14" t="s">
        <v>60</v>
      </c>
    </row>
    <row r="483" spans="1:13" x14ac:dyDescent="0.3">
      <c r="A483" t="s">
        <v>357</v>
      </c>
      <c r="B483" t="s">
        <v>10</v>
      </c>
      <c r="C483" s="12">
        <v>45329</v>
      </c>
      <c r="D483" t="s">
        <v>45</v>
      </c>
      <c r="E483" t="s">
        <v>35</v>
      </c>
      <c r="F483">
        <v>1883</v>
      </c>
      <c r="G483">
        <v>432</v>
      </c>
      <c r="H483">
        <v>397</v>
      </c>
      <c r="I483">
        <v>28759</v>
      </c>
      <c r="J483">
        <v>18691</v>
      </c>
      <c r="K483">
        <v>270</v>
      </c>
      <c r="L483" t="s">
        <v>30</v>
      </c>
      <c r="M483" t="s">
        <v>60</v>
      </c>
    </row>
    <row r="484" spans="1:13" x14ac:dyDescent="0.3">
      <c r="A484" s="14" t="s">
        <v>357</v>
      </c>
      <c r="B484" s="14" t="s">
        <v>10</v>
      </c>
      <c r="C484" s="15">
        <v>45329</v>
      </c>
      <c r="D484" s="14" t="s">
        <v>45</v>
      </c>
      <c r="E484" s="14" t="s">
        <v>35</v>
      </c>
      <c r="F484" s="14">
        <v>1883</v>
      </c>
      <c r="G484" s="14">
        <v>432</v>
      </c>
      <c r="H484" s="14">
        <v>397</v>
      </c>
      <c r="I484" s="14">
        <v>28759</v>
      </c>
      <c r="J484" s="14">
        <v>18691</v>
      </c>
      <c r="K484" s="14">
        <v>270</v>
      </c>
      <c r="L484" s="14" t="s">
        <v>33</v>
      </c>
      <c r="M484" s="14" t="s">
        <v>60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D82235-C355-4A69-8E6E-9BDADFC35C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 2</vt:lpstr>
      <vt:lpstr>Posts </vt:lpstr>
      <vt:lpstr>Posts(2.3.2)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Vishnupriya S</dc:creator>
  <cp:lastModifiedBy>Vishnupriya S</cp:lastModifiedBy>
  <dcterms:created xsi:type="dcterms:W3CDTF">2026-03-01T16:36:17Z</dcterms:created>
  <dcterms:modified xsi:type="dcterms:W3CDTF">2026-03-09T14:33:38Z</dcterms:modified>
</cp:coreProperties>
</file>