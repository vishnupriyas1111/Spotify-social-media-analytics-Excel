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ishn\Desktop\Spotify-Excel\"/>
    </mc:Choice>
  </mc:AlternateContent>
  <xr:revisionPtr revIDLastSave="0" documentId="13_ncr:1_{764756D9-69AB-49C7-877D-7A1D8600DE7A}" xr6:coauthVersionLast="47" xr6:coauthVersionMax="47" xr10:uidLastSave="{00000000-0000-0000-0000-000000000000}"/>
  <bookViews>
    <workbookView xWindow="0" yWindow="360" windowWidth="23256" windowHeight="12456" xr2:uid="{57A7770F-59D8-4C06-90D3-01A7DEC68A4B}"/>
  </bookViews>
  <sheets>
    <sheet name="Task 4" sheetId="2" r:id="rId1"/>
    <sheet name="Posts (4.1)" sheetId="4" r:id="rId2"/>
    <sheet name="Posts (4.2)" sheetId="3" r:id="rId3"/>
  </sheets>
  <externalReferences>
    <externalReference r:id="rId4"/>
  </externalReferences>
  <definedNames>
    <definedName name="ExternalData_1" localSheetId="1" hidden="1">'Posts (4.1)'!$A$1:$M$484</definedName>
    <definedName name="ExternalData_2" localSheetId="2" hidden="1">'Posts (4.2)'!$A$1:$M$301</definedName>
  </definedNames>
  <calcPr calcId="191029"/>
  <pivotCaches>
    <pivotCache cacheId="3" r:id="rId5"/>
    <pivotCache cacheId="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4" l="1"/>
  <c r="O2" i="4"/>
  <c r="P2" i="4"/>
  <c r="N3" i="4"/>
  <c r="O3" i="4"/>
  <c r="P3" i="4"/>
  <c r="N4" i="4"/>
  <c r="O4" i="4"/>
  <c r="P4" i="4"/>
  <c r="N5" i="4"/>
  <c r="O5" i="4"/>
  <c r="P5" i="4"/>
  <c r="N6" i="4"/>
  <c r="O6" i="4"/>
  <c r="P6" i="4"/>
  <c r="N7" i="4"/>
  <c r="O7" i="4"/>
  <c r="P7" i="4"/>
  <c r="N8" i="4"/>
  <c r="O8" i="4"/>
  <c r="P8" i="4"/>
  <c r="N9" i="4"/>
  <c r="O9" i="4"/>
  <c r="P9" i="4"/>
  <c r="N10" i="4"/>
  <c r="O10" i="4"/>
  <c r="P10" i="4"/>
  <c r="N11" i="4"/>
  <c r="O11" i="4"/>
  <c r="P11" i="4"/>
  <c r="N12" i="4"/>
  <c r="O12" i="4"/>
  <c r="P12" i="4"/>
  <c r="N13" i="4"/>
  <c r="O13" i="4"/>
  <c r="P13" i="4"/>
  <c r="N14" i="4"/>
  <c r="O14" i="4"/>
  <c r="P14" i="4"/>
  <c r="N15" i="4"/>
  <c r="O15" i="4"/>
  <c r="P15" i="4"/>
  <c r="N16" i="4"/>
  <c r="O16" i="4"/>
  <c r="P16" i="4"/>
  <c r="N17" i="4"/>
  <c r="O17" i="4"/>
  <c r="P17" i="4"/>
  <c r="N18" i="4"/>
  <c r="O18" i="4"/>
  <c r="P18" i="4"/>
  <c r="N19" i="4"/>
  <c r="O19" i="4"/>
  <c r="P19" i="4"/>
  <c r="N20" i="4"/>
  <c r="O20" i="4"/>
  <c r="P20" i="4"/>
  <c r="N21" i="4"/>
  <c r="O21" i="4"/>
  <c r="P21" i="4"/>
  <c r="N22" i="4"/>
  <c r="O22" i="4"/>
  <c r="P22" i="4"/>
  <c r="N23" i="4"/>
  <c r="O23" i="4"/>
  <c r="P23" i="4"/>
  <c r="N24" i="4"/>
  <c r="O24" i="4"/>
  <c r="P24" i="4"/>
  <c r="N25" i="4"/>
  <c r="O25" i="4"/>
  <c r="P25" i="4"/>
  <c r="N26" i="4"/>
  <c r="O26" i="4"/>
  <c r="P26" i="4"/>
  <c r="N27" i="4"/>
  <c r="O27" i="4"/>
  <c r="P27" i="4"/>
  <c r="N28" i="4"/>
  <c r="O28" i="4"/>
  <c r="P28" i="4"/>
  <c r="N29" i="4"/>
  <c r="O29" i="4"/>
  <c r="P29" i="4"/>
  <c r="N30" i="4"/>
  <c r="O30" i="4"/>
  <c r="P30" i="4"/>
  <c r="N31" i="4"/>
  <c r="O31" i="4"/>
  <c r="P31" i="4"/>
  <c r="N32" i="4"/>
  <c r="O32" i="4"/>
  <c r="P32" i="4"/>
  <c r="N33" i="4"/>
  <c r="O33" i="4"/>
  <c r="P33" i="4"/>
  <c r="N34" i="4"/>
  <c r="O34" i="4"/>
  <c r="P34" i="4"/>
  <c r="N35" i="4"/>
  <c r="O35" i="4"/>
  <c r="P35" i="4"/>
  <c r="N36" i="4"/>
  <c r="O36" i="4"/>
  <c r="P36" i="4"/>
  <c r="N37" i="4"/>
  <c r="O37" i="4"/>
  <c r="P37" i="4"/>
  <c r="N38" i="4"/>
  <c r="O38" i="4"/>
  <c r="P38" i="4"/>
  <c r="N39" i="4"/>
  <c r="O39" i="4"/>
  <c r="P39" i="4"/>
  <c r="N40" i="4"/>
  <c r="O40" i="4"/>
  <c r="P40" i="4"/>
  <c r="N41" i="4"/>
  <c r="O41" i="4"/>
  <c r="P41" i="4"/>
  <c r="N42" i="4"/>
  <c r="O42" i="4"/>
  <c r="P42" i="4"/>
  <c r="N43" i="4"/>
  <c r="O43" i="4"/>
  <c r="P43" i="4"/>
  <c r="N44" i="4"/>
  <c r="O44" i="4"/>
  <c r="P44" i="4"/>
  <c r="N45" i="4"/>
  <c r="O45" i="4"/>
  <c r="P45" i="4"/>
  <c r="N46" i="4"/>
  <c r="O46" i="4"/>
  <c r="P46" i="4"/>
  <c r="N47" i="4"/>
  <c r="O47" i="4"/>
  <c r="P47" i="4"/>
  <c r="N48" i="4"/>
  <c r="O48" i="4"/>
  <c r="P48" i="4"/>
  <c r="N49" i="4"/>
  <c r="O49" i="4"/>
  <c r="P49" i="4"/>
  <c r="N50" i="4"/>
  <c r="O50" i="4"/>
  <c r="P50" i="4"/>
  <c r="N51" i="4"/>
  <c r="O51" i="4"/>
  <c r="P51" i="4"/>
  <c r="N52" i="4"/>
  <c r="O52" i="4"/>
  <c r="P52" i="4"/>
  <c r="N53" i="4"/>
  <c r="O53" i="4"/>
  <c r="P53" i="4"/>
  <c r="N54" i="4"/>
  <c r="O54" i="4"/>
  <c r="P54" i="4"/>
  <c r="N55" i="4"/>
  <c r="O55" i="4"/>
  <c r="P55" i="4"/>
  <c r="N56" i="4"/>
  <c r="O56" i="4"/>
  <c r="P56" i="4"/>
  <c r="N57" i="4"/>
  <c r="O57" i="4"/>
  <c r="P57" i="4"/>
  <c r="N58" i="4"/>
  <c r="O58" i="4"/>
  <c r="P58" i="4"/>
  <c r="N59" i="4"/>
  <c r="O59" i="4"/>
  <c r="P59" i="4"/>
  <c r="N60" i="4"/>
  <c r="O60" i="4"/>
  <c r="P60" i="4"/>
  <c r="N61" i="4"/>
  <c r="O61" i="4"/>
  <c r="P61" i="4"/>
  <c r="N62" i="4"/>
  <c r="O62" i="4"/>
  <c r="P62" i="4"/>
  <c r="N63" i="4"/>
  <c r="O63" i="4"/>
  <c r="P63" i="4"/>
  <c r="N64" i="4"/>
  <c r="O64" i="4"/>
  <c r="P64" i="4"/>
  <c r="N65" i="4"/>
  <c r="O65" i="4"/>
  <c r="P65" i="4"/>
  <c r="N66" i="4"/>
  <c r="O66" i="4"/>
  <c r="P66" i="4"/>
  <c r="N67" i="4"/>
  <c r="O67" i="4"/>
  <c r="P67" i="4"/>
  <c r="N68" i="4"/>
  <c r="O68" i="4"/>
  <c r="P68" i="4"/>
  <c r="N69" i="4"/>
  <c r="O69" i="4"/>
  <c r="P69" i="4"/>
  <c r="N70" i="4"/>
  <c r="O70" i="4"/>
  <c r="P70" i="4"/>
  <c r="N71" i="4"/>
  <c r="O71" i="4"/>
  <c r="P71" i="4"/>
  <c r="N72" i="4"/>
  <c r="O72" i="4"/>
  <c r="P72" i="4"/>
  <c r="N73" i="4"/>
  <c r="O73" i="4"/>
  <c r="P73" i="4"/>
  <c r="N74" i="4"/>
  <c r="O74" i="4"/>
  <c r="P74" i="4"/>
  <c r="N75" i="4"/>
  <c r="O75" i="4"/>
  <c r="P75" i="4"/>
  <c r="N76" i="4"/>
  <c r="O76" i="4"/>
  <c r="P76" i="4"/>
  <c r="N77" i="4"/>
  <c r="O77" i="4"/>
  <c r="P77" i="4"/>
  <c r="N78" i="4"/>
  <c r="O78" i="4"/>
  <c r="P78" i="4"/>
  <c r="N79" i="4"/>
  <c r="O79" i="4"/>
  <c r="P79" i="4"/>
  <c r="N80" i="4"/>
  <c r="O80" i="4"/>
  <c r="P80" i="4"/>
  <c r="N81" i="4"/>
  <c r="O81" i="4"/>
  <c r="P81" i="4"/>
  <c r="N82" i="4"/>
  <c r="O82" i="4"/>
  <c r="P82" i="4"/>
  <c r="N83" i="4"/>
  <c r="O83" i="4"/>
  <c r="P83" i="4"/>
  <c r="N84" i="4"/>
  <c r="O84" i="4"/>
  <c r="P84" i="4"/>
  <c r="N85" i="4"/>
  <c r="O85" i="4"/>
  <c r="P85" i="4"/>
  <c r="N86" i="4"/>
  <c r="O86" i="4"/>
  <c r="P86" i="4"/>
  <c r="N87" i="4"/>
  <c r="O87" i="4"/>
  <c r="P87" i="4"/>
  <c r="N88" i="4"/>
  <c r="O88" i="4"/>
  <c r="P88" i="4"/>
  <c r="N89" i="4"/>
  <c r="O89" i="4"/>
  <c r="P89" i="4"/>
  <c r="N90" i="4"/>
  <c r="O90" i="4"/>
  <c r="P90" i="4"/>
  <c r="N91" i="4"/>
  <c r="O91" i="4"/>
  <c r="P91" i="4"/>
  <c r="N92" i="4"/>
  <c r="O92" i="4"/>
  <c r="P92" i="4"/>
  <c r="N93" i="4"/>
  <c r="O93" i="4"/>
  <c r="P93" i="4"/>
  <c r="N94" i="4"/>
  <c r="O94" i="4"/>
  <c r="P94" i="4"/>
  <c r="N95" i="4"/>
  <c r="O95" i="4"/>
  <c r="P95" i="4"/>
  <c r="N96" i="4"/>
  <c r="O96" i="4"/>
  <c r="P96" i="4"/>
  <c r="N97" i="4"/>
  <c r="O97" i="4"/>
  <c r="P97" i="4"/>
  <c r="N98" i="4"/>
  <c r="O98" i="4"/>
  <c r="P98" i="4"/>
  <c r="N99" i="4"/>
  <c r="O99" i="4"/>
  <c r="P99" i="4"/>
  <c r="N100" i="4"/>
  <c r="O100" i="4"/>
  <c r="P100" i="4"/>
  <c r="N101" i="4"/>
  <c r="O101" i="4"/>
  <c r="P101" i="4"/>
  <c r="N102" i="4"/>
  <c r="O102" i="4"/>
  <c r="P102" i="4"/>
  <c r="N103" i="4"/>
  <c r="O103" i="4"/>
  <c r="P103" i="4"/>
  <c r="N104" i="4"/>
  <c r="O104" i="4"/>
  <c r="P104" i="4"/>
  <c r="N105" i="4"/>
  <c r="O105" i="4"/>
  <c r="P105" i="4"/>
  <c r="N106" i="4"/>
  <c r="O106" i="4"/>
  <c r="P106" i="4"/>
  <c r="N107" i="4"/>
  <c r="O107" i="4"/>
  <c r="P107" i="4"/>
  <c r="N108" i="4"/>
  <c r="O108" i="4"/>
  <c r="P108" i="4"/>
  <c r="N109" i="4"/>
  <c r="O109" i="4"/>
  <c r="P109" i="4"/>
  <c r="N110" i="4"/>
  <c r="O110" i="4"/>
  <c r="P110" i="4"/>
  <c r="N111" i="4"/>
  <c r="O111" i="4"/>
  <c r="P111" i="4"/>
  <c r="N112" i="4"/>
  <c r="O112" i="4"/>
  <c r="P112" i="4"/>
  <c r="N113" i="4"/>
  <c r="O113" i="4"/>
  <c r="P113" i="4"/>
  <c r="N114" i="4"/>
  <c r="O114" i="4"/>
  <c r="P114" i="4"/>
  <c r="N115" i="4"/>
  <c r="O115" i="4"/>
  <c r="P115" i="4"/>
  <c r="N116" i="4"/>
  <c r="O116" i="4"/>
  <c r="P116" i="4"/>
  <c r="N117" i="4"/>
  <c r="O117" i="4"/>
  <c r="P117" i="4"/>
  <c r="N118" i="4"/>
  <c r="O118" i="4"/>
  <c r="P118" i="4"/>
  <c r="N119" i="4"/>
  <c r="O119" i="4"/>
  <c r="P119" i="4"/>
  <c r="N120" i="4"/>
  <c r="O120" i="4"/>
  <c r="P120" i="4"/>
  <c r="N121" i="4"/>
  <c r="O121" i="4"/>
  <c r="P121" i="4"/>
  <c r="N122" i="4"/>
  <c r="O122" i="4"/>
  <c r="P122" i="4"/>
  <c r="N123" i="4"/>
  <c r="O123" i="4"/>
  <c r="P123" i="4"/>
  <c r="N124" i="4"/>
  <c r="O124" i="4"/>
  <c r="P124" i="4"/>
  <c r="N125" i="4"/>
  <c r="O125" i="4"/>
  <c r="P125" i="4"/>
  <c r="N126" i="4"/>
  <c r="O126" i="4"/>
  <c r="P126" i="4"/>
  <c r="N127" i="4"/>
  <c r="O127" i="4"/>
  <c r="P127" i="4"/>
  <c r="N128" i="4"/>
  <c r="O128" i="4"/>
  <c r="P128" i="4"/>
  <c r="N129" i="4"/>
  <c r="O129" i="4"/>
  <c r="P129" i="4"/>
  <c r="N130" i="4"/>
  <c r="O130" i="4"/>
  <c r="P130" i="4"/>
  <c r="N131" i="4"/>
  <c r="O131" i="4"/>
  <c r="P131" i="4"/>
  <c r="N132" i="4"/>
  <c r="O132" i="4"/>
  <c r="P132" i="4"/>
  <c r="N133" i="4"/>
  <c r="O133" i="4"/>
  <c r="P133" i="4"/>
  <c r="N134" i="4"/>
  <c r="O134" i="4"/>
  <c r="P134" i="4"/>
  <c r="N135" i="4"/>
  <c r="O135" i="4"/>
  <c r="P135" i="4"/>
  <c r="N136" i="4"/>
  <c r="O136" i="4"/>
  <c r="P136" i="4"/>
  <c r="N137" i="4"/>
  <c r="O137" i="4"/>
  <c r="P137" i="4"/>
  <c r="N138" i="4"/>
  <c r="O138" i="4"/>
  <c r="P138" i="4"/>
  <c r="N139" i="4"/>
  <c r="O139" i="4"/>
  <c r="P139" i="4"/>
  <c r="N140" i="4"/>
  <c r="O140" i="4"/>
  <c r="P140" i="4"/>
  <c r="N141" i="4"/>
  <c r="O141" i="4"/>
  <c r="P141" i="4"/>
  <c r="N142" i="4"/>
  <c r="O142" i="4"/>
  <c r="P142" i="4"/>
  <c r="N143" i="4"/>
  <c r="O143" i="4"/>
  <c r="P143" i="4"/>
  <c r="N144" i="4"/>
  <c r="O144" i="4"/>
  <c r="P144" i="4"/>
  <c r="N145" i="4"/>
  <c r="O145" i="4"/>
  <c r="P145" i="4"/>
  <c r="N146" i="4"/>
  <c r="O146" i="4"/>
  <c r="P146" i="4"/>
  <c r="N147" i="4"/>
  <c r="O147" i="4"/>
  <c r="P147" i="4"/>
  <c r="N148" i="4"/>
  <c r="O148" i="4"/>
  <c r="P148" i="4"/>
  <c r="N149" i="4"/>
  <c r="O149" i="4"/>
  <c r="P149" i="4"/>
  <c r="N150" i="4"/>
  <c r="O150" i="4"/>
  <c r="P150" i="4"/>
  <c r="N151" i="4"/>
  <c r="O151" i="4"/>
  <c r="P151" i="4"/>
  <c r="N152" i="4"/>
  <c r="O152" i="4"/>
  <c r="P152" i="4"/>
  <c r="N153" i="4"/>
  <c r="O153" i="4"/>
  <c r="P153" i="4"/>
  <c r="N154" i="4"/>
  <c r="O154" i="4"/>
  <c r="P154" i="4"/>
  <c r="N155" i="4"/>
  <c r="O155" i="4"/>
  <c r="P155" i="4"/>
  <c r="N156" i="4"/>
  <c r="O156" i="4"/>
  <c r="P156" i="4"/>
  <c r="N157" i="4"/>
  <c r="O157" i="4"/>
  <c r="P157" i="4"/>
  <c r="N158" i="4"/>
  <c r="O158" i="4"/>
  <c r="P158" i="4"/>
  <c r="N159" i="4"/>
  <c r="O159" i="4"/>
  <c r="P159" i="4"/>
  <c r="N160" i="4"/>
  <c r="O160" i="4"/>
  <c r="P160" i="4"/>
  <c r="N161" i="4"/>
  <c r="O161" i="4"/>
  <c r="P161" i="4"/>
  <c r="N162" i="4"/>
  <c r="O162" i="4"/>
  <c r="P162" i="4"/>
  <c r="N163" i="4"/>
  <c r="O163" i="4"/>
  <c r="P163" i="4"/>
  <c r="N164" i="4"/>
  <c r="O164" i="4"/>
  <c r="P164" i="4"/>
  <c r="N165" i="4"/>
  <c r="O165" i="4"/>
  <c r="P165" i="4"/>
  <c r="N166" i="4"/>
  <c r="O166" i="4"/>
  <c r="P166" i="4"/>
  <c r="N167" i="4"/>
  <c r="O167" i="4"/>
  <c r="P167" i="4"/>
  <c r="N168" i="4"/>
  <c r="O168" i="4"/>
  <c r="P168" i="4"/>
  <c r="N169" i="4"/>
  <c r="O169" i="4"/>
  <c r="P169" i="4"/>
  <c r="N170" i="4"/>
  <c r="O170" i="4"/>
  <c r="P170" i="4"/>
  <c r="N171" i="4"/>
  <c r="O171" i="4"/>
  <c r="P171" i="4"/>
  <c r="N172" i="4"/>
  <c r="O172" i="4"/>
  <c r="P172" i="4"/>
  <c r="N173" i="4"/>
  <c r="O173" i="4"/>
  <c r="P173" i="4"/>
  <c r="N174" i="4"/>
  <c r="O174" i="4"/>
  <c r="P174" i="4"/>
  <c r="N175" i="4"/>
  <c r="O175" i="4"/>
  <c r="P175" i="4"/>
  <c r="N176" i="4"/>
  <c r="O176" i="4"/>
  <c r="P176" i="4"/>
  <c r="N177" i="4"/>
  <c r="O177" i="4"/>
  <c r="P177" i="4"/>
  <c r="N178" i="4"/>
  <c r="O178" i="4"/>
  <c r="P178" i="4"/>
  <c r="N179" i="4"/>
  <c r="O179" i="4"/>
  <c r="P179" i="4"/>
  <c r="N180" i="4"/>
  <c r="O180" i="4"/>
  <c r="P180" i="4"/>
  <c r="N181" i="4"/>
  <c r="O181" i="4"/>
  <c r="P181" i="4"/>
  <c r="N182" i="4"/>
  <c r="O182" i="4"/>
  <c r="P182" i="4"/>
  <c r="N183" i="4"/>
  <c r="O183" i="4"/>
  <c r="P183" i="4"/>
  <c r="N184" i="4"/>
  <c r="O184" i="4"/>
  <c r="P184" i="4"/>
  <c r="N185" i="4"/>
  <c r="O185" i="4"/>
  <c r="P185" i="4"/>
  <c r="N186" i="4"/>
  <c r="O186" i="4"/>
  <c r="P186" i="4"/>
  <c r="N187" i="4"/>
  <c r="O187" i="4"/>
  <c r="P187" i="4"/>
  <c r="N188" i="4"/>
  <c r="O188" i="4"/>
  <c r="P188" i="4"/>
  <c r="N189" i="4"/>
  <c r="O189" i="4"/>
  <c r="P189" i="4"/>
  <c r="N190" i="4"/>
  <c r="O190" i="4"/>
  <c r="P190" i="4"/>
  <c r="N191" i="4"/>
  <c r="O191" i="4"/>
  <c r="P191" i="4"/>
  <c r="N192" i="4"/>
  <c r="O192" i="4"/>
  <c r="P192" i="4"/>
  <c r="N193" i="4"/>
  <c r="O193" i="4"/>
  <c r="P193" i="4"/>
  <c r="N194" i="4"/>
  <c r="O194" i="4"/>
  <c r="P194" i="4"/>
  <c r="N195" i="4"/>
  <c r="O195" i="4"/>
  <c r="P195" i="4"/>
  <c r="N196" i="4"/>
  <c r="O196" i="4"/>
  <c r="P196" i="4"/>
  <c r="N197" i="4"/>
  <c r="O197" i="4"/>
  <c r="P197" i="4"/>
  <c r="N198" i="4"/>
  <c r="O198" i="4"/>
  <c r="P198" i="4"/>
  <c r="N199" i="4"/>
  <c r="O199" i="4"/>
  <c r="P199" i="4"/>
  <c r="N200" i="4"/>
  <c r="O200" i="4"/>
  <c r="P200" i="4"/>
  <c r="N201" i="4"/>
  <c r="O201" i="4"/>
  <c r="P201" i="4"/>
  <c r="N202" i="4"/>
  <c r="O202" i="4"/>
  <c r="P202" i="4"/>
  <c r="N203" i="4"/>
  <c r="O203" i="4"/>
  <c r="P203" i="4"/>
  <c r="N204" i="4"/>
  <c r="O204" i="4"/>
  <c r="P204" i="4"/>
  <c r="N205" i="4"/>
  <c r="O205" i="4"/>
  <c r="P205" i="4"/>
  <c r="N206" i="4"/>
  <c r="O206" i="4"/>
  <c r="P206" i="4"/>
  <c r="N207" i="4"/>
  <c r="O207" i="4"/>
  <c r="P207" i="4"/>
  <c r="N208" i="4"/>
  <c r="O208" i="4"/>
  <c r="P208" i="4"/>
  <c r="N209" i="4"/>
  <c r="O209" i="4"/>
  <c r="P209" i="4"/>
  <c r="N210" i="4"/>
  <c r="O210" i="4"/>
  <c r="P210" i="4"/>
  <c r="N211" i="4"/>
  <c r="O211" i="4"/>
  <c r="P211" i="4"/>
  <c r="N212" i="4"/>
  <c r="O212" i="4"/>
  <c r="P212" i="4"/>
  <c r="N213" i="4"/>
  <c r="O213" i="4"/>
  <c r="P213" i="4"/>
  <c r="N214" i="4"/>
  <c r="O214" i="4"/>
  <c r="P214" i="4"/>
  <c r="N215" i="4"/>
  <c r="O215" i="4"/>
  <c r="P215" i="4"/>
  <c r="N216" i="4"/>
  <c r="O216" i="4"/>
  <c r="P216" i="4"/>
  <c r="N217" i="4"/>
  <c r="O217" i="4"/>
  <c r="P217" i="4"/>
  <c r="N218" i="4"/>
  <c r="O218" i="4"/>
  <c r="P218" i="4"/>
  <c r="N219" i="4"/>
  <c r="O219" i="4"/>
  <c r="P219" i="4"/>
  <c r="N220" i="4"/>
  <c r="O220" i="4"/>
  <c r="P220" i="4"/>
  <c r="N221" i="4"/>
  <c r="O221" i="4"/>
  <c r="P221" i="4"/>
  <c r="N222" i="4"/>
  <c r="O222" i="4"/>
  <c r="P222" i="4"/>
  <c r="N223" i="4"/>
  <c r="O223" i="4"/>
  <c r="P223" i="4"/>
  <c r="N224" i="4"/>
  <c r="O224" i="4"/>
  <c r="P224" i="4"/>
  <c r="N225" i="4"/>
  <c r="O225" i="4"/>
  <c r="P225" i="4"/>
  <c r="N226" i="4"/>
  <c r="O226" i="4"/>
  <c r="P226" i="4"/>
  <c r="N227" i="4"/>
  <c r="O227" i="4"/>
  <c r="P227" i="4"/>
  <c r="N228" i="4"/>
  <c r="O228" i="4"/>
  <c r="P228" i="4"/>
  <c r="N229" i="4"/>
  <c r="O229" i="4"/>
  <c r="P229" i="4"/>
  <c r="N230" i="4"/>
  <c r="O230" i="4"/>
  <c r="P230" i="4"/>
  <c r="N231" i="4"/>
  <c r="O231" i="4"/>
  <c r="P231" i="4"/>
  <c r="N232" i="4"/>
  <c r="O232" i="4"/>
  <c r="P232" i="4"/>
  <c r="N233" i="4"/>
  <c r="O233" i="4"/>
  <c r="P233" i="4"/>
  <c r="N234" i="4"/>
  <c r="O234" i="4"/>
  <c r="P234" i="4"/>
  <c r="N235" i="4"/>
  <c r="O235" i="4"/>
  <c r="P235" i="4"/>
  <c r="N236" i="4"/>
  <c r="O236" i="4"/>
  <c r="P236" i="4"/>
  <c r="N237" i="4"/>
  <c r="O237" i="4"/>
  <c r="P237" i="4"/>
  <c r="N238" i="4"/>
  <c r="O238" i="4"/>
  <c r="P238" i="4"/>
  <c r="N239" i="4"/>
  <c r="O239" i="4"/>
  <c r="P239" i="4"/>
  <c r="N240" i="4"/>
  <c r="O240" i="4"/>
  <c r="P240" i="4"/>
  <c r="N241" i="4"/>
  <c r="O241" i="4"/>
  <c r="P241" i="4"/>
  <c r="N242" i="4"/>
  <c r="O242" i="4"/>
  <c r="P242" i="4"/>
  <c r="N243" i="4"/>
  <c r="O243" i="4"/>
  <c r="P243" i="4"/>
  <c r="N244" i="4"/>
  <c r="O244" i="4"/>
  <c r="P244" i="4"/>
  <c r="N245" i="4"/>
  <c r="O245" i="4"/>
  <c r="P245" i="4"/>
  <c r="N246" i="4"/>
  <c r="O246" i="4"/>
  <c r="P246" i="4"/>
  <c r="N247" i="4"/>
  <c r="O247" i="4"/>
  <c r="P247" i="4"/>
  <c r="N248" i="4"/>
  <c r="O248" i="4"/>
  <c r="P248" i="4"/>
  <c r="N249" i="4"/>
  <c r="O249" i="4"/>
  <c r="P249" i="4"/>
  <c r="N250" i="4"/>
  <c r="O250" i="4"/>
  <c r="P250" i="4"/>
  <c r="N251" i="4"/>
  <c r="O251" i="4"/>
  <c r="P251" i="4"/>
  <c r="N252" i="4"/>
  <c r="O252" i="4"/>
  <c r="P252" i="4"/>
  <c r="N253" i="4"/>
  <c r="O253" i="4"/>
  <c r="P253" i="4"/>
  <c r="N254" i="4"/>
  <c r="O254" i="4"/>
  <c r="P254" i="4"/>
  <c r="N255" i="4"/>
  <c r="O255" i="4"/>
  <c r="P255" i="4"/>
  <c r="N256" i="4"/>
  <c r="O256" i="4"/>
  <c r="P256" i="4"/>
  <c r="N257" i="4"/>
  <c r="O257" i="4"/>
  <c r="P257" i="4"/>
  <c r="N258" i="4"/>
  <c r="O258" i="4"/>
  <c r="P258" i="4"/>
  <c r="N259" i="4"/>
  <c r="O259" i="4"/>
  <c r="P259" i="4"/>
  <c r="N260" i="4"/>
  <c r="O260" i="4"/>
  <c r="P260" i="4"/>
  <c r="N261" i="4"/>
  <c r="O261" i="4"/>
  <c r="P261" i="4"/>
  <c r="N262" i="4"/>
  <c r="O262" i="4"/>
  <c r="P262" i="4"/>
  <c r="N263" i="4"/>
  <c r="O263" i="4"/>
  <c r="P263" i="4"/>
  <c r="N264" i="4"/>
  <c r="O264" i="4"/>
  <c r="P264" i="4"/>
  <c r="N265" i="4"/>
  <c r="O265" i="4"/>
  <c r="P265" i="4"/>
  <c r="N266" i="4"/>
  <c r="O266" i="4"/>
  <c r="P266" i="4"/>
  <c r="N267" i="4"/>
  <c r="O267" i="4"/>
  <c r="P267" i="4"/>
  <c r="N268" i="4"/>
  <c r="O268" i="4"/>
  <c r="P268" i="4"/>
  <c r="N269" i="4"/>
  <c r="O269" i="4"/>
  <c r="P269" i="4"/>
  <c r="N270" i="4"/>
  <c r="O270" i="4"/>
  <c r="P270" i="4"/>
  <c r="N271" i="4"/>
  <c r="O271" i="4"/>
  <c r="P271" i="4"/>
  <c r="N272" i="4"/>
  <c r="O272" i="4"/>
  <c r="P272" i="4"/>
  <c r="N273" i="4"/>
  <c r="O273" i="4"/>
  <c r="P273" i="4"/>
  <c r="N274" i="4"/>
  <c r="O274" i="4"/>
  <c r="P274" i="4"/>
  <c r="N275" i="4"/>
  <c r="O275" i="4"/>
  <c r="P275" i="4"/>
  <c r="N276" i="4"/>
  <c r="O276" i="4"/>
  <c r="P276" i="4"/>
  <c r="N277" i="4"/>
  <c r="O277" i="4"/>
  <c r="P277" i="4"/>
  <c r="N278" i="4"/>
  <c r="O278" i="4"/>
  <c r="P278" i="4"/>
  <c r="N279" i="4"/>
  <c r="O279" i="4"/>
  <c r="P279" i="4"/>
  <c r="N280" i="4"/>
  <c r="O280" i="4"/>
  <c r="P280" i="4"/>
  <c r="N281" i="4"/>
  <c r="O281" i="4"/>
  <c r="P281" i="4"/>
  <c r="N282" i="4"/>
  <c r="O282" i="4"/>
  <c r="P282" i="4"/>
  <c r="N283" i="4"/>
  <c r="O283" i="4"/>
  <c r="P283" i="4"/>
  <c r="N284" i="4"/>
  <c r="O284" i="4"/>
  <c r="P284" i="4"/>
  <c r="N285" i="4"/>
  <c r="O285" i="4"/>
  <c r="P285" i="4"/>
  <c r="N286" i="4"/>
  <c r="O286" i="4"/>
  <c r="P286" i="4"/>
  <c r="N287" i="4"/>
  <c r="O287" i="4"/>
  <c r="P287" i="4"/>
  <c r="N288" i="4"/>
  <c r="O288" i="4"/>
  <c r="P288" i="4"/>
  <c r="N289" i="4"/>
  <c r="O289" i="4"/>
  <c r="P289" i="4"/>
  <c r="N290" i="4"/>
  <c r="O290" i="4"/>
  <c r="P290" i="4"/>
  <c r="N291" i="4"/>
  <c r="O291" i="4"/>
  <c r="P291" i="4"/>
  <c r="N292" i="4"/>
  <c r="O292" i="4"/>
  <c r="P292" i="4"/>
  <c r="N293" i="4"/>
  <c r="O293" i="4"/>
  <c r="P293" i="4"/>
  <c r="N294" i="4"/>
  <c r="O294" i="4"/>
  <c r="P294" i="4"/>
  <c r="N295" i="4"/>
  <c r="O295" i="4"/>
  <c r="P295" i="4"/>
  <c r="N296" i="4"/>
  <c r="O296" i="4"/>
  <c r="P296" i="4"/>
  <c r="N297" i="4"/>
  <c r="O297" i="4"/>
  <c r="P297" i="4"/>
  <c r="N298" i="4"/>
  <c r="O298" i="4"/>
  <c r="P298" i="4"/>
  <c r="N299" i="4"/>
  <c r="O299" i="4"/>
  <c r="P299" i="4"/>
  <c r="N300" i="4"/>
  <c r="O300" i="4"/>
  <c r="P300" i="4"/>
  <c r="N301" i="4"/>
  <c r="O301" i="4"/>
  <c r="P301" i="4"/>
  <c r="N302" i="4"/>
  <c r="O302" i="4"/>
  <c r="P302" i="4"/>
  <c r="N303" i="4"/>
  <c r="O303" i="4"/>
  <c r="P303" i="4"/>
  <c r="N304" i="4"/>
  <c r="O304" i="4"/>
  <c r="P304" i="4"/>
  <c r="N305" i="4"/>
  <c r="O305" i="4"/>
  <c r="P305" i="4"/>
  <c r="N306" i="4"/>
  <c r="O306" i="4"/>
  <c r="P306" i="4"/>
  <c r="N307" i="4"/>
  <c r="O307" i="4"/>
  <c r="P307" i="4"/>
  <c r="N308" i="4"/>
  <c r="O308" i="4"/>
  <c r="P308" i="4"/>
  <c r="N309" i="4"/>
  <c r="O309" i="4"/>
  <c r="P309" i="4"/>
  <c r="N310" i="4"/>
  <c r="O310" i="4"/>
  <c r="P310" i="4"/>
  <c r="N311" i="4"/>
  <c r="O311" i="4"/>
  <c r="P311" i="4"/>
  <c r="N312" i="4"/>
  <c r="O312" i="4"/>
  <c r="P312" i="4"/>
  <c r="N313" i="4"/>
  <c r="O313" i="4"/>
  <c r="P313" i="4"/>
  <c r="N314" i="4"/>
  <c r="O314" i="4"/>
  <c r="P314" i="4"/>
  <c r="N315" i="4"/>
  <c r="O315" i="4"/>
  <c r="P315" i="4"/>
  <c r="N316" i="4"/>
  <c r="O316" i="4"/>
  <c r="P316" i="4"/>
  <c r="N317" i="4"/>
  <c r="O317" i="4"/>
  <c r="P317" i="4"/>
  <c r="N318" i="4"/>
  <c r="O318" i="4"/>
  <c r="P318" i="4"/>
  <c r="N319" i="4"/>
  <c r="O319" i="4"/>
  <c r="P319" i="4"/>
  <c r="N320" i="4"/>
  <c r="O320" i="4"/>
  <c r="P320" i="4"/>
  <c r="N321" i="4"/>
  <c r="O321" i="4"/>
  <c r="P321" i="4"/>
  <c r="N322" i="4"/>
  <c r="O322" i="4"/>
  <c r="P322" i="4"/>
  <c r="N323" i="4"/>
  <c r="O323" i="4"/>
  <c r="P323" i="4"/>
  <c r="N324" i="4"/>
  <c r="O324" i="4"/>
  <c r="P324" i="4"/>
  <c r="N325" i="4"/>
  <c r="O325" i="4"/>
  <c r="P325" i="4"/>
  <c r="N326" i="4"/>
  <c r="O326" i="4"/>
  <c r="P326" i="4"/>
  <c r="N327" i="4"/>
  <c r="O327" i="4"/>
  <c r="P327" i="4"/>
  <c r="N328" i="4"/>
  <c r="O328" i="4"/>
  <c r="P328" i="4"/>
  <c r="N329" i="4"/>
  <c r="O329" i="4"/>
  <c r="P329" i="4"/>
  <c r="N330" i="4"/>
  <c r="O330" i="4"/>
  <c r="P330" i="4"/>
  <c r="N331" i="4"/>
  <c r="O331" i="4"/>
  <c r="P331" i="4"/>
  <c r="N332" i="4"/>
  <c r="O332" i="4"/>
  <c r="P332" i="4"/>
  <c r="N333" i="4"/>
  <c r="O333" i="4"/>
  <c r="P333" i="4"/>
  <c r="N334" i="4"/>
  <c r="O334" i="4"/>
  <c r="P334" i="4"/>
  <c r="N335" i="4"/>
  <c r="O335" i="4"/>
  <c r="P335" i="4"/>
  <c r="N336" i="4"/>
  <c r="O336" i="4"/>
  <c r="P336" i="4"/>
  <c r="N337" i="4"/>
  <c r="O337" i="4"/>
  <c r="P337" i="4"/>
  <c r="N338" i="4"/>
  <c r="O338" i="4"/>
  <c r="P338" i="4"/>
  <c r="N339" i="4"/>
  <c r="O339" i="4"/>
  <c r="P339" i="4"/>
  <c r="N340" i="4"/>
  <c r="O340" i="4"/>
  <c r="P340" i="4"/>
  <c r="N341" i="4"/>
  <c r="O341" i="4"/>
  <c r="P341" i="4"/>
  <c r="N342" i="4"/>
  <c r="O342" i="4"/>
  <c r="P342" i="4"/>
  <c r="N343" i="4"/>
  <c r="O343" i="4"/>
  <c r="P343" i="4"/>
  <c r="N344" i="4"/>
  <c r="O344" i="4"/>
  <c r="P344" i="4"/>
  <c r="N345" i="4"/>
  <c r="O345" i="4"/>
  <c r="P345" i="4"/>
  <c r="N346" i="4"/>
  <c r="O346" i="4"/>
  <c r="P346" i="4"/>
  <c r="N347" i="4"/>
  <c r="O347" i="4"/>
  <c r="P347" i="4"/>
  <c r="N348" i="4"/>
  <c r="O348" i="4"/>
  <c r="P348" i="4"/>
  <c r="N349" i="4"/>
  <c r="O349" i="4"/>
  <c r="P349" i="4"/>
  <c r="N350" i="4"/>
  <c r="O350" i="4"/>
  <c r="P350" i="4"/>
  <c r="N351" i="4"/>
  <c r="O351" i="4"/>
  <c r="P351" i="4"/>
  <c r="N352" i="4"/>
  <c r="O352" i="4"/>
  <c r="P352" i="4"/>
  <c r="N353" i="4"/>
  <c r="O353" i="4"/>
  <c r="P353" i="4"/>
  <c r="N354" i="4"/>
  <c r="O354" i="4"/>
  <c r="P354" i="4"/>
  <c r="N355" i="4"/>
  <c r="O355" i="4"/>
  <c r="P355" i="4"/>
  <c r="N356" i="4"/>
  <c r="O356" i="4"/>
  <c r="P356" i="4"/>
  <c r="N357" i="4"/>
  <c r="O357" i="4"/>
  <c r="P357" i="4"/>
  <c r="N358" i="4"/>
  <c r="O358" i="4"/>
  <c r="P358" i="4"/>
  <c r="N359" i="4"/>
  <c r="O359" i="4"/>
  <c r="P359" i="4"/>
  <c r="N360" i="4"/>
  <c r="O360" i="4"/>
  <c r="P360" i="4"/>
  <c r="N361" i="4"/>
  <c r="O361" i="4"/>
  <c r="P361" i="4"/>
  <c r="N362" i="4"/>
  <c r="O362" i="4"/>
  <c r="P362" i="4"/>
  <c r="N363" i="4"/>
  <c r="O363" i="4"/>
  <c r="P363" i="4"/>
  <c r="N364" i="4"/>
  <c r="O364" i="4"/>
  <c r="P364" i="4"/>
  <c r="N365" i="4"/>
  <c r="O365" i="4"/>
  <c r="P365" i="4"/>
  <c r="N366" i="4"/>
  <c r="O366" i="4"/>
  <c r="P366" i="4"/>
  <c r="N367" i="4"/>
  <c r="O367" i="4"/>
  <c r="P367" i="4"/>
  <c r="N368" i="4"/>
  <c r="O368" i="4"/>
  <c r="P368" i="4"/>
  <c r="N369" i="4"/>
  <c r="O369" i="4"/>
  <c r="P369" i="4"/>
  <c r="N370" i="4"/>
  <c r="O370" i="4"/>
  <c r="P370" i="4"/>
  <c r="N371" i="4"/>
  <c r="O371" i="4"/>
  <c r="P371" i="4"/>
  <c r="N372" i="4"/>
  <c r="O372" i="4"/>
  <c r="P372" i="4"/>
  <c r="N373" i="4"/>
  <c r="O373" i="4"/>
  <c r="P373" i="4"/>
  <c r="N374" i="4"/>
  <c r="O374" i="4"/>
  <c r="P374" i="4"/>
  <c r="N375" i="4"/>
  <c r="O375" i="4"/>
  <c r="P375" i="4"/>
  <c r="N376" i="4"/>
  <c r="O376" i="4"/>
  <c r="P376" i="4"/>
  <c r="N377" i="4"/>
  <c r="O377" i="4"/>
  <c r="P377" i="4"/>
  <c r="N378" i="4"/>
  <c r="O378" i="4"/>
  <c r="P378" i="4"/>
  <c r="N379" i="4"/>
  <c r="O379" i="4"/>
  <c r="P379" i="4"/>
  <c r="N380" i="4"/>
  <c r="O380" i="4"/>
  <c r="P380" i="4"/>
  <c r="N381" i="4"/>
  <c r="O381" i="4"/>
  <c r="P381" i="4"/>
  <c r="N382" i="4"/>
  <c r="O382" i="4"/>
  <c r="P382" i="4"/>
  <c r="N383" i="4"/>
  <c r="O383" i="4"/>
  <c r="P383" i="4"/>
  <c r="N384" i="4"/>
  <c r="O384" i="4"/>
  <c r="P384" i="4"/>
  <c r="N385" i="4"/>
  <c r="O385" i="4"/>
  <c r="P385" i="4"/>
  <c r="N386" i="4"/>
  <c r="O386" i="4"/>
  <c r="P386" i="4"/>
  <c r="N387" i="4"/>
  <c r="O387" i="4"/>
  <c r="P387" i="4"/>
  <c r="N388" i="4"/>
  <c r="O388" i="4"/>
  <c r="P388" i="4"/>
  <c r="N389" i="4"/>
  <c r="O389" i="4"/>
  <c r="P389" i="4"/>
  <c r="N390" i="4"/>
  <c r="O390" i="4"/>
  <c r="P390" i="4"/>
  <c r="N391" i="4"/>
  <c r="O391" i="4"/>
  <c r="P391" i="4"/>
  <c r="N392" i="4"/>
  <c r="O392" i="4"/>
  <c r="P392" i="4"/>
  <c r="N393" i="4"/>
  <c r="O393" i="4"/>
  <c r="P393" i="4"/>
  <c r="N394" i="4"/>
  <c r="O394" i="4"/>
  <c r="P394" i="4"/>
  <c r="N395" i="4"/>
  <c r="O395" i="4"/>
  <c r="P395" i="4"/>
  <c r="N396" i="4"/>
  <c r="O396" i="4"/>
  <c r="P396" i="4"/>
  <c r="N397" i="4"/>
  <c r="O397" i="4"/>
  <c r="P397" i="4"/>
  <c r="N398" i="4"/>
  <c r="O398" i="4"/>
  <c r="P398" i="4"/>
  <c r="N399" i="4"/>
  <c r="O399" i="4"/>
  <c r="P399" i="4"/>
  <c r="N400" i="4"/>
  <c r="O400" i="4"/>
  <c r="P400" i="4"/>
  <c r="N401" i="4"/>
  <c r="O401" i="4"/>
  <c r="P401" i="4"/>
  <c r="N402" i="4"/>
  <c r="O402" i="4"/>
  <c r="P402" i="4"/>
  <c r="N403" i="4"/>
  <c r="O403" i="4"/>
  <c r="P403" i="4"/>
  <c r="N404" i="4"/>
  <c r="O404" i="4"/>
  <c r="P404" i="4"/>
  <c r="N405" i="4"/>
  <c r="O405" i="4"/>
  <c r="P405" i="4"/>
  <c r="N406" i="4"/>
  <c r="O406" i="4"/>
  <c r="P406" i="4"/>
  <c r="N407" i="4"/>
  <c r="O407" i="4"/>
  <c r="P407" i="4"/>
  <c r="N408" i="4"/>
  <c r="O408" i="4"/>
  <c r="P408" i="4"/>
  <c r="N409" i="4"/>
  <c r="O409" i="4"/>
  <c r="P409" i="4"/>
  <c r="N410" i="4"/>
  <c r="O410" i="4"/>
  <c r="P410" i="4"/>
  <c r="N411" i="4"/>
  <c r="O411" i="4"/>
  <c r="P411" i="4"/>
  <c r="N412" i="4"/>
  <c r="O412" i="4"/>
  <c r="P412" i="4"/>
  <c r="N413" i="4"/>
  <c r="O413" i="4"/>
  <c r="P413" i="4"/>
  <c r="N414" i="4"/>
  <c r="O414" i="4"/>
  <c r="P414" i="4"/>
  <c r="N415" i="4"/>
  <c r="O415" i="4"/>
  <c r="P415" i="4"/>
  <c r="N416" i="4"/>
  <c r="O416" i="4"/>
  <c r="P416" i="4"/>
  <c r="N417" i="4"/>
  <c r="O417" i="4"/>
  <c r="P417" i="4"/>
  <c r="N418" i="4"/>
  <c r="O418" i="4"/>
  <c r="P418" i="4"/>
  <c r="N419" i="4"/>
  <c r="O419" i="4"/>
  <c r="P419" i="4"/>
  <c r="N420" i="4"/>
  <c r="O420" i="4"/>
  <c r="P420" i="4"/>
  <c r="N421" i="4"/>
  <c r="O421" i="4"/>
  <c r="P421" i="4"/>
  <c r="N422" i="4"/>
  <c r="O422" i="4"/>
  <c r="P422" i="4"/>
  <c r="N423" i="4"/>
  <c r="O423" i="4"/>
  <c r="P423" i="4"/>
  <c r="N424" i="4"/>
  <c r="O424" i="4"/>
  <c r="P424" i="4"/>
  <c r="N425" i="4"/>
  <c r="O425" i="4"/>
  <c r="P425" i="4"/>
  <c r="N426" i="4"/>
  <c r="O426" i="4"/>
  <c r="P426" i="4"/>
  <c r="N427" i="4"/>
  <c r="O427" i="4"/>
  <c r="P427" i="4"/>
  <c r="N428" i="4"/>
  <c r="O428" i="4"/>
  <c r="P428" i="4"/>
  <c r="N429" i="4"/>
  <c r="O429" i="4"/>
  <c r="P429" i="4"/>
  <c r="N430" i="4"/>
  <c r="O430" i="4"/>
  <c r="P430" i="4"/>
  <c r="N431" i="4"/>
  <c r="O431" i="4"/>
  <c r="P431" i="4"/>
  <c r="N432" i="4"/>
  <c r="O432" i="4"/>
  <c r="P432" i="4"/>
  <c r="N433" i="4"/>
  <c r="O433" i="4"/>
  <c r="P433" i="4"/>
  <c r="N434" i="4"/>
  <c r="O434" i="4"/>
  <c r="P434" i="4"/>
  <c r="N435" i="4"/>
  <c r="O435" i="4"/>
  <c r="P435" i="4"/>
  <c r="N436" i="4"/>
  <c r="O436" i="4"/>
  <c r="P436" i="4"/>
  <c r="N437" i="4"/>
  <c r="O437" i="4"/>
  <c r="P437" i="4"/>
  <c r="N438" i="4"/>
  <c r="O438" i="4"/>
  <c r="P438" i="4"/>
  <c r="N439" i="4"/>
  <c r="O439" i="4"/>
  <c r="P439" i="4"/>
  <c r="N440" i="4"/>
  <c r="O440" i="4"/>
  <c r="P440" i="4"/>
  <c r="N441" i="4"/>
  <c r="O441" i="4"/>
  <c r="P441" i="4"/>
  <c r="N442" i="4"/>
  <c r="O442" i="4"/>
  <c r="P442" i="4"/>
  <c r="N443" i="4"/>
  <c r="O443" i="4"/>
  <c r="P443" i="4"/>
  <c r="N444" i="4"/>
  <c r="O444" i="4"/>
  <c r="P444" i="4"/>
  <c r="N445" i="4"/>
  <c r="O445" i="4"/>
  <c r="P445" i="4"/>
  <c r="N446" i="4"/>
  <c r="O446" i="4"/>
  <c r="P446" i="4"/>
  <c r="N447" i="4"/>
  <c r="O447" i="4"/>
  <c r="P447" i="4"/>
  <c r="N448" i="4"/>
  <c r="O448" i="4"/>
  <c r="P448" i="4"/>
  <c r="N449" i="4"/>
  <c r="O449" i="4"/>
  <c r="P449" i="4"/>
  <c r="N450" i="4"/>
  <c r="O450" i="4"/>
  <c r="P450" i="4"/>
  <c r="N451" i="4"/>
  <c r="O451" i="4"/>
  <c r="P451" i="4"/>
  <c r="N452" i="4"/>
  <c r="O452" i="4"/>
  <c r="P452" i="4"/>
  <c r="N453" i="4"/>
  <c r="O453" i="4"/>
  <c r="P453" i="4"/>
  <c r="N454" i="4"/>
  <c r="O454" i="4"/>
  <c r="P454" i="4"/>
  <c r="N455" i="4"/>
  <c r="O455" i="4"/>
  <c r="P455" i="4"/>
  <c r="N456" i="4"/>
  <c r="O456" i="4"/>
  <c r="P456" i="4"/>
  <c r="N457" i="4"/>
  <c r="O457" i="4"/>
  <c r="P457" i="4"/>
  <c r="N458" i="4"/>
  <c r="O458" i="4"/>
  <c r="P458" i="4"/>
  <c r="N459" i="4"/>
  <c r="O459" i="4"/>
  <c r="P459" i="4"/>
  <c r="N460" i="4"/>
  <c r="O460" i="4"/>
  <c r="P460" i="4"/>
  <c r="N461" i="4"/>
  <c r="O461" i="4"/>
  <c r="P461" i="4"/>
  <c r="N462" i="4"/>
  <c r="O462" i="4"/>
  <c r="P462" i="4"/>
  <c r="N463" i="4"/>
  <c r="O463" i="4"/>
  <c r="P463" i="4"/>
  <c r="N464" i="4"/>
  <c r="O464" i="4"/>
  <c r="P464" i="4"/>
  <c r="N465" i="4"/>
  <c r="O465" i="4"/>
  <c r="P465" i="4"/>
  <c r="N466" i="4"/>
  <c r="O466" i="4"/>
  <c r="P466" i="4"/>
  <c r="N467" i="4"/>
  <c r="O467" i="4"/>
  <c r="P467" i="4"/>
  <c r="N468" i="4"/>
  <c r="O468" i="4"/>
  <c r="P468" i="4"/>
  <c r="N469" i="4"/>
  <c r="O469" i="4"/>
  <c r="P469" i="4"/>
  <c r="N470" i="4"/>
  <c r="O470" i="4"/>
  <c r="P470" i="4"/>
  <c r="N471" i="4"/>
  <c r="O471" i="4"/>
  <c r="P471" i="4"/>
  <c r="N472" i="4"/>
  <c r="O472" i="4"/>
  <c r="P472" i="4"/>
  <c r="N473" i="4"/>
  <c r="O473" i="4"/>
  <c r="P473" i="4"/>
  <c r="N474" i="4"/>
  <c r="O474" i="4"/>
  <c r="P474" i="4"/>
  <c r="N475" i="4"/>
  <c r="O475" i="4"/>
  <c r="P475" i="4"/>
  <c r="N476" i="4"/>
  <c r="O476" i="4"/>
  <c r="P476" i="4"/>
  <c r="N477" i="4"/>
  <c r="O477" i="4"/>
  <c r="P477" i="4"/>
  <c r="N478" i="4"/>
  <c r="O478" i="4"/>
  <c r="P478" i="4"/>
  <c r="N479" i="4"/>
  <c r="O479" i="4"/>
  <c r="P479" i="4"/>
  <c r="N480" i="4"/>
  <c r="O480" i="4"/>
  <c r="P480" i="4"/>
  <c r="N481" i="4"/>
  <c r="O481" i="4"/>
  <c r="P481" i="4"/>
  <c r="N482" i="4"/>
  <c r="O482" i="4"/>
  <c r="P482" i="4"/>
  <c r="N483" i="4"/>
  <c r="O483" i="4"/>
  <c r="P483" i="4"/>
  <c r="N484" i="4"/>
  <c r="O484" i="4"/>
  <c r="P484" i="4"/>
  <c r="N301" i="3"/>
  <c r="N300" i="3"/>
  <c r="N299" i="3"/>
  <c r="N298" i="3"/>
  <c r="N297" i="3"/>
  <c r="N296" i="3"/>
  <c r="N295" i="3"/>
  <c r="N294" i="3"/>
  <c r="N293" i="3"/>
  <c r="N292" i="3"/>
  <c r="N291" i="3"/>
  <c r="N290" i="3"/>
  <c r="N289" i="3"/>
  <c r="N288" i="3"/>
  <c r="N287" i="3"/>
  <c r="N286" i="3"/>
  <c r="N285" i="3"/>
  <c r="N284" i="3"/>
  <c r="N283" i="3"/>
  <c r="N282" i="3"/>
  <c r="N281" i="3"/>
  <c r="N280" i="3"/>
  <c r="N279" i="3"/>
  <c r="N278" i="3"/>
  <c r="N277" i="3"/>
  <c r="N276" i="3"/>
  <c r="N275" i="3"/>
  <c r="N274" i="3"/>
  <c r="N273" i="3"/>
  <c r="N272" i="3"/>
  <c r="N271" i="3"/>
  <c r="N270" i="3"/>
  <c r="N269" i="3"/>
  <c r="N268" i="3"/>
  <c r="N267" i="3"/>
  <c r="N266" i="3"/>
  <c r="N265" i="3"/>
  <c r="N264" i="3"/>
  <c r="N263" i="3"/>
  <c r="N262" i="3"/>
  <c r="N261" i="3"/>
  <c r="N260" i="3"/>
  <c r="N259" i="3"/>
  <c r="N258" i="3"/>
  <c r="N257" i="3"/>
  <c r="N256" i="3"/>
  <c r="N255" i="3"/>
  <c r="N254" i="3"/>
  <c r="N253" i="3"/>
  <c r="N252" i="3"/>
  <c r="N251" i="3"/>
  <c r="N250" i="3"/>
  <c r="N249" i="3"/>
  <c r="N248" i="3"/>
  <c r="N247" i="3"/>
  <c r="N246" i="3"/>
  <c r="N245" i="3"/>
  <c r="N244" i="3"/>
  <c r="N243" i="3"/>
  <c r="N242" i="3"/>
  <c r="N241" i="3"/>
  <c r="N240" i="3"/>
  <c r="N239" i="3"/>
  <c r="N238" i="3"/>
  <c r="N237" i="3"/>
  <c r="N236" i="3"/>
  <c r="N235" i="3"/>
  <c r="N234" i="3"/>
  <c r="N233" i="3"/>
  <c r="N232" i="3"/>
  <c r="N231" i="3"/>
  <c r="N230" i="3"/>
  <c r="N229" i="3"/>
  <c r="N228" i="3"/>
  <c r="N227" i="3"/>
  <c r="N226" i="3"/>
  <c r="N225" i="3"/>
  <c r="N224" i="3"/>
  <c r="N223" i="3"/>
  <c r="N222" i="3"/>
  <c r="N221" i="3"/>
  <c r="N220" i="3"/>
  <c r="N219" i="3"/>
  <c r="N218" i="3"/>
  <c r="N217" i="3"/>
  <c r="N216" i="3"/>
  <c r="N215" i="3"/>
  <c r="N214" i="3"/>
  <c r="N213" i="3"/>
  <c r="N212" i="3"/>
  <c r="N211" i="3"/>
  <c r="N210" i="3"/>
  <c r="N209" i="3"/>
  <c r="N208" i="3"/>
  <c r="N207" i="3"/>
  <c r="N206" i="3"/>
  <c r="N205" i="3"/>
  <c r="N204" i="3"/>
  <c r="N203" i="3"/>
  <c r="N202" i="3"/>
  <c r="N201" i="3"/>
  <c r="N200" i="3"/>
  <c r="N199" i="3"/>
  <c r="N198" i="3"/>
  <c r="N197" i="3"/>
  <c r="N196" i="3"/>
  <c r="N195" i="3"/>
  <c r="N194" i="3"/>
  <c r="N193" i="3"/>
  <c r="N192" i="3"/>
  <c r="N191" i="3"/>
  <c r="N190" i="3"/>
  <c r="N189" i="3"/>
  <c r="N188" i="3"/>
  <c r="N187" i="3"/>
  <c r="N186" i="3"/>
  <c r="N185" i="3"/>
  <c r="N184" i="3"/>
  <c r="N183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Q3" i="4" l="1"/>
  <c r="Q338" i="4"/>
  <c r="Q376" i="4"/>
  <c r="Q36" i="4"/>
  <c r="Q314" i="4"/>
  <c r="Q302" i="4"/>
  <c r="Q290" i="4"/>
  <c r="Q234" i="4"/>
  <c r="Q150" i="4"/>
  <c r="Q90" i="4"/>
  <c r="Q273" i="4"/>
  <c r="Q125" i="4"/>
  <c r="Q123" i="4"/>
  <c r="Q282" i="4"/>
  <c r="Q134" i="4"/>
  <c r="Q380" i="4"/>
  <c r="Q411" i="4"/>
  <c r="Q286" i="4"/>
  <c r="Q394" i="4"/>
  <c r="Q259" i="4"/>
  <c r="Q59" i="4"/>
  <c r="Q329" i="4"/>
  <c r="Q317" i="4"/>
  <c r="Q293" i="4"/>
  <c r="Q27" i="4"/>
  <c r="Q185" i="4"/>
  <c r="Q110" i="4"/>
  <c r="Q236" i="4"/>
  <c r="Q351" i="4"/>
  <c r="Q135" i="4"/>
  <c r="Q405" i="4"/>
  <c r="Q401" i="4"/>
  <c r="Q387" i="4"/>
  <c r="Q370" i="4"/>
  <c r="Q445" i="4"/>
  <c r="Q324" i="4"/>
  <c r="Q263" i="4"/>
  <c r="Q321" i="4"/>
  <c r="Q296" i="4"/>
  <c r="Q69" i="4"/>
  <c r="Q426" i="4"/>
  <c r="Q398" i="4"/>
  <c r="Q260" i="4"/>
  <c r="Q207" i="4"/>
  <c r="Q270" i="4"/>
  <c r="Q92" i="4"/>
  <c r="Q425" i="4"/>
  <c r="Q413" i="4"/>
  <c r="Q113" i="4"/>
  <c r="Q210" i="4"/>
  <c r="Q245" i="4"/>
  <c r="Q268" i="4"/>
  <c r="Q381" i="4"/>
  <c r="Q415" i="4"/>
  <c r="Q101" i="4"/>
  <c r="Q218" i="4"/>
  <c r="Q252" i="4"/>
  <c r="Q186" i="4"/>
  <c r="Q342" i="4"/>
  <c r="Q422" i="4"/>
  <c r="Q383" i="4"/>
  <c r="Q167" i="4"/>
  <c r="Q99" i="4"/>
  <c r="Q285" i="4"/>
  <c r="Q161" i="4"/>
  <c r="Q339" i="4"/>
  <c r="Q331" i="4"/>
  <c r="Q358" i="4"/>
  <c r="Q299" i="4"/>
  <c r="Q287" i="4"/>
  <c r="Q54" i="4"/>
  <c r="Q84" i="4"/>
  <c r="Q33" i="4"/>
  <c r="Q262" i="4"/>
  <c r="Q243" i="4"/>
  <c r="Q114" i="4"/>
  <c r="Q300" i="4"/>
  <c r="Q408" i="4"/>
  <c r="Q388" i="4"/>
  <c r="Q365" i="4"/>
  <c r="Q353" i="4"/>
  <c r="Q275" i="4"/>
  <c r="Q221" i="4"/>
  <c r="Q423" i="4"/>
  <c r="Q219" i="4"/>
  <c r="Q200" i="4"/>
  <c r="Q95" i="4"/>
  <c r="Q102" i="4"/>
  <c r="Q303" i="4"/>
  <c r="Q75" i="4"/>
  <c r="Q280" i="4"/>
  <c r="Q276" i="4"/>
  <c r="Q128" i="4"/>
  <c r="Q360" i="4"/>
  <c r="Q322" i="4"/>
  <c r="Q337" i="4"/>
  <c r="Q306" i="4"/>
  <c r="Q143" i="4"/>
  <c r="Q120" i="4"/>
  <c r="Q390" i="4"/>
  <c r="Q15" i="4"/>
  <c r="Q363" i="4"/>
  <c r="Q146" i="4"/>
  <c r="Q65" i="4"/>
  <c r="Q26" i="4"/>
  <c r="Q475" i="4"/>
  <c r="Q463" i="4"/>
  <c r="Q404" i="4"/>
  <c r="Q377" i="4"/>
  <c r="Q149" i="4"/>
  <c r="Q72" i="4"/>
  <c r="Q366" i="4"/>
  <c r="Q279" i="4"/>
  <c r="Q78" i="4"/>
  <c r="Q373" i="4"/>
  <c r="Q384" i="4"/>
  <c r="Q312" i="4"/>
  <c r="Q179" i="4"/>
  <c r="Q39" i="4"/>
  <c r="Q417" i="4"/>
  <c r="Q406" i="4"/>
  <c r="Q334" i="4"/>
  <c r="Q159" i="4"/>
  <c r="Q341" i="4"/>
  <c r="Q319" i="4"/>
  <c r="Q307" i="4"/>
  <c r="Q255" i="4"/>
  <c r="Q182" i="4"/>
  <c r="Q156" i="4"/>
  <c r="Q327" i="4"/>
  <c r="Q316" i="4"/>
  <c r="Q51" i="4"/>
  <c r="Q304" i="4"/>
  <c r="Q206" i="4"/>
  <c r="Q107" i="4"/>
  <c r="Q472" i="4"/>
  <c r="Q416" i="4"/>
  <c r="Q356" i="4"/>
  <c r="Q266" i="4"/>
  <c r="Q283" i="4"/>
  <c r="Q265" i="4"/>
  <c r="Q294" i="4"/>
  <c r="Q418" i="4"/>
  <c r="Q433" i="4"/>
  <c r="Q297" i="4"/>
  <c r="Q391" i="4"/>
  <c r="Q378" i="4"/>
  <c r="Q367" i="4"/>
  <c r="Q348" i="4"/>
  <c r="Q269" i="4"/>
  <c r="Q258" i="4"/>
  <c r="Q131" i="4"/>
  <c r="Q18" i="4"/>
  <c r="Q424" i="4"/>
  <c r="Q340" i="4"/>
  <c r="Q420" i="4"/>
  <c r="Q231" i="4"/>
  <c r="Q20" i="4"/>
  <c r="Q343" i="4"/>
  <c r="Q271" i="4"/>
  <c r="Q50" i="4"/>
  <c r="Q192" i="4"/>
  <c r="Q38" i="4"/>
  <c r="Q379" i="4"/>
  <c r="Q267" i="4"/>
  <c r="Q53" i="4"/>
  <c r="Q469" i="4"/>
  <c r="Q393" i="4"/>
  <c r="Q295" i="4"/>
  <c r="Q203" i="4"/>
  <c r="Q457" i="4"/>
  <c r="Q357" i="4"/>
  <c r="Q291" i="4"/>
  <c r="Q195" i="4"/>
  <c r="Q396" i="4"/>
  <c r="Q374" i="4"/>
  <c r="Q320" i="4"/>
  <c r="Q298" i="4"/>
  <c r="Q71" i="4"/>
  <c r="Q56" i="4"/>
  <c r="Q439" i="4"/>
  <c r="Q336" i="4"/>
  <c r="Q42" i="4"/>
  <c r="Q454" i="4"/>
  <c r="Q173" i="4"/>
  <c r="Q309" i="4"/>
  <c r="Q333" i="4"/>
  <c r="Q170" i="4"/>
  <c r="Q35" i="4"/>
  <c r="Q354" i="4"/>
  <c r="Q242" i="4"/>
  <c r="Q249" i="4"/>
  <c r="Q414" i="4"/>
  <c r="Q213" i="4"/>
  <c r="Q141" i="4"/>
  <c r="Q137" i="4"/>
  <c r="Q74" i="4"/>
  <c r="Q2" i="4"/>
  <c r="Q216" i="4"/>
  <c r="Q427" i="4"/>
  <c r="Q264" i="4"/>
  <c r="Q288" i="4"/>
  <c r="Q177" i="4"/>
  <c r="Q180" i="4"/>
  <c r="Q428" i="4"/>
  <c r="Q403" i="4"/>
  <c r="Q359" i="4"/>
  <c r="Q344" i="4"/>
  <c r="Q330" i="4"/>
  <c r="Q311" i="4"/>
  <c r="Q272" i="4"/>
  <c r="Q228" i="4"/>
  <c r="Q209" i="4"/>
  <c r="Q77" i="4"/>
  <c r="Q5" i="4"/>
  <c r="Q315" i="4"/>
  <c r="Q325" i="4"/>
  <c r="Q34" i="4"/>
  <c r="Q402" i="4"/>
  <c r="Q222" i="4"/>
  <c r="Q73" i="4"/>
  <c r="Q55" i="4"/>
  <c r="Q429" i="4"/>
  <c r="Q244" i="4"/>
  <c r="Q91" i="4"/>
  <c r="Q481" i="4"/>
  <c r="Q466" i="4"/>
  <c r="Q261" i="4"/>
  <c r="Q212" i="4"/>
  <c r="Q183" i="4"/>
  <c r="Q409" i="4"/>
  <c r="Q194" i="4"/>
  <c r="Q66" i="4"/>
  <c r="Q352" i="4"/>
  <c r="Q251" i="4"/>
  <c r="Q470" i="4"/>
  <c r="Q455" i="4"/>
  <c r="Q369" i="4"/>
  <c r="Q105" i="4"/>
  <c r="Q477" i="4"/>
  <c r="Q407" i="4"/>
  <c r="Q386" i="4"/>
  <c r="Q368" i="4"/>
  <c r="Q347" i="4"/>
  <c r="Q323" i="4"/>
  <c r="Q239" i="4"/>
  <c r="Q385" i="4"/>
  <c r="Q345" i="4"/>
  <c r="Q80" i="4"/>
  <c r="Q440" i="4"/>
  <c r="Q399" i="4"/>
  <c r="Q233" i="4"/>
  <c r="Q444" i="4"/>
  <c r="Q410" i="4"/>
  <c r="Q382" i="4"/>
  <c r="Q375" i="4"/>
  <c r="Q371" i="4"/>
  <c r="Q350" i="4"/>
  <c r="Q326" i="4"/>
  <c r="Q305" i="4"/>
  <c r="Q274" i="4"/>
  <c r="Q162" i="4"/>
  <c r="Q144" i="4"/>
  <c r="Q111" i="4"/>
  <c r="Q318" i="4"/>
  <c r="Q443" i="4"/>
  <c r="Q44" i="4"/>
  <c r="Q412" i="4"/>
  <c r="Q301" i="4"/>
  <c r="Q147" i="4"/>
  <c r="Q436" i="4"/>
  <c r="Q447" i="4"/>
  <c r="Q165" i="4"/>
  <c r="Q12" i="4"/>
  <c r="Q4" i="4"/>
  <c r="Q208" i="4"/>
  <c r="Q172" i="4"/>
  <c r="Q23" i="4"/>
  <c r="Q197" i="4"/>
  <c r="Q48" i="4"/>
  <c r="Q484" i="4"/>
  <c r="Q62" i="4"/>
  <c r="Q225" i="4"/>
  <c r="Q87" i="4"/>
  <c r="Q277" i="4"/>
  <c r="Q129" i="4"/>
  <c r="Q122" i="4"/>
  <c r="Q140" i="4"/>
  <c r="Q158" i="4"/>
  <c r="Q451" i="4"/>
  <c r="Q432" i="4"/>
  <c r="Q176" i="4"/>
  <c r="Q8" i="4"/>
  <c r="Q473" i="4"/>
  <c r="Q215" i="4"/>
  <c r="Q30" i="4"/>
  <c r="Q372" i="4"/>
  <c r="Q254" i="4"/>
  <c r="Q98" i="4"/>
  <c r="Q458" i="4"/>
  <c r="Q328" i="4"/>
  <c r="Q395" i="4"/>
  <c r="Q257" i="4"/>
  <c r="Q462" i="4"/>
  <c r="Q201" i="4"/>
  <c r="Q355" i="4"/>
  <c r="Q284" i="4"/>
  <c r="Q108" i="4"/>
  <c r="Q40" i="4"/>
  <c r="Q476" i="4"/>
  <c r="Q250" i="4"/>
  <c r="Q136" i="4"/>
  <c r="Q104" i="4"/>
  <c r="Q461" i="4"/>
  <c r="Q446" i="4"/>
  <c r="Q435" i="4"/>
  <c r="Q421" i="4"/>
  <c r="Q310" i="4"/>
  <c r="Q253" i="4"/>
  <c r="Q214" i="4"/>
  <c r="Q189" i="4"/>
  <c r="Q86" i="4"/>
  <c r="Q29" i="4"/>
  <c r="Q442" i="4"/>
  <c r="Q364" i="4"/>
  <c r="Q256" i="4"/>
  <c r="Q235" i="4"/>
  <c r="Q171" i="4"/>
  <c r="Q93" i="4"/>
  <c r="Q68" i="4"/>
  <c r="Q57" i="4"/>
  <c r="Q464" i="4"/>
  <c r="Q453" i="4"/>
  <c r="Q438" i="4"/>
  <c r="Q313" i="4"/>
  <c r="Q89" i="4"/>
  <c r="Q460" i="4"/>
  <c r="Q449" i="4"/>
  <c r="Q434" i="4"/>
  <c r="Q188" i="4"/>
  <c r="Q181" i="4"/>
  <c r="Q163" i="4"/>
  <c r="Q142" i="4"/>
  <c r="Q28" i="4"/>
  <c r="Q6" i="4"/>
  <c r="Q482" i="4"/>
  <c r="Q471" i="4"/>
  <c r="Q441" i="4"/>
  <c r="Q400" i="4"/>
  <c r="Q346" i="4"/>
  <c r="Q152" i="4"/>
  <c r="Q106" i="4"/>
  <c r="Q81" i="4"/>
  <c r="Q478" i="4"/>
  <c r="Q292" i="4"/>
  <c r="Q148" i="4"/>
  <c r="Q116" i="4"/>
  <c r="Q63" i="4"/>
  <c r="Q474" i="4"/>
  <c r="Q459" i="4"/>
  <c r="Q448" i="4"/>
  <c r="Q419" i="4"/>
  <c r="Q389" i="4"/>
  <c r="Q349" i="4"/>
  <c r="Q332" i="4"/>
  <c r="Q308" i="4"/>
  <c r="Q278" i="4"/>
  <c r="Q248" i="4"/>
  <c r="Q237" i="4"/>
  <c r="Q230" i="4"/>
  <c r="Q198" i="4"/>
  <c r="Q70" i="4"/>
  <c r="Q45" i="4"/>
  <c r="Q41" i="4"/>
  <c r="Q9" i="4"/>
  <c r="Q19" i="4"/>
  <c r="Q480" i="4"/>
  <c r="Q465" i="4"/>
  <c r="Q361" i="4"/>
  <c r="Q450" i="4"/>
  <c r="Q246" i="4"/>
  <c r="Q164" i="4"/>
  <c r="Q483" i="4"/>
  <c r="Q431" i="4"/>
  <c r="Q224" i="4"/>
  <c r="Q153" i="4"/>
  <c r="Q100" i="4"/>
  <c r="Q479" i="4"/>
  <c r="Q468" i="4"/>
  <c r="Q397" i="4"/>
  <c r="Q178" i="4"/>
  <c r="Q117" i="4"/>
  <c r="Q64" i="4"/>
  <c r="Q14" i="4"/>
  <c r="Q289" i="4"/>
  <c r="Q174" i="4"/>
  <c r="Q32" i="4"/>
  <c r="Q21" i="4"/>
  <c r="Q456" i="4"/>
  <c r="Q199" i="4"/>
  <c r="Q138" i="4"/>
  <c r="Q17" i="4"/>
  <c r="Q467" i="4"/>
  <c r="Q452" i="4"/>
  <c r="Q437" i="4"/>
  <c r="Q127" i="4"/>
  <c r="Q392" i="4"/>
  <c r="Q362" i="4"/>
  <c r="Q335" i="4"/>
  <c r="Q281" i="4"/>
  <c r="Q126" i="4"/>
  <c r="Q220" i="4"/>
  <c r="Q168" i="4"/>
  <c r="Q154" i="4"/>
  <c r="Q60" i="4"/>
  <c r="Q11" i="4"/>
  <c r="Q7" i="4"/>
  <c r="Q227" i="4"/>
  <c r="Q223" i="4"/>
  <c r="Q119" i="4"/>
  <c r="Q115" i="4"/>
  <c r="Q204" i="4"/>
  <c r="Q190" i="4"/>
  <c r="Q82" i="4"/>
  <c r="Q151" i="4"/>
  <c r="Q47" i="4"/>
  <c r="Q43" i="4"/>
  <c r="Q217" i="4"/>
  <c r="Q109" i="4"/>
  <c r="Q184" i="4"/>
  <c r="Q76" i="4"/>
  <c r="Q24" i="4"/>
  <c r="Q240" i="4"/>
  <c r="Q226" i="4"/>
  <c r="Q132" i="4"/>
  <c r="Q118" i="4"/>
  <c r="Q430" i="4"/>
  <c r="Q191" i="4"/>
  <c r="Q187" i="4"/>
  <c r="Q83" i="4"/>
  <c r="Q79" i="4"/>
  <c r="Q96" i="4"/>
  <c r="Q155" i="4"/>
  <c r="Q112" i="4"/>
  <c r="Q145" i="4"/>
  <c r="Q37" i="4"/>
  <c r="Q193" i="4"/>
  <c r="Q157" i="4"/>
  <c r="Q121" i="4"/>
  <c r="Q85" i="4"/>
  <c r="Q49" i="4"/>
  <c r="Q13" i="4"/>
  <c r="Q232" i="4"/>
  <c r="Q196" i="4"/>
  <c r="Q160" i="4"/>
  <c r="Q124" i="4"/>
  <c r="Q88" i="4"/>
  <c r="Q52" i="4"/>
  <c r="Q16" i="4"/>
  <c r="Q10" i="4"/>
  <c r="Q202" i="4"/>
  <c r="Q130" i="4"/>
  <c r="Q94" i="4"/>
  <c r="Q58" i="4"/>
  <c r="Q22" i="4"/>
  <c r="Q241" i="4"/>
  <c r="Q205" i="4"/>
  <c r="Q169" i="4"/>
  <c r="Q133" i="4"/>
  <c r="Q97" i="4"/>
  <c r="Q61" i="4"/>
  <c r="Q25" i="4"/>
  <c r="Q46" i="4"/>
  <c r="Q229" i="4"/>
  <c r="Q238" i="4"/>
  <c r="Q166" i="4"/>
  <c r="Q247" i="4"/>
  <c r="Q211" i="4"/>
  <c r="Q175" i="4"/>
  <c r="Q139" i="4"/>
  <c r="Q103" i="4"/>
  <c r="Q67" i="4"/>
  <c r="Q3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51C5D8-69DE-4252-85A5-9405901D248F}" keepAlive="1" name="Query - Posts (2)" description="Connection to the 'Posts (2)' query in the workbook." type="5" refreshedVersion="8" background="1" saveData="1">
    <dbPr connection="Provider=Microsoft.Mashup.OleDb.1;Data Source=$Workbook$;Location=&quot;Posts (2)&quot;;Extended Properties=&quot;&quot;" command="SELECT * FROM [Posts (2)]"/>
  </connection>
  <connection id="2" xr16:uid="{E2F8E108-C158-451C-A3D0-A0A46206FCCD}" keepAlive="1" name="Query - Posts (3)" description="Connection to the 'Posts (3)' query in the workbook." type="5" refreshedVersion="8" background="1" saveData="1">
    <dbPr connection="Provider=Microsoft.Mashup.OleDb.1;Data Source=$Workbook$;Location=&quot;Posts (3)&quot;;Extended Properties=&quot;&quot;" command="SELECT * FROM [Posts (3)]"/>
  </connection>
</connections>
</file>

<file path=xl/sharedStrings.xml><?xml version="1.0" encoding="utf-8"?>
<sst xmlns="http://schemas.openxmlformats.org/spreadsheetml/2006/main" count="4749" uniqueCount="355">
  <si>
    <t>4.1) Most frequent hashtags and their average engagement</t>
  </si>
  <si>
    <t>4.2) Content types performance across platforms</t>
  </si>
  <si>
    <t>Hashtags</t>
  </si>
  <si>
    <t>Frequency</t>
  </si>
  <si>
    <t xml:space="preserve">Average Engagement </t>
  </si>
  <si>
    <t>#NowPlaying</t>
  </si>
  <si>
    <t>Content Types</t>
  </si>
  <si>
    <t>Instagram</t>
  </si>
  <si>
    <t>Twitter</t>
  </si>
  <si>
    <t>YouTube</t>
  </si>
  <si>
    <t>#DiscoverWeekly</t>
  </si>
  <si>
    <t>Reel</t>
  </si>
  <si>
    <t>#SoundtrackOfLife</t>
  </si>
  <si>
    <t>Story</t>
  </si>
  <si>
    <t>#MusicForEveryone</t>
  </si>
  <si>
    <t>Text</t>
  </si>
  <si>
    <t>#SpotifyWrapped</t>
  </si>
  <si>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</si>
  <si>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</si>
  <si>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</si>
  <si>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</si>
  <si>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</si>
  <si>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</si>
  <si>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</si>
  <si>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</si>
  <si>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</si>
  <si>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</si>
  <si>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</si>
  <si>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</si>
  <si>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</si>
  <si>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Engagement Rate</t>
  </si>
  <si>
    <t>SP001</t>
  </si>
  <si>
    <t>Discover fresh beats on Spotify!</t>
  </si>
  <si>
    <t>#SoundtrackOfLife,#NowPlaying</t>
  </si>
  <si>
    <t>ChillVibes</t>
  </si>
  <si>
    <t>SP002</t>
  </si>
  <si>
    <t>Explore the latest podcasts now.</t>
  </si>
  <si>
    <t>IndieWave</t>
  </si>
  <si>
    <t>SP003</t>
  </si>
  <si>
    <t>New music just dropped. Hit play!</t>
  </si>
  <si>
    <t>#MusicForEveryone,#NowPlaying</t>
  </si>
  <si>
    <t>SP004</t>
  </si>
  <si>
    <t>Wrapped is here! Relive your top tracks 🎧</t>
  </si>
  <si>
    <t>SP005</t>
  </si>
  <si>
    <t>Music that moves you-only on Spotify.</t>
  </si>
  <si>
    <t>#DiscoverWeekly,#SpotifyWrapped</t>
  </si>
  <si>
    <t>SP006</t>
  </si>
  <si>
    <t>What's your vibe today? #SpotifyHits</t>
  </si>
  <si>
    <t>SP007</t>
  </si>
  <si>
    <t>Get into the groove with our new drop!</t>
  </si>
  <si>
    <t>SP008</t>
  </si>
  <si>
    <t>#DiscoverWeekly,#MusicForEveryone</t>
  </si>
  <si>
    <t>SP009</t>
  </si>
  <si>
    <t>Top trending tracks updated daily!</t>
  </si>
  <si>
    <t>SP010</t>
  </si>
  <si>
    <t>SP011</t>
  </si>
  <si>
    <t>SP012</t>
  </si>
  <si>
    <t>SP013</t>
  </si>
  <si>
    <t>SP014</t>
  </si>
  <si>
    <t>From pop to podcasts, it's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</si>
  <si>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</si>
  <si>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</si>
  <si>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</si>
  <si>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</si>
  <si>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</si>
  <si>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</si>
  <si>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</si>
  <si>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#DiscoverWeekly,#SoundtrackOfLife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</si>
  <si>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</si>
  <si>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</si>
  <si>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</si>
  <si>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</si>
  <si>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</si>
  <si>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</si>
  <si>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</si>
  <si>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</si>
  <si>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</si>
  <si>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</si>
  <si>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</si>
  <si>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</si>
  <si>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</si>
  <si>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</si>
  <si>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</si>
  <si>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</si>
  <si>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</si>
  <si>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</si>
  <si>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</si>
  <si>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</si>
  <si>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</si>
  <si>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</si>
  <si>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</si>
  <si>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</si>
  <si>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</si>
  <si>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</si>
  <si>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</si>
  <si>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</si>
  <si>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</si>
  <si>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</si>
  <si>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</si>
  <si>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</si>
  <si>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</si>
  <si>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</si>
  <si>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</si>
  <si>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</si>
  <si>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</si>
  <si>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</si>
  <si>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</si>
  <si>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</si>
  <si>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</si>
  <si>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</si>
  <si>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</si>
  <si>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</si>
  <si>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</si>
  <si>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</si>
  <si>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</si>
  <si>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</si>
  <si>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</si>
  <si>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</si>
  <si>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</si>
  <si>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</si>
  <si>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</si>
  <si>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</si>
  <si>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</si>
  <si>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</si>
  <si>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</si>
  <si>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</si>
  <si>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</si>
  <si>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</si>
  <si>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</si>
  <si>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</si>
  <si>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</si>
  <si>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</si>
  <si>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</si>
  <si>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</si>
  <si>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</si>
  <si>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</si>
  <si>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</si>
  <si>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</si>
  <si>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</si>
  <si>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</si>
  <si>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</si>
  <si>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</si>
  <si>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</si>
  <si>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</si>
  <si>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</si>
  <si>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</si>
  <si>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</si>
  <si>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</si>
  <si>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</si>
  <si>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</si>
  <si>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</si>
  <si>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</si>
  <si>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</si>
  <si>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</si>
  <si>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</si>
  <si>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</si>
  <si>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</si>
  <si>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</si>
  <si>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</si>
  <si>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</si>
  <si>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</si>
  <si>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</si>
  <si>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</si>
  <si>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</si>
  <si>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</si>
  <si>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</si>
  <si>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</si>
  <si>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</si>
  <si>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</si>
  <si>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</si>
  <si>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</si>
  <si>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</si>
  <si>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</si>
  <si>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</si>
  <si>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</si>
  <si>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</si>
  <si>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</si>
  <si>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</si>
  <si>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</si>
  <si>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</si>
  <si>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</si>
  <si>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</si>
  <si>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</si>
  <si>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</si>
  <si>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</si>
  <si>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</si>
  <si>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</si>
  <si>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</si>
  <si>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</si>
  <si>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</si>
  <si>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</si>
  <si>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</si>
  <si>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</si>
  <si>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</si>
  <si>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</si>
  <si>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</si>
  <si>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</si>
  <si>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</si>
  <si>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</si>
  <si>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</si>
  <si>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</si>
  <si>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</si>
  <si>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</si>
  <si>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</si>
  <si>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</si>
  <si>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</si>
  <si>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</si>
  <si>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</si>
  <si>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</si>
  <si>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</si>
  <si>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</si>
  <si>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</si>
  <si>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</si>
  <si>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</si>
  <si>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</si>
  <si>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</si>
  <si>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</si>
  <si>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</si>
  <si>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</si>
  <si>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</si>
  <si>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</si>
  <si>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</si>
  <si>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</si>
  <si>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</si>
  <si>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</si>
  <si>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</si>
  <si>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</si>
  <si>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</si>
  <si>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</si>
  <si>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</si>
  <si>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</si>
  <si>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</si>
  <si>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</si>
  <si>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</si>
  <si>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</si>
  <si>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</si>
  <si>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</si>
  <si>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</si>
  <si>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</si>
  <si>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</si>
  <si>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</si>
  <si>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</si>
  <si>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</si>
  <si>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</si>
  <si>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</si>
  <si>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</si>
  <si>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</si>
  <si>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</si>
  <si>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</si>
  <si>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</si>
  <si>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</si>
  <si>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</si>
  <si>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</si>
  <si>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</si>
  <si>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</si>
  <si>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</si>
  <si>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</si>
  <si>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</si>
  <si>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</si>
  <si>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</si>
  <si>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</si>
  <si>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</si>
  <si>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</si>
  <si>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</si>
  <si>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</si>
  <si>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</si>
  <si>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</si>
  <si>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</si>
  <si>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</si>
  <si>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</si>
  <si>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</si>
  <si>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</si>
  <si>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</si>
  <si>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</si>
  <si>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</si>
  <si>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</si>
  <si>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</si>
  <si>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</si>
  <si>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</si>
  <si>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</si>
  <si>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</si>
  <si>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</si>
  <si>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</si>
  <si>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</si>
  <si>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</si>
  <si>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</si>
  <si>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</si>
  <si>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</si>
  <si>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</si>
  <si>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</si>
  <si>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</si>
  <si>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</si>
  <si>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</si>
  <si>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</si>
  <si>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</si>
  <si>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</si>
  <si>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</si>
  <si>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</si>
  <si>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</si>
  <si>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</si>
  <si>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</si>
  <si>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</si>
  <si>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</si>
  <si>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</si>
  <si>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</si>
  <si>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</si>
  <si>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</si>
  <si>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</si>
  <si>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</si>
  <si>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</si>
  <si>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</si>
  <si>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</si>
  <si>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</si>
  <si>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</si>
  <si>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</si>
  <si>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</si>
  <si>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</si>
  <si>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</si>
  <si>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</si>
  <si>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</si>
  <si>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</si>
  <si>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</si>
  <si>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</si>
  <si>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</si>
  <si>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</si>
  <si>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</si>
  <si>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</si>
  <si>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</si>
  <si>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</si>
  <si>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</si>
  <si>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</si>
  <si>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</si>
  <si>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</si>
  <si>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</si>
  <si>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</si>
  <si>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</si>
  <si>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</si>
  <si>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</si>
  <si>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</si>
  <si>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</si>
  <si>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</si>
  <si>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</si>
  <si>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</si>
  <si>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</si>
  <si>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</si>
  <si>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</si>
  <si>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</si>
  <si>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</si>
  <si>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</si>
  <si>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</si>
  <si>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Campaign Status</t>
  </si>
  <si>
    <t>Campaign end date</t>
  </si>
  <si>
    <t>Campaign Start Date</t>
  </si>
  <si>
    <t>Platforms</t>
  </si>
  <si>
    <t>TASK 4: HASHTAG &amp; CONTENT 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</si>
</sst>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20"/>
      <color rgb="FF002060"/>
      <name val="Lucida Handwriting"/>
      <family val="4"/>
    </font>
    <font>
      <sz val="20"/>
      <color rgb="FF002060"/>
      <name val="Lucida Handwriting"/>
      <family val="4"/>
    </font>
  </fonts>
  <fills count="7">
    <fill>
      <patternFill patternType="none"/>
    </fill>
    <fill>
      <patternFill patternType="gray125"/>
    </fill>
    <fill>
      <patternFill patternType="solid">
        <fgColor rgb="FFE9B8B6"/>
        <bgColor indexed="64"/>
      </patternFill>
    </fill>
    <fill>
      <patternFill patternType="solid">
        <fgColor rgb="FFD3BFE2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EEE6F3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2" xfId="0" applyBorder="1" applyAlignment="1">
      <alignment horizontal="left"/>
    </xf>
    <xf numFmtId="0" fontId="0" fillId="0" borderId="2" xfId="0" applyBorder="1"/>
    <xf numFmtId="10" fontId="0" fillId="0" borderId="2" xfId="0" applyNumberFormat="1" applyBorder="1"/>
    <xf numFmtId="14" fontId="0" fillId="0" borderId="0" xfId="0" applyNumberFormat="1"/>
    <xf numFmtId="0" fontId="1" fillId="0" borderId="0" xfId="0" applyFont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0" fillId="4" borderId="0" xfId="0" applyFill="1"/>
    <xf numFmtId="14" fontId="0" fillId="4" borderId="0" xfId="0" applyNumberFormat="1" applyFill="1"/>
    <xf numFmtId="0" fontId="0" fillId="5" borderId="0" xfId="0" applyFill="1"/>
    <xf numFmtId="14" fontId="0" fillId="5" borderId="0" xfId="0" applyNumberFormat="1" applyFill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</cellXfs>
  <cellStyles count="1">
    <cellStyle name="Normal" xfId="0" builtinId="0"/>
  </cellStyles>
  <dxfs count="5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EEE6F3"/>
        </patternFill>
      </fill>
    </dxf>
    <dxf>
      <numFmt numFmtId="0" formatCode="General"/>
      <fill>
        <patternFill patternType="solid">
          <fgColor indexed="64"/>
          <bgColor rgb="FFEEE6F3"/>
        </patternFill>
      </fill>
    </dxf>
    <dxf>
      <numFmt numFmtId="19" formatCode="dd/mm/yyyy"/>
      <fill>
        <patternFill patternType="solid">
          <fgColor indexed="64"/>
          <bgColor rgb="FFEEE6F3"/>
        </patternFill>
      </fill>
    </dxf>
    <dxf>
      <numFmt numFmtId="0" formatCode="General"/>
      <fill>
        <patternFill patternType="solid">
          <fgColor indexed="64"/>
          <bgColor rgb="FFEEE6F3"/>
        </patternFill>
      </fill>
    </dxf>
    <dxf>
      <numFmt numFmtId="0" formatCode="General"/>
      <fill>
        <patternFill patternType="solid">
          <fgColor indexed="64"/>
          <bgColor rgb="FFEEE6F3"/>
        </patternFill>
      </fill>
    </dxf>
    <dxf>
      <numFmt numFmtId="0" formatCode="General"/>
      <fill>
        <patternFill patternType="solid">
          <fgColor indexed="64"/>
          <bgColor rgb="FFEEE6F3"/>
        </patternFill>
      </fill>
    </dxf>
    <dxf>
      <fill>
        <patternFill patternType="solid">
          <fgColor indexed="64"/>
          <bgColor rgb="FFEEE6F3"/>
        </patternFill>
      </fill>
    </dxf>
    <dxf>
      <fill>
        <patternFill patternType="solid">
          <fgColor indexed="64"/>
          <bgColor rgb="FFEEE6F3"/>
        </patternFill>
      </fill>
    </dxf>
    <dxf>
      <fill>
        <patternFill patternType="solid">
          <fgColor indexed="64"/>
          <bgColor rgb="FFEEE6F3"/>
        </patternFill>
      </fill>
    </dxf>
    <dxf>
      <fill>
        <patternFill patternType="solid">
          <fgColor indexed="64"/>
          <bgColor rgb="FFEEE6F3"/>
        </patternFill>
      </fill>
    </dxf>
    <dxf>
      <fill>
        <patternFill patternType="solid">
          <fgColor indexed="64"/>
          <bgColor rgb="FFEEE6F3"/>
        </patternFill>
      </fill>
    </dxf>
    <dxf>
      <fill>
        <patternFill patternType="solid">
          <fgColor indexed="64"/>
          <bgColor rgb="FFEEE6F3"/>
        </patternFill>
      </fill>
    </dxf>
    <dxf>
      <numFmt numFmtId="0" formatCode="General"/>
      <fill>
        <patternFill patternType="solid">
          <fgColor indexed="64"/>
          <bgColor rgb="FFEEE6F3"/>
        </patternFill>
      </fill>
    </dxf>
    <dxf>
      <numFmt numFmtId="0" formatCode="General"/>
      <fill>
        <patternFill patternType="solid">
          <fgColor indexed="64"/>
          <bgColor rgb="FFEEE6F3"/>
        </patternFill>
      </fill>
    </dxf>
    <dxf>
      <numFmt numFmtId="19" formatCode="dd/mm/yyyy"/>
      <fill>
        <patternFill patternType="solid">
          <fgColor indexed="64"/>
          <bgColor rgb="FFEEE6F3"/>
        </patternFill>
      </fill>
    </dxf>
    <dxf>
      <numFmt numFmtId="0" formatCode="General"/>
      <fill>
        <patternFill patternType="solid">
          <fgColor indexed="64"/>
          <bgColor rgb="FFEEE6F3"/>
        </patternFill>
      </fill>
    </dxf>
    <dxf>
      <numFmt numFmtId="0" formatCode="General"/>
      <fill>
        <patternFill patternType="solid">
          <fgColor indexed="64"/>
          <bgColor rgb="FFEEE6F3"/>
        </patternFill>
      </fill>
    </dxf>
    <dxf>
      <fill>
        <patternFill patternType="solid">
          <fgColor indexed="64"/>
          <bgColor rgb="FFEEE6F3"/>
        </patternFill>
      </fill>
    </dxf>
    <dxf>
      <fill>
        <patternFill patternType="solid">
          <fgColor indexed="64"/>
          <bgColor rgb="FF8064A2"/>
        </patternFill>
      </fill>
    </dxf>
    <dxf>
      <fill>
        <patternFill>
          <bgColor rgb="FFE9B8B6"/>
        </patternFill>
      </fill>
    </dxf>
    <dxf>
      <fill>
        <patternFill>
          <bgColor rgb="FFE9B8B6"/>
        </patternFill>
      </fill>
    </dxf>
    <dxf>
      <fill>
        <patternFill>
          <bgColor theme="5" tint="0.59999389629810485"/>
        </patternFill>
      </fill>
    </dxf>
    <dxf>
      <fill>
        <patternFill>
          <bgColor theme="5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>
          <bgColor rgb="FFE9B8B6"/>
        </patternFill>
      </fill>
    </dxf>
    <dxf>
      <fill>
        <patternFill>
          <bgColor rgb="FFE9B8B6"/>
        </patternFill>
      </fill>
    </dxf>
    <dxf>
      <fill>
        <patternFill>
          <bgColor rgb="FFE9B8B6"/>
        </patternFill>
      </fill>
    </dxf>
    <dxf>
      <fill>
        <patternFill>
          <bgColor rgb="FFE9B8B6"/>
        </patternFill>
      </fill>
    </dxf>
    <dxf>
      <fill>
        <patternFill>
          <bgColor rgb="FFE9B8B6"/>
        </patternFill>
      </fill>
    </dxf>
    <dxf>
      <alignment horizontal="right"/>
    </dxf>
    <dxf>
      <fill>
        <patternFill>
          <bgColor theme="5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</dxfs>
  <tableStyles count="0" defaultTableStyle="TableStyleMedium2" defaultPivotStyle="PivotStyleLight16"/>
  <colors>
    <mruColors>
      <color rgb="FFEEE6F3"/>
      <color rgb="FFC0504D"/>
      <color rgb="FF4F81BD"/>
      <color rgb="FF9BBB59"/>
      <color rgb="FFEBF1DD"/>
      <color rgb="FFC4D79B"/>
      <color rgb="FFE9F1D7"/>
      <color rgb="FFF1F6E6"/>
      <color rgb="FFE9F0D8"/>
      <color rgb="FFD9E5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4.xlsx]Task 4!PivotTable4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403151"/>
                </a:solidFill>
              </a:rPr>
              <a:t>Content</a:t>
            </a:r>
            <a:r>
              <a:rPr lang="en-IN" b="1" baseline="0">
                <a:solidFill>
                  <a:srgbClr val="403151"/>
                </a:solidFill>
              </a:rPr>
              <a:t> types performance across platforms</a:t>
            </a:r>
            <a:endParaRPr lang="en-IN" b="1">
              <a:solidFill>
                <a:srgbClr val="40315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-1.519756838905779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4F81B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4F81BD"/>
          </a:solidFill>
          <a:ln>
            <a:noFill/>
          </a:ln>
          <a:effectLst/>
        </c:spPr>
        <c:dLbl>
          <c:idx val="0"/>
          <c:layout>
            <c:manualLayout>
              <c:x val="-1.519756838905779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C0504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9BBB5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4'!$F$4:$F$5</c:f>
              <c:strCache>
                <c:ptCount val="1"/>
                <c:pt idx="0">
                  <c:v>Instagram</c:v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4F81B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02B-46A8-89B3-79B021AA97A4}"/>
              </c:ext>
            </c:extLst>
          </c:dPt>
          <c:dLbls>
            <c:dLbl>
              <c:idx val="1"/>
              <c:layout>
                <c:manualLayout>
                  <c:x val="-1.5197568389057798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02B-46A8-89B3-79B021AA97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4'!$E$6:$E$8</c:f>
              <c:strCache>
                <c:ptCount val="3"/>
                <c:pt idx="0">
                  <c:v>Reel</c:v>
                </c:pt>
                <c:pt idx="1">
                  <c:v>Story</c:v>
                </c:pt>
                <c:pt idx="2">
                  <c:v>Text</c:v>
                </c:pt>
              </c:strCache>
            </c:strRef>
          </c:cat>
          <c:val>
            <c:numRef>
              <c:f>'Task 4'!$F$6:$F$8</c:f>
              <c:numCache>
                <c:formatCode>0.00%</c:formatCode>
                <c:ptCount val="3"/>
                <c:pt idx="1">
                  <c:v>9.5509123528654066E-2</c:v>
                </c:pt>
                <c:pt idx="2">
                  <c:v>8.9151970703401293E-2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2B-46A8-89B3-79B021AA97A4}"/>
            </c:ext>
          </c:extLst>
        </c:ser>
        <c:ser>
          <c:idx val="1"/>
          <c:order val="1"/>
          <c:tx>
            <c:strRef>
              <c:f>'Task 4'!$G$4:$G$5</c:f>
              <c:strCache>
                <c:ptCount val="1"/>
                <c:pt idx="0">
                  <c:v>Twitter</c:v>
                </c:pt>
              </c:strCache>
            </c:strRef>
          </c:tx>
          <c:spPr>
            <a:solidFill>
              <a:srgbClr val="C0504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4'!$E$6:$E$8</c:f>
              <c:strCache>
                <c:ptCount val="3"/>
                <c:pt idx="0">
                  <c:v>Reel</c:v>
                </c:pt>
                <c:pt idx="1">
                  <c:v>Story</c:v>
                </c:pt>
                <c:pt idx="2">
                  <c:v>Text</c:v>
                </c:pt>
              </c:strCache>
            </c:strRef>
          </c:cat>
          <c:val>
            <c:numRef>
              <c:f>'Task 4'!$G$6:$G$8</c:f>
              <c:numCache>
                <c:formatCode>0.00%</c:formatCode>
                <c:ptCount val="3"/>
                <c:pt idx="1">
                  <c:v>9.6350204330797537E-2</c:v>
                </c:pt>
                <c:pt idx="2">
                  <c:v>9.5584491232904453E-2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2B-46A8-89B3-79B021AA97A4}"/>
            </c:ext>
          </c:extLst>
        </c:ser>
        <c:ser>
          <c:idx val="2"/>
          <c:order val="2"/>
          <c:tx>
            <c:strRef>
              <c:f>'Task 4'!$H$4:$H$5</c:f>
              <c:strCache>
                <c:ptCount val="1"/>
                <c:pt idx="0">
                  <c:v>YouTube</c:v>
                </c:pt>
              </c:strCache>
            </c:strRef>
          </c:tx>
          <c:spPr>
            <a:solidFill>
              <a:srgbClr val="9BBB5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4'!$E$6:$E$8</c:f>
              <c:strCache>
                <c:ptCount val="3"/>
                <c:pt idx="0">
                  <c:v>Reel</c:v>
                </c:pt>
                <c:pt idx="1">
                  <c:v>Story</c:v>
                </c:pt>
                <c:pt idx="2">
                  <c:v>Text</c:v>
                </c:pt>
              </c:strCache>
            </c:strRef>
          </c:cat>
          <c:val>
            <c:numRef>
              <c:f>'Task 4'!$H$6:$H$8</c:f>
              <c:numCache>
                <c:formatCode>0.00%</c:formatCode>
                <c:ptCount val="3"/>
                <c:pt idx="0">
                  <c:v>9.010688153503349E-2</c:v>
                </c:pt>
                <c:pt idx="2">
                  <c:v>8.640329129367573E-2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2B-46A8-89B3-79B021AA97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0398703"/>
        <c:axId val="540399183"/>
      </c:barChart>
      <c:catAx>
        <c:axId val="540398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1"/>
                    </a:solidFill>
                  </a:rPr>
                  <a:t>Content</a:t>
                </a:r>
                <a:r>
                  <a:rPr lang="en-IN" baseline="0">
                    <a:solidFill>
                      <a:schemeClr val="tx1"/>
                    </a:solidFill>
                  </a:rPr>
                  <a:t> types</a:t>
                </a:r>
                <a:endParaRPr lang="en-IN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0408758745582335"/>
              <c:y val="0.812212464267654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399183"/>
        <c:crosses val="autoZero"/>
        <c:auto val="1"/>
        <c:lblAlgn val="ctr"/>
        <c:lblOffset val="100"/>
        <c:noMultiLvlLbl val="0"/>
      </c:catAx>
      <c:valAx>
        <c:axId val="54039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0">
                    <a:solidFill>
                      <a:schemeClr val="tx1"/>
                    </a:solidFill>
                  </a:rPr>
                  <a:t>Engagement</a:t>
                </a:r>
              </a:p>
            </c:rich>
          </c:tx>
          <c:layout>
            <c:manualLayout>
              <c:xMode val="edge"/>
              <c:yMode val="edge"/>
              <c:x val="1.7730496453900711E-2"/>
              <c:y val="0.311515189041736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398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BF1DD"/>
    </a:solidFill>
    <a:ln w="9525" cap="flat" cmpd="sng" algn="ctr">
      <a:solidFill>
        <a:schemeClr val="tx2"/>
      </a:solidFill>
      <a:round/>
    </a:ln>
    <a:effectLst>
      <a:glow rad="76200">
        <a:srgbClr val="C4D79B"/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388620</xdr:colOff>
      <xdr:row>9</xdr:row>
      <xdr:rowOff>34290</xdr:rowOff>
    </xdr:from>
    <xdr:to>
      <xdr:col>10</xdr:col>
      <xdr:colOff>220980</xdr:colOff>
      <xdr:row>24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DF57F7-575A-4C07-B32A-D4F1017646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4</xdr:col>
      <xdr:colOff>480060</xdr:colOff>
      <xdr:row>25</xdr:row>
      <xdr:rowOff>76200</xdr:rowOff>
    </xdr:from>
    <xdr:ext cx="3962400" cy="15163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DD8291B-9EE8-413A-BE0C-029107DA545E}"/>
            </a:ext>
          </a:extLst>
        </xdr:cNvPr>
        <xdr:cNvSpPr txBox="1"/>
      </xdr:nvSpPr>
      <xdr:spPr>
        <a:xfrm>
          <a:off x="4625340" y="4465320"/>
          <a:ext cx="3962400" cy="1516380"/>
        </a:xfrm>
        <a:prstGeom prst="rect">
          <a:avLst/>
        </a:prstGeom>
        <a:solidFill>
          <a:srgbClr val="DAEEF3"/>
        </a:solidFill>
        <a:ln w="19050">
          <a:solidFill>
            <a:srgbClr val="36609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171450" indent="-171450" algn="l">
            <a:buFont typeface="Wingdings" panose="05000000000000000000" pitchFamily="2" charset="2"/>
            <a:buChar char="ü"/>
          </a:pPr>
          <a:r>
            <a:rPr lang="en-IN" sz="1100" b="1">
              <a:solidFill>
                <a:srgbClr val="366092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Story-based</a:t>
          </a:r>
          <a:r>
            <a:rPr lang="en-IN" sz="1100" b="1" baseline="0">
              <a:solidFill>
                <a:srgbClr val="366092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 content has the highest engagement for both Instagram and Twitter.Text based content does particularly well on Twitter as it is a text-centric platform. Reels have good engagement on Youtube.</a:t>
          </a:r>
        </a:p>
        <a:p>
          <a:pPr marL="171450" indent="-171450" algn="l">
            <a:buFont typeface="Wingdings" panose="05000000000000000000" pitchFamily="2" charset="2"/>
            <a:buChar char="ü"/>
          </a:pPr>
          <a:endParaRPr lang="en-IN" sz="1100" b="1" baseline="0">
            <a:solidFill>
              <a:srgbClr val="366092"/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  <a:p>
          <a:pPr marL="171450" indent="-171450" algn="l">
            <a:buFont typeface="Wingdings" panose="05000000000000000000" pitchFamily="2" charset="2"/>
            <a:buChar char="ü"/>
          </a:pPr>
          <a:r>
            <a:rPr lang="en-IN" sz="1100" b="1" baseline="0">
              <a:solidFill>
                <a:srgbClr val="366092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Thus, prioritize Story on Twitter and Instagram. Focus Text-content on Twitter and Use reels for Youtube.</a:t>
          </a:r>
          <a:endParaRPr lang="en-IN" sz="1100" b="1">
            <a:solidFill>
              <a:srgbClr val="366092"/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</xdr:txBody>
    </xdr:sp>
    <xdr:clientData/>
  </xdr:oneCellAnchor>
  <xdr:oneCellAnchor>
    <xdr:from>
      <xdr:col>11</xdr:col>
      <xdr:colOff>381000</xdr:colOff>
      <xdr:row>1</xdr:row>
      <xdr:rowOff>175260</xdr:rowOff>
    </xdr:from>
    <xdr:ext cx="4061460" cy="454914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92FE611-9814-4979-96B1-0CCD3A429713}"/>
            </a:ext>
          </a:extLst>
        </xdr:cNvPr>
        <xdr:cNvSpPr txBox="1"/>
      </xdr:nvSpPr>
      <xdr:spPr>
        <a:xfrm>
          <a:off x="9944100" y="175260"/>
          <a:ext cx="4061460" cy="4549140"/>
        </a:xfrm>
        <a:prstGeom prst="rect">
          <a:avLst/>
        </a:prstGeom>
        <a:solidFill>
          <a:srgbClr val="FFEADB"/>
        </a:solidFill>
        <a:ln w="19050">
          <a:solidFill>
            <a:srgbClr val="63252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indent="0" algn="ctr">
            <a:buFontTx/>
            <a:buNone/>
          </a:pPr>
          <a:r>
            <a:rPr lang="en-IN" sz="1800" b="1">
              <a:solidFill>
                <a:srgbClr val="632523"/>
              </a:solidFill>
              <a:latin typeface="HP Simplified Jpan" panose="020B0500000000000000" pitchFamily="34" charset="-128"/>
              <a:ea typeface="HP Simplified Jpan" panose="020B0500000000000000" pitchFamily="34" charset="-128"/>
            </a:rPr>
            <a:t>4.3) INSIGHTS</a:t>
          </a:r>
          <a:r>
            <a:rPr lang="en-IN" sz="1800" b="1" baseline="0">
              <a:solidFill>
                <a:srgbClr val="632523"/>
              </a:solidFill>
              <a:latin typeface="HP Simplified Jpan" panose="020B0500000000000000" pitchFamily="34" charset="-128"/>
              <a:ea typeface="HP Simplified Jpan" panose="020B0500000000000000" pitchFamily="34" charset="-128"/>
            </a:rPr>
            <a:t> AND RECOMMENDATIONS</a:t>
          </a:r>
          <a:br>
            <a:rPr lang="en-IN" sz="1100" baseline="0"/>
          </a:br>
          <a:endParaRPr lang="en-IN" sz="1100" baseline="0"/>
        </a:p>
        <a:p>
          <a:pPr marL="285750" indent="-285750">
            <a:buFont typeface="Wingdings" panose="05000000000000000000" pitchFamily="2" charset="2"/>
            <a:buChar char="Ø"/>
          </a:pPr>
          <a:r>
            <a:rPr lang="en-IN" sz="1200" b="1" baseline="0">
              <a:solidFill>
                <a:srgbClr val="60497A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Optimal content type-platform combinations are as follows:</a:t>
          </a:r>
          <a:br>
            <a:rPr lang="en-IN" sz="1200" b="1" baseline="0">
              <a:solidFill>
                <a:srgbClr val="60497A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</a:br>
          <a:endParaRPr lang="en-IN" sz="1200" b="1" baseline="0">
            <a:solidFill>
              <a:srgbClr val="60497A"/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  <a:p>
          <a:pPr marL="285750" indent="-285750">
            <a:buFont typeface="Wingdings" panose="05000000000000000000" pitchFamily="2" charset="2"/>
            <a:buChar char="Ø"/>
          </a:pPr>
          <a:r>
            <a:rPr lang="en-IN" sz="1200" b="1" baseline="0">
              <a:solidFill>
                <a:srgbClr val="60497A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Story-based content performs best on Instagram (9.55%) and Twitter (9.64%) showing strong audience interaction on these platforms.</a:t>
          </a:r>
          <a:br>
            <a:rPr lang="en-IN" sz="1200" b="1" baseline="0">
              <a:solidFill>
                <a:srgbClr val="60497A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</a:br>
          <a:endParaRPr lang="en-IN" sz="1200" b="1" baseline="0">
            <a:solidFill>
              <a:srgbClr val="60497A"/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  <a:p>
          <a:pPr marL="285750" indent="-285750">
            <a:buFont typeface="Wingdings" panose="05000000000000000000" pitchFamily="2" charset="2"/>
            <a:buChar char="Ø"/>
          </a:pPr>
          <a:r>
            <a:rPr lang="en-IN" sz="1200" b="1" baseline="0">
              <a:solidFill>
                <a:srgbClr val="60497A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Text contents have strong engagement on Twitter (9.56%) since Twitter is a text-driven platform.</a:t>
          </a:r>
          <a:br>
            <a:rPr lang="en-IN" sz="1200" b="1" baseline="0">
              <a:solidFill>
                <a:srgbClr val="60497A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</a:br>
          <a:endParaRPr lang="en-IN" sz="1200" b="1" baseline="0">
            <a:solidFill>
              <a:srgbClr val="60497A"/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  <a:p>
          <a:pPr marL="285750" indent="-285750">
            <a:buFont typeface="Wingdings" panose="05000000000000000000" pitchFamily="2" charset="2"/>
            <a:buChar char="Ø"/>
          </a:pPr>
          <a:r>
            <a:rPr lang="en-IN" sz="1200" b="1" baseline="0">
              <a:solidFill>
                <a:srgbClr val="60497A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Emphasize Reel contents on Youtube as it shows higher engagement (9.01%) than Text content. This shows the effectiveness of video-driven content on the platform.</a:t>
          </a:r>
          <a:br>
            <a:rPr lang="en-IN" sz="1200" b="1" baseline="0">
              <a:solidFill>
                <a:srgbClr val="60497A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</a:br>
          <a:endParaRPr lang="en-IN" sz="1200" b="1" baseline="0">
            <a:solidFill>
              <a:srgbClr val="60497A"/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  <a:p>
          <a:pPr marL="285750" indent="-285750">
            <a:buFont typeface="Wingdings" panose="05000000000000000000" pitchFamily="2" charset="2"/>
            <a:buChar char="Ø"/>
          </a:pPr>
          <a:r>
            <a:rPr lang="en-IN" sz="1200" b="1" baseline="0">
              <a:solidFill>
                <a:srgbClr val="60497A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Therefore, focusing content formats with specific platforms can maximize the overall engagement rate on the platforms.</a:t>
          </a:r>
          <a:endParaRPr lang="en-IN" sz="1200" b="1">
            <a:solidFill>
              <a:srgbClr val="60497A"/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</xdr:txBody>
    </xdr:sp>
    <xdr:clientData/>
  </xdr:oneCellAnchor>
  <xdr:oneCellAnchor>
    <xdr:from>
      <xdr:col>0</xdr:col>
      <xdr:colOff>228600</xdr:colOff>
      <xdr:row>9</xdr:row>
      <xdr:rowOff>129540</xdr:rowOff>
    </xdr:from>
    <xdr:ext cx="2613660" cy="214884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9238688-3421-4CE2-ADD2-BBF84C78818D}"/>
            </a:ext>
          </a:extLst>
        </xdr:cNvPr>
        <xdr:cNvSpPr txBox="1"/>
      </xdr:nvSpPr>
      <xdr:spPr>
        <a:xfrm>
          <a:off x="228600" y="1592580"/>
          <a:ext cx="2613660" cy="2148840"/>
        </a:xfrm>
        <a:prstGeom prst="rect">
          <a:avLst/>
        </a:prstGeom>
        <a:solidFill>
          <a:srgbClr val="DAEEF3"/>
        </a:solidFill>
        <a:ln w="19050">
          <a:solidFill>
            <a:srgbClr val="36609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171450" indent="-171450">
            <a:buFont typeface="Wingdings" panose="05000000000000000000" pitchFamily="2" charset="2"/>
            <a:buChar char="ü"/>
          </a:pPr>
          <a:r>
            <a:rPr lang="en-IN" sz="1100" b="1">
              <a:solidFill>
                <a:srgbClr val="366092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#NowPlaying is both the most frequently</a:t>
          </a:r>
          <a:r>
            <a:rPr lang="en-IN" sz="1100" b="1" baseline="0">
              <a:solidFill>
                <a:srgbClr val="366092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 used (143)hashtag and the highest performing with respect to average engagement (9.86%) , showing strong audience interaction.</a:t>
          </a:r>
        </a:p>
        <a:p>
          <a:pPr marL="171450" indent="-171450">
            <a:buFont typeface="Wingdings" panose="05000000000000000000" pitchFamily="2" charset="2"/>
            <a:buChar char="ü"/>
          </a:pPr>
          <a:endParaRPr lang="en-IN" sz="1100" b="1" baseline="0">
            <a:solidFill>
              <a:srgbClr val="366092"/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  <a:p>
          <a:pPr marL="171450" indent="-171450">
            <a:buFont typeface="Wingdings" panose="05000000000000000000" pitchFamily="2" charset="2"/>
            <a:buChar char="ü"/>
          </a:pPr>
          <a:r>
            <a:rPr lang="en-IN" sz="1100" b="1" baseline="0">
              <a:solidFill>
                <a:srgbClr val="366092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Whereas #SpotifyWrapped is the least frequently used (34) and has the lowest engagement of 8.64%.</a:t>
          </a:r>
          <a:endParaRPr lang="en-IN" sz="1100" b="1">
            <a:solidFill>
              <a:srgbClr val="366092"/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cel%20Project%20INS/Spotify%20(20th).xlsx" TargetMode="External"/><Relationship Id="rId2" Type="http://schemas.openxmlformats.org/officeDocument/2006/relationships/externalLinkPath" Target="file:///C:\Users\vishn\Desktop\Excel%20Project%20INS\Spotify%20(20th).xlsx" TargetMode="External"/><Relationship Id="rId1" Type="http://schemas.openxmlformats.org/officeDocument/2006/relationships/externalLinkPath" Target="/Users/vishn/Desktop/Excel%20Project%20INS/Spotify%20(20th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sk 1"/>
      <sheetName val="Task 2"/>
      <sheetName val="Posts 2, 4.2, 5.1"/>
      <sheetName val="Task 3"/>
      <sheetName val="Engagement Summary 3"/>
      <sheetName val="Task 4"/>
      <sheetName val="Post 4,5"/>
      <sheetName val="Task 5"/>
      <sheetName val="ROI"/>
      <sheetName val="Net follower growth"/>
      <sheetName val="Task 6"/>
      <sheetName val="Moving Average"/>
      <sheetName val="Posts"/>
      <sheetName val="Engagement Summary"/>
      <sheetName val="Campaign Metadata"/>
      <sheetName val="Spotify (20th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G2">
            <v>23125</v>
          </cell>
        </row>
      </sheetData>
      <sheetData sheetId="12"/>
      <sheetData sheetId="13"/>
      <sheetData sheetId="14">
        <row r="1">
          <cell r="A1" t="str">
            <v>Campaign_Name</v>
          </cell>
          <cell r="B1" t="str">
            <v>Start_Date</v>
          </cell>
          <cell r="C1" t="str">
            <v>End_Date</v>
          </cell>
        </row>
        <row r="2">
          <cell r="A2" t="str">
            <v>SummerBeats</v>
          </cell>
          <cell r="B2">
            <v>45458</v>
          </cell>
          <cell r="C2">
            <v>45488</v>
          </cell>
        </row>
        <row r="3">
          <cell r="A3" t="str">
            <v>Wrapped2024</v>
          </cell>
          <cell r="B3">
            <v>45627</v>
          </cell>
          <cell r="C3">
            <v>45657</v>
          </cell>
        </row>
        <row r="4">
          <cell r="A4" t="str">
            <v>ChillVibes</v>
          </cell>
          <cell r="B4">
            <v>45667</v>
          </cell>
          <cell r="C4">
            <v>45698</v>
          </cell>
        </row>
        <row r="5">
          <cell r="A5" t="str">
            <v>IndieWave</v>
          </cell>
          <cell r="B5">
            <v>45717</v>
          </cell>
          <cell r="C5">
            <v>45747</v>
          </cell>
        </row>
      </sheetData>
      <sheetData sheetId="1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vishn/Desktop/Excel%20Project%20INS/Spotify%20(20th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vishn/Desktop/Excel%20Project%20INS/Spotify%20(20th)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nupriya S" refreshedDate="46073.681052430555" createdVersion="8" refreshedVersion="8" minRefreshableVersion="3" recordCount="300" xr:uid="{B3914EEA-0E52-40E1-9AE8-0314A10A90B9}">
  <cacheSource type="worksheet">
    <worksheetSource name="Posts__2" r:id="rId2"/>
  </cacheSource>
  <cacheFields count="14">
    <cacheField name="Post ID" numFmtId="0">
      <sharedItems count="300">
        <s v="SP001"/>
        <s v="SP002"/>
        <s v="SP003"/>
        <s v="SP004"/>
        <s v="SP005"/>
        <s v="SP006"/>
        <s v="SP007"/>
        <s v="SP008"/>
        <s v="SP009"/>
        <s v="SP010"/>
        <s v="SP011"/>
        <s v="SP012"/>
        <s v="SP013"/>
        <s v="SP014"/>
        <s v="SP015"/>
        <s v="SP016"/>
        <s v="SP017"/>
        <s v="SP018"/>
        <s v="SP019"/>
        <s v="SP020"/>
        <s v="SP021"/>
        <s v="SP022"/>
        <s v="SP023"/>
        <s v="SP024"/>
        <s v="SP025"/>
        <s v="SP026"/>
        <s v="SP027"/>
        <s v="SP028"/>
        <s v="SP029"/>
        <s v="SP030"/>
        <s v="SP031"/>
        <s v="SP032"/>
        <s v="SP033"/>
        <s v="SP034"/>
        <s v="SP035"/>
        <s v="SP036"/>
        <s v="SP037"/>
        <s v="SP038"/>
        <s v="SP039"/>
        <s v="SP040"/>
        <s v="SP041"/>
        <s v="SP042"/>
        <s v="SP043"/>
        <s v="SP044"/>
        <s v="SP045"/>
        <s v="SP046"/>
        <s v="SP047"/>
        <s v="SP048"/>
        <s v="SP049"/>
        <s v="SP050"/>
        <s v="SP051"/>
        <s v="SP052"/>
        <s v="SP053"/>
        <s v="SP054"/>
        <s v="SP055"/>
        <s v="SP056"/>
        <s v="SP057"/>
        <s v="SP058"/>
        <s v="SP059"/>
        <s v="SP060"/>
        <s v="SP061"/>
        <s v="SP062"/>
        <s v="SP063"/>
        <s v="SP064"/>
        <s v="SP065"/>
        <s v="SP066"/>
        <s v="SP067"/>
        <s v="SP068"/>
        <s v="SP069"/>
        <s v="SP070"/>
        <s v="SP071"/>
        <s v="SP072"/>
        <s v="SP073"/>
        <s v="SP074"/>
        <s v="SP075"/>
        <s v="SP076"/>
        <s v="SP077"/>
        <s v="SP078"/>
        <s v="SP079"/>
        <s v="SP080"/>
        <s v="SP081"/>
        <s v="SP082"/>
        <s v="SP083"/>
        <s v="SP084"/>
        <s v="SP085"/>
        <s v="SP086"/>
        <s v="SP087"/>
        <s v="SP088"/>
        <s v="SP089"/>
        <s v="SP090"/>
        <s v="SP091"/>
        <s v="SP092"/>
        <s v="SP093"/>
        <s v="SP094"/>
        <s v="SP095"/>
        <s v="SP096"/>
        <s v="SP097"/>
        <s v="SP098"/>
        <s v="SP099"/>
        <s v="SP100"/>
        <s v="SP101"/>
        <s v="SP102"/>
        <s v="SP103"/>
        <s v="SP104"/>
        <s v="SP105"/>
        <s v="SP106"/>
        <s v="SP107"/>
        <s v="SP108"/>
        <s v="SP109"/>
        <s v="SP110"/>
        <s v="SP111"/>
        <s v="SP112"/>
        <s v="SP113"/>
        <s v="SP114"/>
        <s v="SP115"/>
        <s v="SP116"/>
        <s v="SP117"/>
        <s v="SP118"/>
        <s v="SP119"/>
        <s v="SP120"/>
        <s v="SP121"/>
        <s v="SP122"/>
        <s v="SP123"/>
        <s v="SP124"/>
        <s v="SP125"/>
        <s v="SP126"/>
        <s v="SP127"/>
        <s v="SP128"/>
        <s v="SP129"/>
        <s v="SP130"/>
        <s v="SP131"/>
        <s v="SP132"/>
        <s v="SP133"/>
        <s v="SP134"/>
        <s v="SP135"/>
        <s v="SP136"/>
        <s v="SP137"/>
        <s v="SP138"/>
        <s v="SP139"/>
        <s v="SP140"/>
        <s v="SP141"/>
        <s v="SP142"/>
        <s v="SP143"/>
        <s v="SP144"/>
        <s v="SP145"/>
        <s v="SP146"/>
        <s v="SP147"/>
        <s v="SP148"/>
        <s v="SP149"/>
        <s v="SP150"/>
        <s v="SP151"/>
        <s v="SP152"/>
        <s v="SP153"/>
        <s v="SP154"/>
        <s v="SP155"/>
        <s v="SP156"/>
        <s v="SP157"/>
        <s v="SP158"/>
        <s v="SP159"/>
        <s v="SP160"/>
        <s v="SP161"/>
        <s v="SP162"/>
        <s v="SP163"/>
        <s v="SP164"/>
        <s v="SP165"/>
        <s v="SP166"/>
        <s v="SP167"/>
        <s v="SP168"/>
        <s v="SP169"/>
        <s v="SP170"/>
        <s v="SP171"/>
        <s v="SP172"/>
        <s v="SP173"/>
        <s v="SP174"/>
        <s v="SP175"/>
        <s v="SP176"/>
        <s v="SP177"/>
        <s v="SP178"/>
        <s v="SP179"/>
        <s v="SP180"/>
        <s v="SP181"/>
        <s v="SP182"/>
        <s v="SP183"/>
        <s v="SP184"/>
        <s v="SP185"/>
        <s v="SP186"/>
        <s v="SP187"/>
        <s v="SP188"/>
        <s v="SP189"/>
        <s v="SP190"/>
        <s v="SP191"/>
        <s v="SP192"/>
        <s v="SP193"/>
        <s v="SP194"/>
        <s v="SP195"/>
        <s v="SP196"/>
        <s v="SP197"/>
        <s v="SP198"/>
        <s v="SP199"/>
        <s v="SP200"/>
        <s v="SP201"/>
        <s v="SP202"/>
        <s v="SP203"/>
        <s v="SP204"/>
        <s v="SP205"/>
        <s v="SP206"/>
        <s v="SP207"/>
        <s v="SP208"/>
        <s v="SP209"/>
        <s v="SP210"/>
        <s v="SP211"/>
        <s v="SP212"/>
        <s v="SP213"/>
        <s v="SP214"/>
        <s v="SP215"/>
        <s v="SP216"/>
        <s v="SP217"/>
        <s v="SP218"/>
        <s v="SP219"/>
        <s v="SP220"/>
        <s v="SP221"/>
        <s v="SP222"/>
        <s v="SP223"/>
        <s v="SP224"/>
        <s v="SP225"/>
        <s v="SP226"/>
        <s v="SP227"/>
        <s v="SP228"/>
        <s v="SP229"/>
        <s v="SP230"/>
        <s v="SP231"/>
        <s v="SP232"/>
        <s v="SP233"/>
        <s v="SP234"/>
        <s v="SP235"/>
        <s v="SP236"/>
        <s v="SP237"/>
        <s v="SP238"/>
        <s v="SP239"/>
        <s v="SP240"/>
        <s v="SP241"/>
        <s v="SP242"/>
        <s v="SP243"/>
        <s v="SP244"/>
        <s v="SP245"/>
        <s v="SP246"/>
        <s v="SP247"/>
        <s v="SP248"/>
        <s v="SP249"/>
        <s v="SP250"/>
        <s v="SP251"/>
        <s v="SP252"/>
        <s v="SP253"/>
        <s v="SP254"/>
        <s v="SP255"/>
        <s v="SP256"/>
        <s v="SP257"/>
        <s v="SP258"/>
        <s v="SP259"/>
        <s v="SP260"/>
        <s v="SP261"/>
        <s v="SP262"/>
        <s v="SP263"/>
        <s v="SP264"/>
        <s v="SP265"/>
        <s v="SP266"/>
        <s v="SP267"/>
        <s v="SP268"/>
        <s v="SP269"/>
        <s v="SP270"/>
        <s v="SP271"/>
        <s v="SP272"/>
        <s v="SP273"/>
        <s v="SP274"/>
        <s v="SP275"/>
        <s v="SP276"/>
        <s v="SP277"/>
        <s v="SP278"/>
        <s v="SP279"/>
        <s v="SP280"/>
        <s v="SP281"/>
        <s v="SP282"/>
        <s v="SP283"/>
        <s v="SP284"/>
        <s v="SP285"/>
        <s v="SP286"/>
        <s v="SP287"/>
        <s v="SP288"/>
        <s v="SP289"/>
        <s v="SP290"/>
        <s v="SP291"/>
        <s v="SP292"/>
        <s v="SP293"/>
        <s v="SP294"/>
        <s v="SP295"/>
        <s v="SP296"/>
        <s v="SP297"/>
        <s v="SP298"/>
        <s v="SP299"/>
        <s v="SP300"/>
      </sharedItems>
    </cacheField>
    <cacheField name="Platform" numFmtId="0">
      <sharedItems count="3">
        <s v="Instagram"/>
        <s v="Twitter"/>
        <s v="YouTube"/>
      </sharedItems>
    </cacheField>
    <cacheField name="Date" numFmtId="14">
      <sharedItems containsSemiMixedTypes="0" containsNonDate="0" containsDate="1" containsString="0" minDate="2024-01-01T00:00:00" maxDate="2025-07-02T00:00:00"/>
    </cacheField>
    <cacheField name="Content Type" numFmtId="0">
      <sharedItems count="3">
        <s v="Text"/>
        <s v="Story"/>
        <s v="Reel"/>
      </sharedItems>
    </cacheField>
    <cacheField name="Post Text" numFmtId="0">
      <sharedItems count="10">
        <s v="Discover fresh beats on Spotify!"/>
        <s v="Explore the latest podcasts now."/>
        <s v="New music just dropped. Hit play!"/>
        <s v="Wrapped is here! Relive your top tracks 🎧"/>
        <s v="Music that moves you-only on Spotify."/>
        <s v="What's your vibe today? #SpotifyHits"/>
        <s v="Get into the groove with our new drop!"/>
        <s v="Top trending tracks updated daily!"/>
        <s v="From pop to podcasts, it's all here."/>
        <s v="Your weekend playlist is waiting."/>
      </sharedItems>
    </cacheField>
    <cacheField name="Likes" numFmtId="0">
      <sharedItems containsSemiMixedTypes="0" containsString="0" containsNumber="1" containsInteger="1" minValue="1010" maxValue="4995" count="290">
        <n v="2414"/>
        <n v="1934"/>
        <n v="3092"/>
        <n v="3173"/>
        <n v="2748"/>
        <n v="3882"/>
        <n v="4674"/>
        <n v="1428"/>
        <n v="4432"/>
        <n v="2357"/>
        <n v="1971"/>
        <n v="1485"/>
        <n v="3956"/>
        <n v="2460"/>
        <n v="3476"/>
        <n v="4049"/>
        <n v="1514"/>
        <n v="4281"/>
        <n v="1751"/>
        <n v="3753"/>
        <n v="1678"/>
        <n v="4896"/>
        <n v="2786"/>
        <n v="2607"/>
        <n v="4013"/>
        <n v="2707"/>
        <n v="2824"/>
        <n v="3558"/>
        <n v="3418"/>
        <n v="2411"/>
        <n v="4036"/>
        <n v="2776"/>
        <n v="4929"/>
        <n v="1015"/>
        <n v="3316"/>
        <n v="2274"/>
        <n v="4095"/>
        <n v="1230"/>
        <n v="1341"/>
        <n v="3615"/>
        <n v="4001"/>
        <n v="3451"/>
        <n v="4891"/>
        <n v="1452"/>
        <n v="3806"/>
        <n v="2923"/>
        <n v="3361"/>
        <n v="3074"/>
        <n v="4276"/>
        <n v="4401"/>
        <n v="4161"/>
        <n v="2613"/>
        <n v="2842"/>
        <n v="4851"/>
        <n v="1828"/>
        <n v="2422"/>
        <n v="2683"/>
        <n v="3135"/>
        <n v="1105"/>
        <n v="3437"/>
        <n v="1959"/>
        <n v="1035"/>
        <n v="4478"/>
        <n v="1488"/>
        <n v="4836"/>
        <n v="4563"/>
        <n v="3276"/>
        <n v="1316"/>
        <n v="4811"/>
        <n v="4218"/>
        <n v="1360"/>
        <n v="1085"/>
        <n v="1763"/>
        <n v="1554"/>
        <n v="2464"/>
        <n v="2418"/>
        <n v="2494"/>
        <n v="4781"/>
        <n v="2284"/>
        <n v="4234"/>
        <n v="2102"/>
        <n v="4845"/>
        <n v="4247"/>
        <n v="2965"/>
        <n v="1371"/>
        <n v="4796"/>
        <n v="2601"/>
        <n v="3336"/>
        <n v="1165"/>
        <n v="1948"/>
        <n v="1100"/>
        <n v="4628"/>
        <n v="2319"/>
        <n v="2895"/>
        <n v="3878"/>
        <n v="4969"/>
        <n v="1984"/>
        <n v="3004"/>
        <n v="3169"/>
        <n v="3036"/>
        <n v="1830"/>
        <n v="2587"/>
        <n v="2878"/>
        <n v="4619"/>
        <n v="4090"/>
        <n v="4581"/>
        <n v="3253"/>
        <n v="4955"/>
        <n v="1333"/>
        <n v="1616"/>
        <n v="1803"/>
        <n v="4177"/>
        <n v="1311"/>
        <n v="1516"/>
        <n v="2023"/>
        <n v="2134"/>
        <n v="2266"/>
        <n v="3916"/>
        <n v="1022"/>
        <n v="2911"/>
        <n v="3277"/>
        <n v="2956"/>
        <n v="3208"/>
        <n v="1456"/>
        <n v="1902"/>
        <n v="3219"/>
        <n v="1261"/>
        <n v="1564"/>
        <n v="4006"/>
        <n v="1976"/>
        <n v="1583"/>
        <n v="2870"/>
        <n v="3728"/>
        <n v="4965"/>
        <n v="1131"/>
        <n v="2754"/>
        <n v="1856"/>
        <n v="3543"/>
        <n v="4283"/>
        <n v="2329"/>
        <n v="4287"/>
        <n v="2633"/>
        <n v="2383"/>
        <n v="4752"/>
        <n v="3890"/>
        <n v="2311"/>
        <n v="2962"/>
        <n v="3118"/>
        <n v="3805"/>
        <n v="2525"/>
        <n v="3563"/>
        <n v="1437"/>
        <n v="4425"/>
        <n v="4609"/>
        <n v="1558"/>
        <n v="1889"/>
        <n v="3086"/>
        <n v="3414"/>
        <n v="1342"/>
        <n v="4383"/>
        <n v="4294"/>
        <n v="2762"/>
        <n v="3782"/>
        <n v="4318"/>
        <n v="2335"/>
        <n v="4023"/>
        <n v="3948"/>
        <n v="4598"/>
        <n v="2665"/>
        <n v="3469"/>
        <n v="4823"/>
        <n v="3812"/>
        <n v="2387"/>
        <n v="3929"/>
        <n v="2191"/>
        <n v="3204"/>
        <n v="2408"/>
        <n v="2733"/>
        <n v="4618"/>
        <n v="4210"/>
        <n v="3987"/>
        <n v="4957"/>
        <n v="2605"/>
        <n v="4221"/>
        <n v="4422"/>
        <n v="1211"/>
        <n v="2784"/>
        <n v="3634"/>
        <n v="1771"/>
        <n v="1424"/>
        <n v="1079"/>
        <n v="2033"/>
        <n v="1839"/>
        <n v="2340"/>
        <n v="2080"/>
        <n v="4214"/>
        <n v="3792"/>
        <n v="3989"/>
        <n v="2857"/>
        <n v="1403"/>
        <n v="3071"/>
        <n v="1010"/>
        <n v="1295"/>
        <n v="1433"/>
        <n v="4902"/>
        <n v="2659"/>
        <n v="2599"/>
        <n v="1765"/>
        <n v="2169"/>
        <n v="4303"/>
        <n v="1519"/>
        <n v="2569"/>
        <n v="2778"/>
        <n v="3611"/>
        <n v="1224"/>
        <n v="4673"/>
        <n v="1432"/>
        <n v="2174"/>
        <n v="4308"/>
        <n v="1060"/>
        <n v="4653"/>
        <n v="1701"/>
        <n v="1673"/>
        <n v="4310"/>
        <n v="2752"/>
        <n v="3818"/>
        <n v="2101"/>
        <n v="2519"/>
        <n v="4502"/>
        <n v="2478"/>
        <n v="4984"/>
        <n v="4774"/>
        <n v="2145"/>
        <n v="4315"/>
        <n v="2267"/>
        <n v="4375"/>
        <n v="3817"/>
        <n v="2981"/>
        <n v="3300"/>
        <n v="4722"/>
        <n v="3529"/>
        <n v="4782"/>
        <n v="1848"/>
        <n v="4676"/>
        <n v="1994"/>
        <n v="4995"/>
        <n v="2291"/>
        <n v="2304"/>
        <n v="3413"/>
        <n v="1453"/>
        <n v="1651"/>
        <n v="3341"/>
        <n v="2972"/>
        <n v="4963"/>
        <n v="2399"/>
        <n v="2162"/>
        <n v="4341"/>
        <n v="2448"/>
        <n v="2471"/>
        <n v="2692"/>
        <n v="4621"/>
        <n v="1409"/>
        <n v="3029"/>
        <n v="2229"/>
        <n v="2691"/>
        <n v="2110"/>
        <n v="2177"/>
        <n v="1205"/>
        <n v="3194"/>
        <n v="3507"/>
        <n v="4471"/>
        <n v="4931"/>
        <n v="2604"/>
        <n v="4197"/>
        <n v="1914"/>
        <n v="1334"/>
        <n v="3359"/>
        <n v="2172"/>
        <n v="4877"/>
        <n v="4918"/>
        <n v="2088"/>
        <n v="3061"/>
        <n v="1265"/>
        <n v="1436"/>
        <n v="2244"/>
        <n v="3393"/>
        <n v="2901"/>
        <n v="2275"/>
        <n v="2227"/>
        <n v="1883"/>
      </sharedItems>
    </cacheField>
    <cacheField name="Shares" numFmtId="0">
      <sharedItems containsSemiMixedTypes="0" containsString="0" containsNumber="1" containsInteger="1" minValue="100" maxValue="499"/>
    </cacheField>
    <cacheField name="Comments" numFmtId="0">
      <sharedItems containsSemiMixedTypes="0" containsString="0" containsNumber="1" containsInteger="1" minValue="51" maxValue="400"/>
    </cacheField>
    <cacheField name="Impressions" numFmtId="0">
      <sharedItems containsSemiMixedTypes="0" containsString="0" containsNumber="1" containsInteger="1" minValue="20368" maxValue="59888" count="300">
        <n v="21181"/>
        <n v="29129"/>
        <n v="47533"/>
        <n v="29604"/>
        <n v="24401"/>
        <n v="58748"/>
        <n v="20756"/>
        <n v="21148"/>
        <n v="59016"/>
        <n v="21566"/>
        <n v="31316"/>
        <n v="38419"/>
        <n v="58162"/>
        <n v="36702"/>
        <n v="37492"/>
        <n v="48182"/>
        <n v="41364"/>
        <n v="32278"/>
        <n v="31826"/>
        <n v="29138"/>
        <n v="55668"/>
        <n v="28621"/>
        <n v="42000"/>
        <n v="28712"/>
        <n v="54605"/>
        <n v="55302"/>
        <n v="31004"/>
        <n v="49612"/>
        <n v="57431"/>
        <n v="26665"/>
        <n v="56284"/>
        <n v="43365"/>
        <n v="32181"/>
        <n v="38127"/>
        <n v="40095"/>
        <n v="43066"/>
        <n v="45300"/>
        <n v="44629"/>
        <n v="51386"/>
        <n v="27492"/>
        <n v="41265"/>
        <n v="44853"/>
        <n v="48746"/>
        <n v="51556"/>
        <n v="36148"/>
        <n v="23993"/>
        <n v="39838"/>
        <n v="24104"/>
        <n v="43443"/>
        <n v="24890"/>
        <n v="45884"/>
        <n v="21645"/>
        <n v="57660"/>
        <n v="58075"/>
        <n v="52115"/>
        <n v="23428"/>
        <n v="31233"/>
        <n v="39192"/>
        <n v="53581"/>
        <n v="45503"/>
        <n v="44558"/>
        <n v="54036"/>
        <n v="37302"/>
        <n v="51035"/>
        <n v="53805"/>
        <n v="58792"/>
        <n v="30619"/>
        <n v="20580"/>
        <n v="44692"/>
        <n v="51964"/>
        <n v="28914"/>
        <n v="20368"/>
        <n v="36528"/>
        <n v="53342"/>
        <n v="41947"/>
        <n v="38665"/>
        <n v="30589"/>
        <n v="22580"/>
        <n v="35535"/>
        <n v="37400"/>
        <n v="56623"/>
        <n v="43650"/>
        <n v="34578"/>
        <n v="29785"/>
        <n v="57685"/>
        <n v="36140"/>
        <n v="53435"/>
        <n v="30752"/>
        <n v="32368"/>
        <n v="22117"/>
        <n v="20659"/>
        <n v="30321"/>
        <n v="25641"/>
        <n v="36686"/>
        <n v="21202"/>
        <n v="24223"/>
        <n v="41763"/>
        <n v="59552"/>
        <n v="40681"/>
        <n v="36090"/>
        <n v="45012"/>
        <n v="23776"/>
        <n v="31870"/>
        <n v="36266"/>
        <n v="52090"/>
        <n v="21334"/>
        <n v="52853"/>
        <n v="41991"/>
        <n v="35221"/>
        <n v="25397"/>
        <n v="33644"/>
        <n v="36174"/>
        <n v="54342"/>
        <n v="46176"/>
        <n v="57451"/>
        <n v="37148"/>
        <n v="58981"/>
        <n v="54524"/>
        <n v="44338"/>
        <n v="53759"/>
        <n v="48989"/>
        <n v="51468"/>
        <n v="59083"/>
        <n v="46328"/>
        <n v="33347"/>
        <n v="56072"/>
        <n v="53485"/>
        <n v="24615"/>
        <n v="48879"/>
        <n v="59888"/>
        <n v="42075"/>
        <n v="49964"/>
        <n v="51696"/>
        <n v="30256"/>
        <n v="37621"/>
        <n v="22827"/>
        <n v="32793"/>
        <n v="48437"/>
        <n v="27762"/>
        <n v="29428"/>
        <n v="58007"/>
        <n v="43679"/>
        <n v="53004"/>
        <n v="49577"/>
        <n v="40792"/>
        <n v="40869"/>
        <n v="39187"/>
        <n v="48017"/>
        <n v="56994"/>
        <n v="30349"/>
        <n v="52508"/>
        <n v="37100"/>
        <n v="52395"/>
        <n v="51875"/>
        <n v="41085"/>
        <n v="53048"/>
        <n v="24610"/>
        <n v="33698"/>
        <n v="25405"/>
        <n v="46225"/>
        <n v="22824"/>
        <n v="25386"/>
        <n v="34146"/>
        <n v="51712"/>
        <n v="27355"/>
        <n v="53239"/>
        <n v="29828"/>
        <n v="33757"/>
        <n v="52172"/>
        <n v="32347"/>
        <n v="26114"/>
        <n v="26795"/>
        <n v="43147"/>
        <n v="52952"/>
        <n v="54808"/>
        <n v="46493"/>
        <n v="32470"/>
        <n v="59838"/>
        <n v="39745"/>
        <n v="58329"/>
        <n v="59606"/>
        <n v="47235"/>
        <n v="22020"/>
        <n v="47599"/>
        <n v="37980"/>
        <n v="22571"/>
        <n v="37762"/>
        <n v="45122"/>
        <n v="49199"/>
        <n v="32201"/>
        <n v="45080"/>
        <n v="56165"/>
        <n v="26532"/>
        <n v="58366"/>
        <n v="40256"/>
        <n v="48810"/>
        <n v="59517"/>
        <n v="43786"/>
        <n v="32991"/>
        <n v="56290"/>
        <n v="35459"/>
        <n v="24916"/>
        <n v="30971"/>
        <n v="47293"/>
        <n v="54592"/>
        <n v="57569"/>
        <n v="51519"/>
        <n v="54223"/>
        <n v="44013"/>
        <n v="47229"/>
        <n v="48350"/>
        <n v="54541"/>
        <n v="31674"/>
        <n v="23090"/>
        <n v="37525"/>
        <n v="41313"/>
        <n v="26109"/>
        <n v="39575"/>
        <n v="51611"/>
        <n v="38372"/>
        <n v="26247"/>
        <n v="44768"/>
        <n v="54232"/>
        <n v="45260"/>
        <n v="40634"/>
        <n v="54938"/>
        <n v="36955"/>
        <n v="57194"/>
        <n v="56876"/>
        <n v="47496"/>
        <n v="29847"/>
        <n v="44606"/>
        <n v="39038"/>
        <n v="25127"/>
        <n v="41791"/>
        <n v="36245"/>
        <n v="39198"/>
        <n v="59272"/>
        <n v="32900"/>
        <n v="52346"/>
        <n v="53323"/>
        <n v="35780"/>
        <n v="27904"/>
        <n v="57468"/>
        <n v="46434"/>
        <n v="20677"/>
        <n v="56773"/>
        <n v="27911"/>
        <n v="26570"/>
        <n v="29793"/>
        <n v="57819"/>
        <n v="45917"/>
        <n v="49500"/>
        <n v="34431"/>
        <n v="49319"/>
        <n v="52645"/>
        <n v="44680"/>
        <n v="52980"/>
        <n v="32140"/>
        <n v="43369"/>
        <n v="51740"/>
        <n v="44386"/>
        <n v="51603"/>
        <n v="46719"/>
        <n v="50081"/>
        <n v="25737"/>
        <n v="48254"/>
        <n v="45818"/>
        <n v="56979"/>
        <n v="58923"/>
        <n v="23815"/>
        <n v="56921"/>
        <n v="51133"/>
        <n v="49965"/>
        <n v="58530"/>
        <n v="47276"/>
        <n v="23341"/>
        <n v="56371"/>
        <n v="20410"/>
        <n v="44862"/>
        <n v="56701"/>
        <n v="58468"/>
        <n v="56048"/>
        <n v="27660"/>
        <n v="56910"/>
        <n v="33861"/>
        <n v="30515"/>
        <n v="52673"/>
        <n v="53269"/>
        <n v="23927"/>
        <n v="46544"/>
        <n v="26640"/>
        <n v="41312"/>
        <n v="58488"/>
        <n v="25834"/>
        <n v="30025"/>
        <n v="51777"/>
        <n v="43970"/>
        <n v="51651"/>
        <n v="28759"/>
      </sharedItems>
    </cacheField>
    <cacheField name="Reach" numFmtId="0">
      <sharedItems containsSemiMixedTypes="0" containsString="0" containsNumber="1" containsInteger="1" minValue="18091" maxValue="74761"/>
    </cacheField>
    <cacheField name="Clicks" numFmtId="0">
      <sharedItems containsSemiMixedTypes="0" containsString="0" containsNumber="1" containsInteger="1" minValue="80" maxValue="299" count="165">
        <n v="133"/>
        <n v="273"/>
        <n v="121"/>
        <n v="272"/>
        <n v="200"/>
        <n v="149"/>
        <n v="212"/>
        <n v="120"/>
        <n v="171"/>
        <n v="284"/>
        <n v="88"/>
        <n v="86"/>
        <n v="213"/>
        <n v="264"/>
        <n v="179"/>
        <n v="172"/>
        <n v="83"/>
        <n v="235"/>
        <n v="95"/>
        <n v="90"/>
        <n v="230"/>
        <n v="84"/>
        <n v="103"/>
        <n v="174"/>
        <n v="232"/>
        <n v="147"/>
        <n v="268"/>
        <n v="206"/>
        <n v="202"/>
        <n v="197"/>
        <n v="279"/>
        <n v="138"/>
        <n v="289"/>
        <n v="287"/>
        <n v="265"/>
        <n v="80"/>
        <n v="195"/>
        <n v="125"/>
        <n v="275"/>
        <n v="211"/>
        <n v="154"/>
        <n v="290"/>
        <n v="201"/>
        <n v="92"/>
        <n v="191"/>
        <n v="148"/>
        <n v="215"/>
        <n v="261"/>
        <n v="87"/>
        <n v="239"/>
        <n v="190"/>
        <n v="259"/>
        <n v="291"/>
        <n v="177"/>
        <n v="220"/>
        <n v="116"/>
        <n v="182"/>
        <n v="237"/>
        <n v="205"/>
        <n v="109"/>
        <n v="227"/>
        <n v="267"/>
        <n v="221"/>
        <n v="107"/>
        <n v="135"/>
        <n v="193"/>
        <n v="270"/>
        <n v="101"/>
        <n v="207"/>
        <n v="128"/>
        <n v="157"/>
        <n v="184"/>
        <n v="180"/>
        <n v="122"/>
        <n v="169"/>
        <n v="160"/>
        <n v="298"/>
        <n v="111"/>
        <n v="82"/>
        <n v="98"/>
        <n v="241"/>
        <n v="114"/>
        <n v="258"/>
        <n v="181"/>
        <n v="218"/>
        <n v="282"/>
        <n v="263"/>
        <n v="132"/>
        <n v="91"/>
        <n v="102"/>
        <n v="118"/>
        <n v="164"/>
        <n v="131"/>
        <n v="194"/>
        <n v="170"/>
        <n v="141"/>
        <n v="251"/>
        <n v="245"/>
        <n v="176"/>
        <n v="277"/>
        <n v="236"/>
        <n v="299"/>
        <n v="173"/>
        <n v="113"/>
        <n v="145"/>
        <n v="224"/>
        <n v="139"/>
        <n v="196"/>
        <n v="127"/>
        <n v="199"/>
        <n v="296"/>
        <n v="105"/>
        <n v="208"/>
        <n v="286"/>
        <n v="219"/>
        <n v="158"/>
        <n v="216"/>
        <n v="293"/>
        <n v="100"/>
        <n v="256"/>
        <n v="168"/>
        <n v="288"/>
        <n v="175"/>
        <n v="278"/>
        <n v="269"/>
        <n v="150"/>
        <n v="178"/>
        <n v="161"/>
        <n v="85"/>
        <n v="281"/>
        <n v="112"/>
        <n v="204"/>
        <n v="240"/>
        <n v="222"/>
        <n v="276"/>
        <n v="117"/>
        <n v="155"/>
        <n v="186"/>
        <n v="255"/>
        <n v="271"/>
        <n v="294"/>
        <n v="257"/>
        <n v="246"/>
        <n v="297"/>
        <n v="214"/>
        <n v="104"/>
        <n v="159"/>
        <n v="130"/>
        <n v="163"/>
        <n v="225"/>
        <n v="96"/>
        <n v="262"/>
        <n v="248"/>
        <n v="146"/>
        <n v="185"/>
        <n v="210"/>
        <n v="126"/>
        <n v="234"/>
        <n v="143"/>
        <n v="295"/>
        <n v="228"/>
        <n v="198"/>
        <n v="156"/>
        <n v="106"/>
        <n v="165"/>
      </sharedItems>
    </cacheField>
    <cacheField name="Hashtags Used" numFmtId="0">
      <sharedItems count="8">
        <s v="#SoundtrackOfLife,#NowPlaying"/>
        <s v="#DiscoverWeekly"/>
        <s v="#MusicForEveryone,#NowPlaying"/>
        <s v="#DiscoverWeekly,#SpotifyWrapped"/>
        <s v="#DiscoverWeekly,#MusicForEveryone"/>
        <s v="#NowPlaying"/>
        <s v="#SoundtrackOfLife"/>
        <s v="#DiscoverWeekly,#SoundtrackOfLife"/>
      </sharedItems>
    </cacheField>
    <cacheField name="Campaign_Name" numFmtId="0">
      <sharedItems count="4">
        <s v="ChillVibes"/>
        <s v="IndieWave"/>
        <s v="Wrapped2024"/>
        <s v="SummerBeats"/>
      </sharedItems>
    </cacheField>
    <cacheField name="Engagement Rate" numFmtId="0">
      <sharedItems containsSemiMixedTypes="0" containsString="0" containsNumber="1" minValue="2.50275284149232E-2" maxValue="0.26064752360763155"/>
    </cacheField>
  </cacheFields>
  <extLst>
    <ext xmlns:x14="http://schemas.microsoft.com/office/spreadsheetml/2009/9/main" uri="{725AE2AE-9491-48be-B2B4-4EB974FC3084}">
      <x14:pivotCacheDefinition pivotCacheId="57016748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nupriya S" refreshedDate="46077.491730555557" createdVersion="8" refreshedVersion="8" minRefreshableVersion="3" recordCount="483" xr:uid="{13C10B7C-DEB1-448F-8D9A-E9092736B044}">
  <cacheSource type="worksheet">
    <worksheetSource name="Posts5" r:id="rId2"/>
  </cacheSource>
  <cacheFields count="17">
    <cacheField name="Post ID" numFmtId="0">
      <sharedItems/>
    </cacheField>
    <cacheField name="Platform" numFmtId="0">
      <sharedItems/>
    </cacheField>
    <cacheField name="Date" numFmtId="14">
      <sharedItems containsSemiMixedTypes="0" containsNonDate="0" containsDate="1" containsString="0" minDate="2024-01-01T00:00:00" maxDate="2025-07-02T00:00:00"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1010" maxValue="4995"/>
    </cacheField>
    <cacheField name="Shares" numFmtId="0">
      <sharedItems containsSemiMixedTypes="0" containsString="0" containsNumber="1" containsInteger="1" minValue="100" maxValue="499"/>
    </cacheField>
    <cacheField name="Comments" numFmtId="0">
      <sharedItems containsSemiMixedTypes="0" containsString="0" containsNumber="1" containsInteger="1" minValue="51" maxValue="400"/>
    </cacheField>
    <cacheField name="Impressions" numFmtId="0">
      <sharedItems containsSemiMixedTypes="0" containsString="0" containsNumber="1" containsInteger="1" minValue="20368" maxValue="59888"/>
    </cacheField>
    <cacheField name="Reach" numFmtId="0">
      <sharedItems containsSemiMixedTypes="0" containsString="0" containsNumber="1" containsInteger="1" minValue="18091" maxValue="74761"/>
    </cacheField>
    <cacheField name="Clicks" numFmtId="0">
      <sharedItems containsSemiMixedTypes="0" containsString="0" containsNumber="1" containsInteger="1" minValue="80" maxValue="299"/>
    </cacheField>
    <cacheField name="Hashtags Used" numFmtId="0">
      <sharedItems count="5">
        <s v="#SoundtrackOfLife"/>
        <s v="#NowPlaying"/>
        <s v="#DiscoverWeekly"/>
        <s v="#MusicForEveryone"/>
        <s v="#SpotifyWrapped"/>
      </sharedItems>
    </cacheField>
    <cacheField name="Campaign_Name" numFmtId="0">
      <sharedItems count="4">
        <s v="ChillVibes"/>
        <s v="IndieWave"/>
        <s v="Wrapped2024"/>
        <s v="SummerBeats"/>
      </sharedItems>
    </cacheField>
    <cacheField name="Engagement Rate" numFmtId="0">
      <sharedItems containsSemiMixedTypes="0" containsString="0" containsNumber="1" minValue="2.50275284149232E-2" maxValue="0.26064752360763155"/>
    </cacheField>
    <cacheField name="Campaign Start Date" numFmtId="14">
      <sharedItems containsSemiMixedTypes="0" containsNonDate="0" containsDate="1" containsString="0" minDate="2024-06-15T00:00:00" maxDate="2025-03-02T00:00:00"/>
    </cacheField>
    <cacheField name="Campaign end date" numFmtId="0">
      <sharedItems containsSemiMixedTypes="0" containsString="0" containsNumber="1" containsInteger="1" minValue="45488" maxValue="45747"/>
    </cacheField>
    <cacheField name="Campaign Status" numFmtId="0">
      <sharedItems count="2">
        <s v="Before"/>
        <s v="Dur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d v="2025-05-04T00:00:00"/>
    <x v="0"/>
    <x v="0"/>
    <x v="0"/>
    <n v="245"/>
    <n v="137"/>
    <x v="0"/>
    <n v="45292"/>
    <x v="0"/>
    <x v="0"/>
    <x v="0"/>
    <n v="0.13200509890939993"/>
  </r>
  <r>
    <x v="1"/>
    <x v="0"/>
    <d v="2025-02-01T00:00:00"/>
    <x v="0"/>
    <x v="1"/>
    <x v="1"/>
    <n v="210"/>
    <n v="393"/>
    <x v="1"/>
    <n v="73287"/>
    <x v="1"/>
    <x v="1"/>
    <x v="1"/>
    <n v="8.7095334546328396E-2"/>
  </r>
  <r>
    <x v="2"/>
    <x v="1"/>
    <d v="2024-12-03T00:00:00"/>
    <x v="1"/>
    <x v="2"/>
    <x v="2"/>
    <n v="177"/>
    <n v="81"/>
    <x v="2"/>
    <n v="29220"/>
    <x v="2"/>
    <x v="2"/>
    <x v="0"/>
    <n v="7.0477352576105018E-2"/>
  </r>
  <r>
    <x v="3"/>
    <x v="0"/>
    <d v="2024-12-03T00:00:00"/>
    <x v="0"/>
    <x v="3"/>
    <x v="3"/>
    <n v="229"/>
    <n v="197"/>
    <x v="3"/>
    <n v="21809"/>
    <x v="3"/>
    <x v="0"/>
    <x v="0"/>
    <n v="0.1215714092690177"/>
  </r>
  <r>
    <x v="4"/>
    <x v="2"/>
    <d v="2024-04-06T00:00:00"/>
    <x v="0"/>
    <x v="4"/>
    <x v="4"/>
    <n v="145"/>
    <n v="315"/>
    <x v="4"/>
    <n v="61182"/>
    <x v="4"/>
    <x v="3"/>
    <x v="1"/>
    <n v="0.1314700217204213"/>
  </r>
  <r>
    <x v="5"/>
    <x v="2"/>
    <d v="2024-06-13T00:00:00"/>
    <x v="0"/>
    <x v="5"/>
    <x v="5"/>
    <n v="239"/>
    <n v="275"/>
    <x v="5"/>
    <n v="44646"/>
    <x v="5"/>
    <x v="3"/>
    <x v="1"/>
    <n v="7.4828079253761837E-2"/>
  </r>
  <r>
    <x v="6"/>
    <x v="1"/>
    <d v="2024-12-19T00:00:00"/>
    <x v="1"/>
    <x v="6"/>
    <x v="6"/>
    <n v="409"/>
    <n v="327"/>
    <x v="6"/>
    <n v="63599"/>
    <x v="6"/>
    <x v="0"/>
    <x v="0"/>
    <n v="0.26064752360763155"/>
  </r>
  <r>
    <x v="7"/>
    <x v="1"/>
    <d v="2024-05-09T00:00:00"/>
    <x v="1"/>
    <x v="3"/>
    <x v="7"/>
    <n v="347"/>
    <n v="67"/>
    <x v="7"/>
    <n v="19712"/>
    <x v="7"/>
    <x v="4"/>
    <x v="0"/>
    <n v="8.7100435029317191E-2"/>
  </r>
  <r>
    <x v="8"/>
    <x v="1"/>
    <d v="2025-06-15T00:00:00"/>
    <x v="0"/>
    <x v="7"/>
    <x v="8"/>
    <n v="223"/>
    <n v="299"/>
    <x v="8"/>
    <n v="21742"/>
    <x v="8"/>
    <x v="5"/>
    <x v="0"/>
    <n v="8.3943337400027115E-2"/>
  </r>
  <r>
    <x v="9"/>
    <x v="1"/>
    <d v="2024-12-04T00:00:00"/>
    <x v="0"/>
    <x v="3"/>
    <x v="9"/>
    <n v="274"/>
    <n v="172"/>
    <x v="9"/>
    <n v="66829"/>
    <x v="9"/>
    <x v="5"/>
    <x v="0"/>
    <n v="0.12997310581470833"/>
  </r>
  <r>
    <x v="10"/>
    <x v="1"/>
    <d v="2024-03-06T00:00:00"/>
    <x v="0"/>
    <x v="0"/>
    <x v="10"/>
    <n v="370"/>
    <n v="306"/>
    <x v="10"/>
    <n v="27897"/>
    <x v="10"/>
    <x v="6"/>
    <x v="1"/>
    <n v="8.4525482181632389E-2"/>
  </r>
  <r>
    <x v="11"/>
    <x v="0"/>
    <d v="2024-05-14T00:00:00"/>
    <x v="0"/>
    <x v="0"/>
    <x v="11"/>
    <n v="353"/>
    <n v="244"/>
    <x v="11"/>
    <n v="38556"/>
    <x v="11"/>
    <x v="0"/>
    <x v="0"/>
    <n v="5.4191936281527367E-2"/>
  </r>
  <r>
    <x v="12"/>
    <x v="1"/>
    <d v="2025-06-18T00:00:00"/>
    <x v="1"/>
    <x v="0"/>
    <x v="12"/>
    <n v="319"/>
    <n v="61"/>
    <x v="12"/>
    <n v="28720"/>
    <x v="12"/>
    <x v="2"/>
    <x v="0"/>
    <n v="7.4550393727863554E-2"/>
  </r>
  <r>
    <x v="13"/>
    <x v="1"/>
    <d v="2024-10-08T00:00:00"/>
    <x v="0"/>
    <x v="8"/>
    <x v="13"/>
    <n v="409"/>
    <n v="253"/>
    <x v="13"/>
    <n v="46122"/>
    <x v="13"/>
    <x v="5"/>
    <x v="0"/>
    <n v="8.5063484278785892E-2"/>
  </r>
  <r>
    <x v="14"/>
    <x v="1"/>
    <d v="2024-05-06T00:00:00"/>
    <x v="0"/>
    <x v="9"/>
    <x v="14"/>
    <n v="355"/>
    <n v="396"/>
    <x v="14"/>
    <n v="27285"/>
    <x v="14"/>
    <x v="5"/>
    <x v="0"/>
    <n v="0.11274405206444041"/>
  </r>
  <r>
    <x v="15"/>
    <x v="1"/>
    <d v="2024-12-29T00:00:00"/>
    <x v="1"/>
    <x v="2"/>
    <x v="15"/>
    <n v="377"/>
    <n v="94"/>
    <x v="15"/>
    <n v="42875"/>
    <x v="15"/>
    <x v="2"/>
    <x v="0"/>
    <n v="9.3810966751068869E-2"/>
  </r>
  <r>
    <x v="16"/>
    <x v="1"/>
    <d v="2024-06-10T00:00:00"/>
    <x v="0"/>
    <x v="5"/>
    <x v="16"/>
    <n v="164"/>
    <n v="275"/>
    <x v="16"/>
    <n v="44389"/>
    <x v="16"/>
    <x v="5"/>
    <x v="0"/>
    <n v="4.7214969538729328E-2"/>
  </r>
  <r>
    <x v="17"/>
    <x v="0"/>
    <d v="2024-02-03T00:00:00"/>
    <x v="1"/>
    <x v="4"/>
    <x v="17"/>
    <n v="101"/>
    <n v="163"/>
    <x v="17"/>
    <n v="53382"/>
    <x v="17"/>
    <x v="5"/>
    <x v="2"/>
    <n v="0.1408079806679472"/>
  </r>
  <r>
    <x v="18"/>
    <x v="2"/>
    <d v="2024-06-15T00:00:00"/>
    <x v="2"/>
    <x v="6"/>
    <x v="18"/>
    <n v="143"/>
    <n v="151"/>
    <x v="18"/>
    <n v="47729"/>
    <x v="18"/>
    <x v="7"/>
    <x v="3"/>
    <n v="6.4255640042732362E-2"/>
  </r>
  <r>
    <x v="19"/>
    <x v="0"/>
    <d v="2024-07-05T00:00:00"/>
    <x v="0"/>
    <x v="9"/>
    <x v="19"/>
    <n v="411"/>
    <n v="308"/>
    <x v="19"/>
    <n v="27678"/>
    <x v="19"/>
    <x v="1"/>
    <x v="1"/>
    <n v="0.15347655981879332"/>
  </r>
  <r>
    <x v="20"/>
    <x v="0"/>
    <d v="2024-11-07T00:00:00"/>
    <x v="1"/>
    <x v="3"/>
    <x v="20"/>
    <n v="423"/>
    <n v="323"/>
    <x v="20"/>
    <n v="37945"/>
    <x v="20"/>
    <x v="5"/>
    <x v="2"/>
    <n v="4.3543867212761371E-2"/>
  </r>
  <r>
    <x v="21"/>
    <x v="0"/>
    <d v="2025-06-15T00:00:00"/>
    <x v="0"/>
    <x v="5"/>
    <x v="21"/>
    <n v="466"/>
    <n v="233"/>
    <x v="21"/>
    <n v="34270"/>
    <x v="21"/>
    <x v="0"/>
    <x v="0"/>
    <n v="0.19548583208133888"/>
  </r>
  <r>
    <x v="22"/>
    <x v="2"/>
    <d v="2024-06-09T00:00:00"/>
    <x v="2"/>
    <x v="8"/>
    <x v="22"/>
    <n v="368"/>
    <n v="208"/>
    <x v="22"/>
    <n v="39967"/>
    <x v="22"/>
    <x v="7"/>
    <x v="3"/>
    <n v="8.0047619047619048E-2"/>
  </r>
  <r>
    <x v="23"/>
    <x v="1"/>
    <d v="2024-10-18T00:00:00"/>
    <x v="0"/>
    <x v="2"/>
    <x v="23"/>
    <n v="379"/>
    <n v="180"/>
    <x v="23"/>
    <n v="61620"/>
    <x v="23"/>
    <x v="6"/>
    <x v="1"/>
    <n v="0.11026748397882419"/>
  </r>
  <r>
    <x v="24"/>
    <x v="2"/>
    <d v="2024-10-10T00:00:00"/>
    <x v="2"/>
    <x v="8"/>
    <x v="24"/>
    <n v="320"/>
    <n v="92"/>
    <x v="24"/>
    <n v="60169"/>
    <x v="24"/>
    <x v="7"/>
    <x v="3"/>
    <n v="8.1036535115831879E-2"/>
  </r>
  <r>
    <x v="25"/>
    <x v="1"/>
    <d v="2025-05-14T00:00:00"/>
    <x v="1"/>
    <x v="8"/>
    <x v="25"/>
    <n v="103"/>
    <n v="51"/>
    <x v="25"/>
    <n v="18801"/>
    <x v="25"/>
    <x v="4"/>
    <x v="0"/>
    <n v="5.173411449857148E-2"/>
  </r>
  <r>
    <x v="26"/>
    <x v="0"/>
    <d v="2024-11-29T00:00:00"/>
    <x v="0"/>
    <x v="5"/>
    <x v="26"/>
    <n v="425"/>
    <n v="274"/>
    <x v="26"/>
    <n v="53488"/>
    <x v="26"/>
    <x v="0"/>
    <x v="0"/>
    <n v="0.11363049929041415"/>
  </r>
  <r>
    <x v="27"/>
    <x v="2"/>
    <d v="2024-03-05T00:00:00"/>
    <x v="2"/>
    <x v="1"/>
    <x v="27"/>
    <n v="314"/>
    <n v="199"/>
    <x v="27"/>
    <n v="53929"/>
    <x v="27"/>
    <x v="7"/>
    <x v="3"/>
    <n v="8.205676046117874E-2"/>
  </r>
  <r>
    <x v="28"/>
    <x v="1"/>
    <d v="2025-03-18T00:00:00"/>
    <x v="1"/>
    <x v="1"/>
    <x v="28"/>
    <n v="188"/>
    <n v="387"/>
    <x v="28"/>
    <n v="36933"/>
    <x v="28"/>
    <x v="2"/>
    <x v="0"/>
    <n v="6.9526910553533799E-2"/>
  </r>
  <r>
    <x v="29"/>
    <x v="1"/>
    <d v="2025-04-26T00:00:00"/>
    <x v="0"/>
    <x v="0"/>
    <x v="29"/>
    <n v="194"/>
    <n v="168"/>
    <x v="29"/>
    <n v="71699"/>
    <x v="29"/>
    <x v="5"/>
    <x v="0"/>
    <n v="0.10399399962497656"/>
  </r>
  <r>
    <x v="30"/>
    <x v="0"/>
    <d v="2025-01-01T00:00:00"/>
    <x v="0"/>
    <x v="2"/>
    <x v="30"/>
    <n v="112"/>
    <n v="382"/>
    <x v="30"/>
    <n v="29440"/>
    <x v="30"/>
    <x v="0"/>
    <x v="0"/>
    <n v="8.0484684812735408E-2"/>
  </r>
  <r>
    <x v="31"/>
    <x v="1"/>
    <d v="2024-05-07T00:00:00"/>
    <x v="1"/>
    <x v="1"/>
    <x v="31"/>
    <n v="307"/>
    <n v="178"/>
    <x v="31"/>
    <n v="48408"/>
    <x v="31"/>
    <x v="0"/>
    <x v="0"/>
    <n v="7.519889311656866E-2"/>
  </r>
  <r>
    <x v="32"/>
    <x v="1"/>
    <d v="2024-10-09T00:00:00"/>
    <x v="1"/>
    <x v="0"/>
    <x v="32"/>
    <n v="182"/>
    <n v="95"/>
    <x v="32"/>
    <n v="31084"/>
    <x v="32"/>
    <x v="4"/>
    <x v="0"/>
    <n v="0.16177247444144061"/>
  </r>
  <r>
    <x v="33"/>
    <x v="0"/>
    <d v="2025-01-09T00:00:00"/>
    <x v="0"/>
    <x v="2"/>
    <x v="33"/>
    <n v="366"/>
    <n v="308"/>
    <x v="33"/>
    <n v="63790"/>
    <x v="33"/>
    <x v="0"/>
    <x v="0"/>
    <n v="4.4299315445747112E-2"/>
  </r>
  <r>
    <x v="34"/>
    <x v="1"/>
    <d v="2025-05-08T00:00:00"/>
    <x v="1"/>
    <x v="9"/>
    <x v="34"/>
    <n v="332"/>
    <n v="268"/>
    <x v="34"/>
    <n v="36913"/>
    <x v="34"/>
    <x v="2"/>
    <x v="0"/>
    <n v="9.7668038408779148E-2"/>
  </r>
  <r>
    <x v="35"/>
    <x v="0"/>
    <d v="2024-05-04T00:00:00"/>
    <x v="0"/>
    <x v="3"/>
    <x v="35"/>
    <n v="243"/>
    <n v="222"/>
    <x v="35"/>
    <n v="59174"/>
    <x v="35"/>
    <x v="1"/>
    <x v="1"/>
    <n v="6.3600055728416843E-2"/>
  </r>
  <r>
    <x v="36"/>
    <x v="1"/>
    <d v="2025-05-27T00:00:00"/>
    <x v="1"/>
    <x v="1"/>
    <x v="36"/>
    <n v="385"/>
    <n v="400"/>
    <x v="36"/>
    <n v="31795"/>
    <x v="35"/>
    <x v="2"/>
    <x v="0"/>
    <n v="0.10772626931567329"/>
  </r>
  <r>
    <x v="37"/>
    <x v="0"/>
    <d v="2024-09-10T00:00:00"/>
    <x v="1"/>
    <x v="2"/>
    <x v="37"/>
    <n v="309"/>
    <n v="207"/>
    <x v="37"/>
    <n v="40699"/>
    <x v="36"/>
    <x v="5"/>
    <x v="2"/>
    <n v="3.9122543637545096E-2"/>
  </r>
  <r>
    <x v="38"/>
    <x v="0"/>
    <d v="2024-11-25T00:00:00"/>
    <x v="0"/>
    <x v="8"/>
    <x v="38"/>
    <n v="472"/>
    <n v="238"/>
    <x v="38"/>
    <n v="51706"/>
    <x v="0"/>
    <x v="1"/>
    <x v="1"/>
    <n v="3.9913595142645857E-2"/>
  </r>
  <r>
    <x v="39"/>
    <x v="1"/>
    <d v="2025-06-10T00:00:00"/>
    <x v="0"/>
    <x v="1"/>
    <x v="39"/>
    <n v="192"/>
    <n v="162"/>
    <x v="39"/>
    <n v="35341"/>
    <x v="37"/>
    <x v="5"/>
    <x v="0"/>
    <n v="0.14436927106067218"/>
  </r>
  <r>
    <x v="40"/>
    <x v="0"/>
    <d v="2024-04-19T00:00:00"/>
    <x v="0"/>
    <x v="2"/>
    <x v="40"/>
    <n v="353"/>
    <n v="129"/>
    <x v="40"/>
    <n v="37279"/>
    <x v="38"/>
    <x v="0"/>
    <x v="0"/>
    <n v="0.10863928268508422"/>
  </r>
  <r>
    <x v="41"/>
    <x v="0"/>
    <d v="2025-01-26T00:00:00"/>
    <x v="1"/>
    <x v="5"/>
    <x v="41"/>
    <n v="363"/>
    <n v="393"/>
    <x v="41"/>
    <n v="69032"/>
    <x v="39"/>
    <x v="5"/>
    <x v="2"/>
    <n v="9.379528682585335E-2"/>
  </r>
  <r>
    <x v="42"/>
    <x v="0"/>
    <d v="2025-02-14T00:00:00"/>
    <x v="0"/>
    <x v="7"/>
    <x v="42"/>
    <n v="450"/>
    <n v="387"/>
    <x v="42"/>
    <n v="37312"/>
    <x v="40"/>
    <x v="0"/>
    <x v="0"/>
    <n v="0.11750707750379519"/>
  </r>
  <r>
    <x v="43"/>
    <x v="0"/>
    <d v="2024-09-06T00:00:00"/>
    <x v="0"/>
    <x v="2"/>
    <x v="43"/>
    <n v="281"/>
    <n v="326"/>
    <x v="43"/>
    <n v="62599"/>
    <x v="41"/>
    <x v="1"/>
    <x v="1"/>
    <n v="3.9937155714174881E-2"/>
  </r>
  <r>
    <x v="44"/>
    <x v="2"/>
    <d v="2024-07-14T00:00:00"/>
    <x v="0"/>
    <x v="9"/>
    <x v="44"/>
    <n v="114"/>
    <n v="278"/>
    <x v="44"/>
    <n v="24209"/>
    <x v="42"/>
    <x v="3"/>
    <x v="1"/>
    <n v="0.11613367267898639"/>
  </r>
  <r>
    <x v="45"/>
    <x v="0"/>
    <d v="2024-02-12T00:00:00"/>
    <x v="0"/>
    <x v="1"/>
    <x v="45"/>
    <n v="330"/>
    <n v="250"/>
    <x v="45"/>
    <n v="74590"/>
    <x v="43"/>
    <x v="1"/>
    <x v="1"/>
    <n v="0.14600091693410577"/>
  </r>
  <r>
    <x v="46"/>
    <x v="2"/>
    <d v="2024-03-14T00:00:00"/>
    <x v="2"/>
    <x v="8"/>
    <x v="46"/>
    <n v="188"/>
    <n v="358"/>
    <x v="46"/>
    <n v="24536"/>
    <x v="7"/>
    <x v="7"/>
    <x v="3"/>
    <n v="9.8072192379135503E-2"/>
  </r>
  <r>
    <x v="47"/>
    <x v="0"/>
    <d v="2025-02-05T00:00:00"/>
    <x v="1"/>
    <x v="4"/>
    <x v="47"/>
    <n v="371"/>
    <n v="348"/>
    <x v="47"/>
    <n v="57803"/>
    <x v="12"/>
    <x v="5"/>
    <x v="2"/>
    <n v="0.15735977431131762"/>
  </r>
  <r>
    <x v="48"/>
    <x v="1"/>
    <d v="2024-08-29T00:00:00"/>
    <x v="1"/>
    <x v="6"/>
    <x v="48"/>
    <n v="227"/>
    <n v="223"/>
    <x v="48"/>
    <n v="41005"/>
    <x v="44"/>
    <x v="4"/>
    <x v="0"/>
    <n v="0.1087862256289851"/>
  </r>
  <r>
    <x v="49"/>
    <x v="1"/>
    <d v="2025-04-22T00:00:00"/>
    <x v="0"/>
    <x v="0"/>
    <x v="49"/>
    <n v="421"/>
    <n v="216"/>
    <x v="49"/>
    <n v="54361"/>
    <x v="45"/>
    <x v="5"/>
    <x v="0"/>
    <n v="0.20241060666934513"/>
  </r>
  <r>
    <x v="50"/>
    <x v="2"/>
    <d v="2024-05-13T00:00:00"/>
    <x v="2"/>
    <x v="1"/>
    <x v="50"/>
    <n v="481"/>
    <n v="61"/>
    <x v="50"/>
    <n v="48955"/>
    <x v="46"/>
    <x v="7"/>
    <x v="3"/>
    <n v="0.10249760265016128"/>
  </r>
  <r>
    <x v="51"/>
    <x v="1"/>
    <d v="2024-09-04T00:00:00"/>
    <x v="1"/>
    <x v="2"/>
    <x v="51"/>
    <n v="455"/>
    <n v="228"/>
    <x v="51"/>
    <n v="61334"/>
    <x v="47"/>
    <x v="4"/>
    <x v="0"/>
    <n v="0.15227535227535227"/>
  </r>
  <r>
    <x v="52"/>
    <x v="1"/>
    <d v="2024-08-12T00:00:00"/>
    <x v="1"/>
    <x v="5"/>
    <x v="52"/>
    <n v="213"/>
    <n v="331"/>
    <x v="52"/>
    <n v="68606"/>
    <x v="48"/>
    <x v="2"/>
    <x v="0"/>
    <n v="5.8723551855705859E-2"/>
  </r>
  <r>
    <x v="53"/>
    <x v="0"/>
    <d v="2025-03-06T00:00:00"/>
    <x v="0"/>
    <x v="6"/>
    <x v="53"/>
    <n v="460"/>
    <n v="212"/>
    <x v="53"/>
    <n v="59574"/>
    <x v="49"/>
    <x v="1"/>
    <x v="1"/>
    <n v="9.5101162290142052E-2"/>
  </r>
  <r>
    <x v="54"/>
    <x v="1"/>
    <d v="2024-05-08T00:00:00"/>
    <x v="0"/>
    <x v="1"/>
    <x v="54"/>
    <n v="450"/>
    <n v="214"/>
    <x v="54"/>
    <n v="19166"/>
    <x v="50"/>
    <x v="5"/>
    <x v="0"/>
    <n v="4.781732706514439E-2"/>
  </r>
  <r>
    <x v="55"/>
    <x v="0"/>
    <d v="2025-02-19T00:00:00"/>
    <x v="1"/>
    <x v="8"/>
    <x v="55"/>
    <n v="455"/>
    <n v="376"/>
    <x v="55"/>
    <n v="46775"/>
    <x v="51"/>
    <x v="5"/>
    <x v="2"/>
    <n v="0.13885094758408742"/>
  </r>
  <r>
    <x v="56"/>
    <x v="0"/>
    <d v="2024-01-08T00:00:00"/>
    <x v="0"/>
    <x v="7"/>
    <x v="56"/>
    <n v="405"/>
    <n v="223"/>
    <x v="56"/>
    <n v="58106"/>
    <x v="52"/>
    <x v="1"/>
    <x v="1"/>
    <n v="0.10600966926007749"/>
  </r>
  <r>
    <x v="57"/>
    <x v="2"/>
    <d v="2024-07-17T00:00:00"/>
    <x v="0"/>
    <x v="7"/>
    <x v="57"/>
    <n v="110"/>
    <n v="215"/>
    <x v="57"/>
    <n v="24744"/>
    <x v="53"/>
    <x v="3"/>
    <x v="1"/>
    <n v="8.8283323127168814E-2"/>
  </r>
  <r>
    <x v="58"/>
    <x v="2"/>
    <d v="2024-08-10T00:00:00"/>
    <x v="0"/>
    <x v="8"/>
    <x v="58"/>
    <n v="181"/>
    <n v="55"/>
    <x v="58"/>
    <n v="74048"/>
    <x v="54"/>
    <x v="3"/>
    <x v="1"/>
    <n v="2.50275284149232E-2"/>
  </r>
  <r>
    <x v="59"/>
    <x v="2"/>
    <d v="2024-04-16T00:00:00"/>
    <x v="0"/>
    <x v="0"/>
    <x v="6"/>
    <n v="326"/>
    <n v="62"/>
    <x v="59"/>
    <n v="46814"/>
    <x v="55"/>
    <x v="3"/>
    <x v="1"/>
    <n v="0.11124541239039185"/>
  </r>
  <r>
    <x v="60"/>
    <x v="2"/>
    <d v="2024-01-01T00:00:00"/>
    <x v="2"/>
    <x v="1"/>
    <x v="59"/>
    <n v="129"/>
    <n v="359"/>
    <x v="60"/>
    <n v="30854"/>
    <x v="8"/>
    <x v="7"/>
    <x v="3"/>
    <n v="8.8087436599488311E-2"/>
  </r>
  <r>
    <x v="61"/>
    <x v="1"/>
    <d v="2024-11-03T00:00:00"/>
    <x v="1"/>
    <x v="3"/>
    <x v="60"/>
    <n v="316"/>
    <n v="82"/>
    <x v="61"/>
    <n v="69015"/>
    <x v="56"/>
    <x v="2"/>
    <x v="0"/>
    <n v="4.3619068768968837E-2"/>
  </r>
  <r>
    <x v="62"/>
    <x v="1"/>
    <d v="2024-07-07T00:00:00"/>
    <x v="0"/>
    <x v="2"/>
    <x v="61"/>
    <n v="137"/>
    <n v="184"/>
    <x v="62"/>
    <n v="68953"/>
    <x v="57"/>
    <x v="6"/>
    <x v="1"/>
    <n v="3.6351938233874857E-2"/>
  </r>
  <r>
    <x v="63"/>
    <x v="1"/>
    <d v="2025-01-22T00:00:00"/>
    <x v="1"/>
    <x v="2"/>
    <x v="62"/>
    <n v="101"/>
    <n v="121"/>
    <x v="63"/>
    <n v="58207"/>
    <x v="58"/>
    <x v="2"/>
    <x v="0"/>
    <n v="9.2093661212893113E-2"/>
  </r>
  <r>
    <x v="64"/>
    <x v="2"/>
    <d v="2024-05-26T00:00:00"/>
    <x v="0"/>
    <x v="8"/>
    <x v="63"/>
    <n v="327"/>
    <n v="110"/>
    <x v="64"/>
    <n v="30239"/>
    <x v="59"/>
    <x v="3"/>
    <x v="1"/>
    <n v="3.5777344113000653E-2"/>
  </r>
  <r>
    <x v="65"/>
    <x v="0"/>
    <d v="2025-04-16T00:00:00"/>
    <x v="0"/>
    <x v="3"/>
    <x v="64"/>
    <n v="331"/>
    <n v="140"/>
    <x v="65"/>
    <n v="47711"/>
    <x v="60"/>
    <x v="0"/>
    <x v="0"/>
    <n v="9.0267383317458164E-2"/>
  </r>
  <r>
    <x v="66"/>
    <x v="2"/>
    <d v="2024-04-02T00:00:00"/>
    <x v="2"/>
    <x v="9"/>
    <x v="65"/>
    <n v="488"/>
    <n v="356"/>
    <x v="66"/>
    <n v="23328"/>
    <x v="61"/>
    <x v="7"/>
    <x v="3"/>
    <n v="0.17658969920637513"/>
  </r>
  <r>
    <x v="67"/>
    <x v="1"/>
    <d v="2024-03-28T00:00:00"/>
    <x v="0"/>
    <x v="4"/>
    <x v="66"/>
    <n v="421"/>
    <n v="114"/>
    <x v="67"/>
    <n v="30324"/>
    <x v="62"/>
    <x v="6"/>
    <x v="1"/>
    <n v="0.18517978620019437"/>
  </r>
  <r>
    <x v="68"/>
    <x v="1"/>
    <d v="2024-12-17T00:00:00"/>
    <x v="1"/>
    <x v="4"/>
    <x v="67"/>
    <n v="472"/>
    <n v="286"/>
    <x v="68"/>
    <n v="53343"/>
    <x v="60"/>
    <x v="4"/>
    <x v="0"/>
    <n v="4.6406515707509172E-2"/>
  </r>
  <r>
    <x v="69"/>
    <x v="1"/>
    <d v="2025-01-05T00:00:00"/>
    <x v="0"/>
    <x v="3"/>
    <x v="68"/>
    <n v="473"/>
    <n v="254"/>
    <x v="69"/>
    <n v="68795"/>
    <x v="63"/>
    <x v="5"/>
    <x v="0"/>
    <n v="0.10657378184897237"/>
  </r>
  <r>
    <x v="70"/>
    <x v="1"/>
    <d v="2024-01-11T00:00:00"/>
    <x v="0"/>
    <x v="5"/>
    <x v="69"/>
    <n v="247"/>
    <n v="183"/>
    <x v="70"/>
    <n v="18310"/>
    <x v="64"/>
    <x v="6"/>
    <x v="1"/>
    <n v="0.1607525766064882"/>
  </r>
  <r>
    <x v="71"/>
    <x v="0"/>
    <d v="2024-10-11T00:00:00"/>
    <x v="0"/>
    <x v="8"/>
    <x v="70"/>
    <n v="249"/>
    <n v="52"/>
    <x v="71"/>
    <n v="42152"/>
    <x v="65"/>
    <x v="1"/>
    <x v="1"/>
    <n v="8.1549489395129612E-2"/>
  </r>
  <r>
    <x v="72"/>
    <x v="2"/>
    <d v="2025-05-06T00:00:00"/>
    <x v="2"/>
    <x v="0"/>
    <x v="71"/>
    <n v="496"/>
    <n v="320"/>
    <x v="72"/>
    <n v="38599"/>
    <x v="66"/>
    <x v="7"/>
    <x v="3"/>
    <n v="5.2042268944371438E-2"/>
  </r>
  <r>
    <x v="73"/>
    <x v="1"/>
    <d v="2024-05-19T00:00:00"/>
    <x v="1"/>
    <x v="6"/>
    <x v="72"/>
    <n v="206"/>
    <n v="187"/>
    <x v="73"/>
    <n v="25095"/>
    <x v="10"/>
    <x v="4"/>
    <x v="0"/>
    <n v="4.0418432004799221E-2"/>
  </r>
  <r>
    <x v="74"/>
    <x v="1"/>
    <d v="2024-01-22T00:00:00"/>
    <x v="1"/>
    <x v="8"/>
    <x v="73"/>
    <n v="455"/>
    <n v="158"/>
    <x v="74"/>
    <n v="48578"/>
    <x v="67"/>
    <x v="0"/>
    <x v="0"/>
    <n v="5.1660428636136076E-2"/>
  </r>
  <r>
    <x v="75"/>
    <x v="0"/>
    <d v="2024-07-14T00:00:00"/>
    <x v="0"/>
    <x v="3"/>
    <x v="74"/>
    <n v="401"/>
    <n v="78"/>
    <x v="75"/>
    <n v="73593"/>
    <x v="68"/>
    <x v="1"/>
    <x v="1"/>
    <n v="7.611534979956032E-2"/>
  </r>
  <r>
    <x v="76"/>
    <x v="1"/>
    <d v="2025-05-28T00:00:00"/>
    <x v="0"/>
    <x v="8"/>
    <x v="75"/>
    <n v="161"/>
    <n v="360"/>
    <x v="76"/>
    <n v="41383"/>
    <x v="10"/>
    <x v="5"/>
    <x v="0"/>
    <n v="9.6080290300434801E-2"/>
  </r>
  <r>
    <x v="77"/>
    <x v="1"/>
    <d v="2025-01-21T00:00:00"/>
    <x v="1"/>
    <x v="0"/>
    <x v="76"/>
    <n v="494"/>
    <n v="55"/>
    <x v="77"/>
    <n v="22214"/>
    <x v="59"/>
    <x v="2"/>
    <x v="0"/>
    <n v="0.13476527900797167"/>
  </r>
  <r>
    <x v="78"/>
    <x v="2"/>
    <d v="2024-01-13T00:00:00"/>
    <x v="2"/>
    <x v="2"/>
    <x v="77"/>
    <n v="191"/>
    <n v="122"/>
    <x v="78"/>
    <n v="50777"/>
    <x v="69"/>
    <x v="7"/>
    <x v="3"/>
    <n v="0.14335162515829464"/>
  </r>
  <r>
    <x v="79"/>
    <x v="0"/>
    <d v="2025-06-17T00:00:00"/>
    <x v="0"/>
    <x v="4"/>
    <x v="78"/>
    <n v="187"/>
    <n v="260"/>
    <x v="79"/>
    <n v="65014"/>
    <x v="70"/>
    <x v="0"/>
    <x v="0"/>
    <n v="7.3021390374331557E-2"/>
  </r>
  <r>
    <x v="80"/>
    <x v="1"/>
    <d v="2025-03-07T00:00:00"/>
    <x v="0"/>
    <x v="6"/>
    <x v="79"/>
    <n v="486"/>
    <n v="276"/>
    <x v="80"/>
    <n v="41343"/>
    <x v="71"/>
    <x v="6"/>
    <x v="1"/>
    <n v="8.8232696960599044E-2"/>
  </r>
  <r>
    <x v="81"/>
    <x v="0"/>
    <d v="2024-08-26T00:00:00"/>
    <x v="0"/>
    <x v="9"/>
    <x v="80"/>
    <n v="181"/>
    <n v="306"/>
    <x v="81"/>
    <n v="50079"/>
    <x v="56"/>
    <x v="1"/>
    <x v="1"/>
    <n v="5.9312714776632303E-2"/>
  </r>
  <r>
    <x v="82"/>
    <x v="1"/>
    <d v="2025-01-03T00:00:00"/>
    <x v="1"/>
    <x v="6"/>
    <x v="81"/>
    <n v="158"/>
    <n v="84"/>
    <x v="82"/>
    <n v="51480"/>
    <x v="72"/>
    <x v="0"/>
    <x v="0"/>
    <n v="0.1471166637746544"/>
  </r>
  <r>
    <x v="83"/>
    <x v="1"/>
    <d v="2024-08-03T00:00:00"/>
    <x v="0"/>
    <x v="9"/>
    <x v="82"/>
    <n v="390"/>
    <n v="213"/>
    <x v="83"/>
    <n v="57768"/>
    <x v="73"/>
    <x v="5"/>
    <x v="0"/>
    <n v="0.16283364109451065"/>
  </r>
  <r>
    <x v="84"/>
    <x v="0"/>
    <d v="2024-08-18T00:00:00"/>
    <x v="0"/>
    <x v="1"/>
    <x v="83"/>
    <n v="328"/>
    <n v="171"/>
    <x v="84"/>
    <n v="67536"/>
    <x v="13"/>
    <x v="0"/>
    <x v="0"/>
    <n v="6.0050273034584378E-2"/>
  </r>
  <r>
    <x v="85"/>
    <x v="1"/>
    <d v="2025-05-14T00:00:00"/>
    <x v="1"/>
    <x v="3"/>
    <x v="84"/>
    <n v="139"/>
    <n v="96"/>
    <x v="85"/>
    <n v="39395"/>
    <x v="74"/>
    <x v="0"/>
    <x v="0"/>
    <n v="4.4438295517432211E-2"/>
  </r>
  <r>
    <x v="86"/>
    <x v="1"/>
    <d v="2024-04-23T00:00:00"/>
    <x v="1"/>
    <x v="0"/>
    <x v="56"/>
    <n v="496"/>
    <n v="89"/>
    <x v="86"/>
    <n v="30334"/>
    <x v="75"/>
    <x v="0"/>
    <x v="0"/>
    <n v="6.1158416768035934E-2"/>
  </r>
  <r>
    <x v="87"/>
    <x v="1"/>
    <d v="2025-02-17T00:00:00"/>
    <x v="1"/>
    <x v="5"/>
    <x v="85"/>
    <n v="427"/>
    <n v="339"/>
    <x v="87"/>
    <n v="33870"/>
    <x v="76"/>
    <x v="0"/>
    <x v="0"/>
    <n v="0.18086628511966701"/>
  </r>
  <r>
    <x v="88"/>
    <x v="0"/>
    <d v="2024-12-04T00:00:00"/>
    <x v="0"/>
    <x v="3"/>
    <x v="86"/>
    <n v="336"/>
    <n v="260"/>
    <x v="88"/>
    <n v="49028"/>
    <x v="7"/>
    <x v="0"/>
    <x v="0"/>
    <n v="9.8770390509144837E-2"/>
  </r>
  <r>
    <x v="89"/>
    <x v="1"/>
    <d v="2024-07-22T00:00:00"/>
    <x v="1"/>
    <x v="3"/>
    <x v="87"/>
    <n v="229"/>
    <n v="337"/>
    <x v="89"/>
    <n v="26205"/>
    <x v="75"/>
    <x v="2"/>
    <x v="0"/>
    <n v="0.17642537414658407"/>
  </r>
  <r>
    <x v="90"/>
    <x v="1"/>
    <d v="2025-04-27T00:00:00"/>
    <x v="0"/>
    <x v="1"/>
    <x v="88"/>
    <n v="294"/>
    <n v="163"/>
    <x v="90"/>
    <n v="45926"/>
    <x v="77"/>
    <x v="6"/>
    <x v="1"/>
    <n v="7.8512996756861422E-2"/>
  </r>
  <r>
    <x v="91"/>
    <x v="2"/>
    <d v="2024-03-25T00:00:00"/>
    <x v="2"/>
    <x v="1"/>
    <x v="89"/>
    <n v="155"/>
    <n v="315"/>
    <x v="91"/>
    <n v="57121"/>
    <x v="78"/>
    <x v="7"/>
    <x v="3"/>
    <n v="7.974671020085089E-2"/>
  </r>
  <r>
    <x v="92"/>
    <x v="0"/>
    <d v="2024-02-29T00:00:00"/>
    <x v="0"/>
    <x v="8"/>
    <x v="90"/>
    <n v="229"/>
    <n v="312"/>
    <x v="92"/>
    <n v="34601"/>
    <x v="74"/>
    <x v="1"/>
    <x v="1"/>
    <n v="6.3999063999063993E-2"/>
  </r>
  <r>
    <x v="93"/>
    <x v="1"/>
    <d v="2024-11-13T00:00:00"/>
    <x v="1"/>
    <x v="7"/>
    <x v="91"/>
    <n v="257"/>
    <n v="397"/>
    <x v="93"/>
    <n v="54683"/>
    <x v="79"/>
    <x v="0"/>
    <x v="0"/>
    <n v="0.1439786294499264"/>
  </r>
  <r>
    <x v="94"/>
    <x v="0"/>
    <d v="2024-03-22T00:00:00"/>
    <x v="1"/>
    <x v="0"/>
    <x v="92"/>
    <n v="484"/>
    <n v="193"/>
    <x v="94"/>
    <n v="18091"/>
    <x v="80"/>
    <x v="5"/>
    <x v="2"/>
    <n v="0.14130742382794076"/>
  </r>
  <r>
    <x v="95"/>
    <x v="1"/>
    <d v="2024-03-16T00:00:00"/>
    <x v="1"/>
    <x v="3"/>
    <x v="93"/>
    <n v="292"/>
    <n v="90"/>
    <x v="95"/>
    <n v="54626"/>
    <x v="81"/>
    <x v="0"/>
    <x v="0"/>
    <n v="0.13528464682326713"/>
  </r>
  <r>
    <x v="96"/>
    <x v="0"/>
    <d v="2024-01-26T00:00:00"/>
    <x v="0"/>
    <x v="5"/>
    <x v="94"/>
    <n v="431"/>
    <n v="97"/>
    <x v="96"/>
    <n v="29729"/>
    <x v="44"/>
    <x v="1"/>
    <x v="1"/>
    <n v="0.10550008380623997"/>
  </r>
  <r>
    <x v="97"/>
    <x v="1"/>
    <d v="2024-03-15T00:00:00"/>
    <x v="1"/>
    <x v="6"/>
    <x v="95"/>
    <n v="433"/>
    <n v="237"/>
    <x v="97"/>
    <n v="23885"/>
    <x v="70"/>
    <x v="4"/>
    <x v="0"/>
    <n v="9.4690354648038683E-2"/>
  </r>
  <r>
    <x v="98"/>
    <x v="1"/>
    <d v="2024-10-15T00:00:00"/>
    <x v="0"/>
    <x v="3"/>
    <x v="96"/>
    <n v="481"/>
    <n v="356"/>
    <x v="98"/>
    <n v="63111"/>
    <x v="82"/>
    <x v="5"/>
    <x v="0"/>
    <n v="6.934441139598338E-2"/>
  </r>
  <r>
    <x v="99"/>
    <x v="0"/>
    <d v="2024-07-21T00:00:00"/>
    <x v="0"/>
    <x v="0"/>
    <x v="97"/>
    <n v="415"/>
    <n v="218"/>
    <x v="99"/>
    <n v="37073"/>
    <x v="83"/>
    <x v="1"/>
    <x v="1"/>
    <n v="0.10077583818232197"/>
  </r>
  <r>
    <x v="100"/>
    <x v="1"/>
    <d v="2024-10-12T00:00:00"/>
    <x v="0"/>
    <x v="6"/>
    <x v="98"/>
    <n v="386"/>
    <n v="175"/>
    <x v="100"/>
    <n v="38508"/>
    <x v="84"/>
    <x v="5"/>
    <x v="0"/>
    <n v="8.2866791077934779E-2"/>
  </r>
  <r>
    <x v="101"/>
    <x v="1"/>
    <d v="2024-10-26T00:00:00"/>
    <x v="0"/>
    <x v="0"/>
    <x v="99"/>
    <n v="293"/>
    <n v="115"/>
    <x v="101"/>
    <n v="46386"/>
    <x v="85"/>
    <x v="5"/>
    <x v="0"/>
    <n v="0.14485195154777927"/>
  </r>
  <r>
    <x v="102"/>
    <x v="0"/>
    <d v="2024-02-14T00:00:00"/>
    <x v="0"/>
    <x v="4"/>
    <x v="100"/>
    <n v="112"/>
    <n v="181"/>
    <x v="102"/>
    <n v="55742"/>
    <x v="86"/>
    <x v="0"/>
    <x v="0"/>
    <n v="6.6614370881706936E-2"/>
  </r>
  <r>
    <x v="103"/>
    <x v="1"/>
    <d v="2024-05-01T00:00:00"/>
    <x v="1"/>
    <x v="5"/>
    <x v="101"/>
    <n v="447"/>
    <n v="183"/>
    <x v="103"/>
    <n v="32877"/>
    <x v="87"/>
    <x v="4"/>
    <x v="0"/>
    <n v="8.8705674736667947E-2"/>
  </r>
  <r>
    <x v="104"/>
    <x v="1"/>
    <d v="2024-09-18T00:00:00"/>
    <x v="0"/>
    <x v="0"/>
    <x v="102"/>
    <n v="265"/>
    <n v="91"/>
    <x v="104"/>
    <n v="28924"/>
    <x v="0"/>
    <x v="5"/>
    <x v="0"/>
    <n v="6.2084853138798232E-2"/>
  </r>
  <r>
    <x v="105"/>
    <x v="1"/>
    <d v="2025-01-20T00:00:00"/>
    <x v="1"/>
    <x v="2"/>
    <x v="103"/>
    <n v="272"/>
    <n v="57"/>
    <x v="105"/>
    <n v="46292"/>
    <x v="88"/>
    <x v="0"/>
    <x v="0"/>
    <n v="0.23193025217961938"/>
  </r>
  <r>
    <x v="106"/>
    <x v="1"/>
    <d v="2025-01-13T00:00:00"/>
    <x v="0"/>
    <x v="4"/>
    <x v="104"/>
    <n v="209"/>
    <n v="278"/>
    <x v="106"/>
    <n v="57084"/>
    <x v="89"/>
    <x v="6"/>
    <x v="1"/>
    <n v="8.6598679355949518E-2"/>
  </r>
  <r>
    <x v="107"/>
    <x v="2"/>
    <d v="2024-09-07T00:00:00"/>
    <x v="2"/>
    <x v="4"/>
    <x v="5"/>
    <n v="342"/>
    <n v="374"/>
    <x v="107"/>
    <n v="48554"/>
    <x v="90"/>
    <x v="7"/>
    <x v="3"/>
    <n v="0.10949965468790931"/>
  </r>
  <r>
    <x v="108"/>
    <x v="0"/>
    <d v="2024-11-21T00:00:00"/>
    <x v="0"/>
    <x v="4"/>
    <x v="105"/>
    <n v="181"/>
    <n v="112"/>
    <x v="108"/>
    <n v="28797"/>
    <x v="91"/>
    <x v="0"/>
    <x v="0"/>
    <n v="0.13838335084182732"/>
  </r>
  <r>
    <x v="109"/>
    <x v="0"/>
    <d v="2024-06-26T00:00:00"/>
    <x v="0"/>
    <x v="2"/>
    <x v="106"/>
    <n v="483"/>
    <n v="336"/>
    <x v="109"/>
    <n v="51485"/>
    <x v="92"/>
    <x v="1"/>
    <x v="1"/>
    <n v="0.16033389770445328"/>
  </r>
  <r>
    <x v="110"/>
    <x v="2"/>
    <d v="2024-07-20T00:00:00"/>
    <x v="2"/>
    <x v="4"/>
    <x v="107"/>
    <n v="299"/>
    <n v="345"/>
    <x v="110"/>
    <n v="43547"/>
    <x v="93"/>
    <x v="7"/>
    <x v="3"/>
    <n v="0.16641897515158721"/>
  </r>
  <r>
    <x v="111"/>
    <x v="0"/>
    <d v="2025-02-16T00:00:00"/>
    <x v="0"/>
    <x v="9"/>
    <x v="108"/>
    <n v="286"/>
    <n v="298"/>
    <x v="111"/>
    <n v="34517"/>
    <x v="94"/>
    <x v="0"/>
    <x v="0"/>
    <n v="5.2993862995521647E-2"/>
  </r>
  <r>
    <x v="112"/>
    <x v="0"/>
    <d v="2024-09-09T00:00:00"/>
    <x v="0"/>
    <x v="2"/>
    <x v="109"/>
    <n v="360"/>
    <n v="180"/>
    <x v="112"/>
    <n v="18796"/>
    <x v="85"/>
    <x v="0"/>
    <x v="0"/>
    <n v="3.9674653122814763E-2"/>
  </r>
  <r>
    <x v="113"/>
    <x v="1"/>
    <d v="2024-07-16T00:00:00"/>
    <x v="0"/>
    <x v="7"/>
    <x v="110"/>
    <n v="273"/>
    <n v="287"/>
    <x v="113"/>
    <n v="25488"/>
    <x v="95"/>
    <x v="5"/>
    <x v="0"/>
    <n v="5.1173769923769923E-2"/>
  </r>
  <r>
    <x v="114"/>
    <x v="0"/>
    <d v="2025-04-15T00:00:00"/>
    <x v="0"/>
    <x v="1"/>
    <x v="111"/>
    <n v="489"/>
    <n v="331"/>
    <x v="114"/>
    <n v="73793"/>
    <x v="96"/>
    <x v="1"/>
    <x v="1"/>
    <n v="8.6978468608031198E-2"/>
  </r>
  <r>
    <x v="115"/>
    <x v="0"/>
    <d v="2025-05-04T00:00:00"/>
    <x v="1"/>
    <x v="2"/>
    <x v="112"/>
    <n v="181"/>
    <n v="361"/>
    <x v="115"/>
    <n v="44875"/>
    <x v="97"/>
    <x v="5"/>
    <x v="2"/>
    <n v="4.9881554861634543E-2"/>
  </r>
  <r>
    <x v="116"/>
    <x v="0"/>
    <d v="2024-02-18T00:00:00"/>
    <x v="1"/>
    <x v="8"/>
    <x v="113"/>
    <n v="215"/>
    <n v="332"/>
    <x v="116"/>
    <n v="36118"/>
    <x v="39"/>
    <x v="5"/>
    <x v="2"/>
    <n v="3.4977365592309385E-2"/>
  </r>
  <r>
    <x v="117"/>
    <x v="1"/>
    <d v="2024-05-16T00:00:00"/>
    <x v="1"/>
    <x v="4"/>
    <x v="114"/>
    <n v="124"/>
    <n v="99"/>
    <x v="117"/>
    <n v="34790"/>
    <x v="36"/>
    <x v="4"/>
    <x v="0"/>
    <n v="4.1192869195216787E-2"/>
  </r>
  <r>
    <x v="118"/>
    <x v="1"/>
    <d v="2025-05-29T00:00:00"/>
    <x v="1"/>
    <x v="4"/>
    <x v="115"/>
    <n v="322"/>
    <n v="114"/>
    <x v="118"/>
    <n v="52165"/>
    <x v="98"/>
    <x v="2"/>
    <x v="0"/>
    <n v="5.7963823356939871E-2"/>
  </r>
  <r>
    <x v="119"/>
    <x v="0"/>
    <d v="2025-01-17T00:00:00"/>
    <x v="0"/>
    <x v="7"/>
    <x v="116"/>
    <n v="126"/>
    <n v="140"/>
    <x v="119"/>
    <n v="46834"/>
    <x v="99"/>
    <x v="1"/>
    <x v="1"/>
    <n v="4.7099090384865788E-2"/>
  </r>
  <r>
    <x v="120"/>
    <x v="0"/>
    <d v="2025-04-30T00:00:00"/>
    <x v="1"/>
    <x v="2"/>
    <x v="117"/>
    <n v="459"/>
    <n v="229"/>
    <x v="120"/>
    <n v="39768"/>
    <x v="4"/>
    <x v="5"/>
    <x v="2"/>
    <n v="9.3980281287635997E-2"/>
  </r>
  <r>
    <x v="121"/>
    <x v="1"/>
    <d v="2024-02-24T00:00:00"/>
    <x v="1"/>
    <x v="4"/>
    <x v="118"/>
    <n v="463"/>
    <n v="360"/>
    <x v="121"/>
    <n v="24279"/>
    <x v="20"/>
    <x v="4"/>
    <x v="0"/>
    <n v="3.5847516903707161E-2"/>
  </r>
  <r>
    <x v="122"/>
    <x v="2"/>
    <d v="2024-05-12T00:00:00"/>
    <x v="0"/>
    <x v="8"/>
    <x v="119"/>
    <n v="467"/>
    <n v="94"/>
    <x v="122"/>
    <n v="49762"/>
    <x v="100"/>
    <x v="3"/>
    <x v="1"/>
    <n v="5.8764788517847777E-2"/>
  </r>
  <r>
    <x v="123"/>
    <x v="1"/>
    <d v="2024-05-09T00:00:00"/>
    <x v="1"/>
    <x v="2"/>
    <x v="120"/>
    <n v="423"/>
    <n v="259"/>
    <x v="123"/>
    <n v="44293"/>
    <x v="101"/>
    <x v="0"/>
    <x v="0"/>
    <n v="8.5455879813503707E-2"/>
  </r>
  <r>
    <x v="124"/>
    <x v="1"/>
    <d v="2024-11-06T00:00:00"/>
    <x v="0"/>
    <x v="8"/>
    <x v="121"/>
    <n v="381"/>
    <n v="345"/>
    <x v="124"/>
    <n v="22558"/>
    <x v="102"/>
    <x v="5"/>
    <x v="0"/>
    <n v="0.11041472996071611"/>
  </r>
  <r>
    <x v="125"/>
    <x v="1"/>
    <d v="2024-01-04T00:00:00"/>
    <x v="1"/>
    <x v="5"/>
    <x v="122"/>
    <n v="476"/>
    <n v="277"/>
    <x v="125"/>
    <n v="21061"/>
    <x v="103"/>
    <x v="2"/>
    <x v="0"/>
    <n v="7.064131830503638E-2"/>
  </r>
  <r>
    <x v="126"/>
    <x v="1"/>
    <d v="2024-01-28T00:00:00"/>
    <x v="0"/>
    <x v="4"/>
    <x v="123"/>
    <n v="265"/>
    <n v="137"/>
    <x v="126"/>
    <n v="59729"/>
    <x v="104"/>
    <x v="6"/>
    <x v="1"/>
    <n v="3.4738711788351875E-2"/>
  </r>
  <r>
    <x v="127"/>
    <x v="0"/>
    <d v="2024-02-22T00:00:00"/>
    <x v="0"/>
    <x v="2"/>
    <x v="124"/>
    <n v="394"/>
    <n v="279"/>
    <x v="127"/>
    <n v="51330"/>
    <x v="98"/>
    <x v="0"/>
    <x v="0"/>
    <n v="0.10461100954702417"/>
  </r>
  <r>
    <x v="128"/>
    <x v="1"/>
    <d v="2025-07-01T00:00:00"/>
    <x v="1"/>
    <x v="1"/>
    <x v="125"/>
    <n v="424"/>
    <n v="267"/>
    <x v="128"/>
    <n v="37691"/>
    <x v="105"/>
    <x v="4"/>
    <x v="0"/>
    <n v="7.9993453221219743E-2"/>
  </r>
  <r>
    <x v="129"/>
    <x v="2"/>
    <d v="2024-01-10T00:00:00"/>
    <x v="0"/>
    <x v="1"/>
    <x v="126"/>
    <n v="190"/>
    <n v="233"/>
    <x v="129"/>
    <n v="51449"/>
    <x v="58"/>
    <x v="3"/>
    <x v="1"/>
    <n v="2.811915575741384E-2"/>
  </r>
  <r>
    <x v="130"/>
    <x v="1"/>
    <d v="2025-03-20T00:00:00"/>
    <x v="0"/>
    <x v="9"/>
    <x v="127"/>
    <n v="362"/>
    <n v="371"/>
    <x v="130"/>
    <n v="66659"/>
    <x v="58"/>
    <x v="6"/>
    <x v="1"/>
    <n v="5.4592988710635768E-2"/>
  </r>
  <r>
    <x v="131"/>
    <x v="1"/>
    <d v="2024-09-28T00:00:00"/>
    <x v="0"/>
    <x v="5"/>
    <x v="128"/>
    <n v="420"/>
    <n v="194"/>
    <x v="131"/>
    <n v="20685"/>
    <x v="45"/>
    <x v="5"/>
    <x v="0"/>
    <n v="9.2466575934672959E-2"/>
  </r>
  <r>
    <x v="132"/>
    <x v="2"/>
    <d v="2024-01-27T00:00:00"/>
    <x v="0"/>
    <x v="9"/>
    <x v="129"/>
    <n v="262"/>
    <n v="218"/>
    <x v="132"/>
    <n v="44846"/>
    <x v="106"/>
    <x v="3"/>
    <x v="1"/>
    <n v="4.7508511296812134E-2"/>
  </r>
  <r>
    <x v="133"/>
    <x v="1"/>
    <d v="2025-05-15T00:00:00"/>
    <x v="0"/>
    <x v="2"/>
    <x v="130"/>
    <n v="433"/>
    <n v="249"/>
    <x v="133"/>
    <n v="47066"/>
    <x v="107"/>
    <x v="5"/>
    <x v="0"/>
    <n v="7.4861184558434685E-2"/>
  </r>
  <r>
    <x v="134"/>
    <x v="1"/>
    <d v="2024-10-04T00:00:00"/>
    <x v="1"/>
    <x v="1"/>
    <x v="131"/>
    <n v="380"/>
    <n v="393"/>
    <x v="134"/>
    <n v="71794"/>
    <x v="108"/>
    <x v="2"/>
    <x v="0"/>
    <n v="9.6834214933149046E-2"/>
  </r>
  <r>
    <x v="135"/>
    <x v="1"/>
    <d v="2024-11-19T00:00:00"/>
    <x v="0"/>
    <x v="7"/>
    <x v="132"/>
    <n v="271"/>
    <n v="275"/>
    <x v="135"/>
    <n v="37034"/>
    <x v="109"/>
    <x v="5"/>
    <x v="0"/>
    <n v="0.18723441538528934"/>
  </r>
  <r>
    <x v="136"/>
    <x v="1"/>
    <d v="2024-04-05T00:00:00"/>
    <x v="1"/>
    <x v="2"/>
    <x v="133"/>
    <n v="175"/>
    <n v="307"/>
    <x v="136"/>
    <n v="43412"/>
    <x v="110"/>
    <x v="0"/>
    <x v="0"/>
    <n v="0.16610252187966945"/>
  </r>
  <r>
    <x v="137"/>
    <x v="1"/>
    <d v="2024-11-28T00:00:00"/>
    <x v="1"/>
    <x v="2"/>
    <x v="134"/>
    <n v="100"/>
    <n v="116"/>
    <x v="137"/>
    <n v="72704"/>
    <x v="100"/>
    <x v="4"/>
    <x v="0"/>
    <n v="2.7809319322005904E-2"/>
  </r>
  <r>
    <x v="138"/>
    <x v="1"/>
    <d v="2025-03-09T00:00:00"/>
    <x v="0"/>
    <x v="9"/>
    <x v="135"/>
    <n v="215"/>
    <n v="264"/>
    <x v="138"/>
    <n v="70203"/>
    <x v="32"/>
    <x v="5"/>
    <x v="0"/>
    <n v="0.11645414595490239"/>
  </r>
  <r>
    <x v="139"/>
    <x v="1"/>
    <d v="2024-08-27T00:00:00"/>
    <x v="1"/>
    <x v="2"/>
    <x v="136"/>
    <n v="357"/>
    <n v="348"/>
    <x v="139"/>
    <n v="70206"/>
    <x v="100"/>
    <x v="2"/>
    <x v="0"/>
    <n v="8.702596166915863E-2"/>
  </r>
  <r>
    <x v="140"/>
    <x v="2"/>
    <d v="2024-10-01T00:00:00"/>
    <x v="2"/>
    <x v="1"/>
    <x v="137"/>
    <n v="334"/>
    <n v="218"/>
    <x v="140"/>
    <n v="24792"/>
    <x v="1"/>
    <x v="7"/>
    <x v="3"/>
    <n v="7.0594928198320889E-2"/>
  </r>
  <r>
    <x v="141"/>
    <x v="0"/>
    <d v="2024-12-21T00:00:00"/>
    <x v="1"/>
    <x v="2"/>
    <x v="65"/>
    <n v="398"/>
    <n v="163"/>
    <x v="141"/>
    <n v="48760"/>
    <x v="43"/>
    <x v="5"/>
    <x v="2"/>
    <n v="0.11731037798484398"/>
  </r>
  <r>
    <x v="142"/>
    <x v="0"/>
    <d v="2024-06-17T00:00:00"/>
    <x v="0"/>
    <x v="0"/>
    <x v="138"/>
    <n v="471"/>
    <n v="156"/>
    <x v="142"/>
    <n v="25678"/>
    <x v="111"/>
    <x v="1"/>
    <x v="1"/>
    <n v="9.2634518149573616E-2"/>
  </r>
  <r>
    <x v="143"/>
    <x v="0"/>
    <d v="2025-02-14T00:00:00"/>
    <x v="0"/>
    <x v="0"/>
    <x v="139"/>
    <n v="373"/>
    <n v="291"/>
    <x v="143"/>
    <n v="28002"/>
    <x v="78"/>
    <x v="0"/>
    <x v="0"/>
    <n v="6.0370736430199488E-2"/>
  </r>
  <r>
    <x v="144"/>
    <x v="1"/>
    <d v="2025-05-28T00:00:00"/>
    <x v="1"/>
    <x v="7"/>
    <x v="140"/>
    <n v="273"/>
    <n v="122"/>
    <x v="144"/>
    <n v="23878"/>
    <x v="99"/>
    <x v="2"/>
    <x v="0"/>
    <n v="0.11477740733477153"/>
  </r>
  <r>
    <x v="145"/>
    <x v="0"/>
    <d v="2025-05-22T00:00:00"/>
    <x v="0"/>
    <x v="0"/>
    <x v="141"/>
    <n v="318"/>
    <n v="380"/>
    <x v="145"/>
    <n v="64474"/>
    <x v="97"/>
    <x v="1"/>
    <x v="1"/>
    <n v="8.1504318676747664E-2"/>
  </r>
  <r>
    <x v="146"/>
    <x v="1"/>
    <d v="2024-01-21T00:00:00"/>
    <x v="1"/>
    <x v="0"/>
    <x v="142"/>
    <n v="136"/>
    <n v="302"/>
    <x v="146"/>
    <n v="22133"/>
    <x v="112"/>
    <x v="2"/>
    <x v="0"/>
    <n v="7.1988159338556151E-2"/>
  </r>
  <r>
    <x v="147"/>
    <x v="1"/>
    <d v="2025-02-08T00:00:00"/>
    <x v="1"/>
    <x v="9"/>
    <x v="143"/>
    <n v="334"/>
    <n v="56"/>
    <x v="147"/>
    <n v="55534"/>
    <x v="66"/>
    <x v="4"/>
    <x v="0"/>
    <n v="0.10708707332819627"/>
  </r>
  <r>
    <x v="148"/>
    <x v="1"/>
    <d v="2025-04-13T00:00:00"/>
    <x v="0"/>
    <x v="8"/>
    <x v="144"/>
    <n v="408"/>
    <n v="338"/>
    <x v="148"/>
    <n v="32621"/>
    <x v="113"/>
    <x v="6"/>
    <x v="1"/>
    <n v="8.1341895638137346E-2"/>
  </r>
  <r>
    <x v="149"/>
    <x v="1"/>
    <d v="2024-05-30T00:00:00"/>
    <x v="1"/>
    <x v="9"/>
    <x v="145"/>
    <n v="207"/>
    <n v="363"/>
    <x v="149"/>
    <n v="32925"/>
    <x v="10"/>
    <x v="2"/>
    <x v="0"/>
    <n v="9.4928992718046723E-2"/>
  </r>
  <r>
    <x v="150"/>
    <x v="0"/>
    <d v="2024-08-12T00:00:00"/>
    <x v="1"/>
    <x v="0"/>
    <x v="146"/>
    <n v="400"/>
    <n v="280"/>
    <x v="150"/>
    <n v="58329"/>
    <x v="114"/>
    <x v="5"/>
    <x v="2"/>
    <n v="6.9360859297630834E-2"/>
  </r>
  <r>
    <x v="151"/>
    <x v="0"/>
    <d v="2024-09-27T00:00:00"/>
    <x v="0"/>
    <x v="0"/>
    <x v="147"/>
    <n v="116"/>
    <n v="195"/>
    <x v="151"/>
    <n v="62629"/>
    <x v="3"/>
    <x v="1"/>
    <x v="1"/>
    <n v="9.2425876010781671E-2"/>
  </r>
  <r>
    <x v="152"/>
    <x v="1"/>
    <d v="2025-06-11T00:00:00"/>
    <x v="1"/>
    <x v="1"/>
    <x v="148"/>
    <n v="453"/>
    <n v="63"/>
    <x v="152"/>
    <n v="72934"/>
    <x v="48"/>
    <x v="4"/>
    <x v="0"/>
    <n v="8.2469701307376658E-2"/>
  </r>
  <r>
    <x v="153"/>
    <x v="0"/>
    <d v="2024-11-19T00:00:00"/>
    <x v="0"/>
    <x v="5"/>
    <x v="149"/>
    <n v="272"/>
    <n v="294"/>
    <x v="153"/>
    <n v="24732"/>
    <x v="43"/>
    <x v="1"/>
    <x v="1"/>
    <n v="5.9585542168674697E-2"/>
  </r>
  <r>
    <x v="154"/>
    <x v="0"/>
    <d v="2024-04-25T00:00:00"/>
    <x v="0"/>
    <x v="4"/>
    <x v="150"/>
    <n v="483"/>
    <n v="227"/>
    <x v="154"/>
    <n v="26393"/>
    <x v="100"/>
    <x v="0"/>
    <x v="0"/>
    <n v="0.10400389436534015"/>
  </r>
  <r>
    <x v="155"/>
    <x v="2"/>
    <d v="2024-09-03T00:00:00"/>
    <x v="2"/>
    <x v="5"/>
    <x v="151"/>
    <n v="494"/>
    <n v="129"/>
    <x v="155"/>
    <n v="44090"/>
    <x v="20"/>
    <x v="7"/>
    <x v="3"/>
    <n v="3.8832755240536872E-2"/>
  </r>
  <r>
    <x v="156"/>
    <x v="2"/>
    <d v="2025-03-02T00:00:00"/>
    <x v="0"/>
    <x v="8"/>
    <x v="152"/>
    <n v="185"/>
    <n v="162"/>
    <x v="156"/>
    <n v="21342"/>
    <x v="115"/>
    <x v="3"/>
    <x v="1"/>
    <n v="0.19390491670052823"/>
  </r>
  <r>
    <x v="157"/>
    <x v="1"/>
    <d v="2025-03-21T00:00:00"/>
    <x v="1"/>
    <x v="2"/>
    <x v="153"/>
    <n v="427"/>
    <n v="395"/>
    <x v="157"/>
    <n v="29259"/>
    <x v="116"/>
    <x v="4"/>
    <x v="0"/>
    <n v="0.16116683482699271"/>
  </r>
  <r>
    <x v="158"/>
    <x v="0"/>
    <d v="2024-04-12T00:00:00"/>
    <x v="1"/>
    <x v="6"/>
    <x v="154"/>
    <n v="352"/>
    <n v="202"/>
    <x v="158"/>
    <n v="69941"/>
    <x v="114"/>
    <x v="5"/>
    <x v="2"/>
    <n v="8.3133241487896081E-2"/>
  </r>
  <r>
    <x v="159"/>
    <x v="2"/>
    <d v="2024-02-08T00:00:00"/>
    <x v="2"/>
    <x v="7"/>
    <x v="155"/>
    <n v="298"/>
    <n v="122"/>
    <x v="159"/>
    <n v="74305"/>
    <x v="117"/>
    <x v="7"/>
    <x v="3"/>
    <n v="4.9951325040562468E-2"/>
  </r>
  <r>
    <x v="160"/>
    <x v="0"/>
    <d v="2025-05-26T00:00:00"/>
    <x v="0"/>
    <x v="0"/>
    <x v="156"/>
    <n v="148"/>
    <n v="310"/>
    <x v="160"/>
    <n v="58103"/>
    <x v="38"/>
    <x v="1"/>
    <x v="1"/>
    <n v="0.1552751489660007"/>
  </r>
  <r>
    <x v="161"/>
    <x v="0"/>
    <d v="2024-11-14T00:00:00"/>
    <x v="0"/>
    <x v="4"/>
    <x v="55"/>
    <n v="318"/>
    <n v="118"/>
    <x v="161"/>
    <n v="20873"/>
    <x v="118"/>
    <x v="0"/>
    <x v="0"/>
    <n v="0.11258173796580792"/>
  </r>
  <r>
    <x v="162"/>
    <x v="2"/>
    <d v="2024-08-09T00:00:00"/>
    <x v="2"/>
    <x v="8"/>
    <x v="157"/>
    <n v="154"/>
    <n v="204"/>
    <x v="162"/>
    <n v="44633"/>
    <x v="119"/>
    <x v="7"/>
    <x v="3"/>
    <n v="0.11046681895390383"/>
  </r>
  <r>
    <x v="163"/>
    <x v="0"/>
    <d v="2025-06-27T00:00:00"/>
    <x v="1"/>
    <x v="5"/>
    <x v="158"/>
    <n v="332"/>
    <n v="163"/>
    <x v="163"/>
    <n v="57922"/>
    <x v="120"/>
    <x v="5"/>
    <x v="2"/>
    <n v="3.5523669554455448E-2"/>
  </r>
  <r>
    <x v="164"/>
    <x v="0"/>
    <d v="2024-05-08T00:00:00"/>
    <x v="1"/>
    <x v="4"/>
    <x v="0"/>
    <n v="220"/>
    <n v="280"/>
    <x v="164"/>
    <n v="50562"/>
    <x v="82"/>
    <x v="5"/>
    <x v="2"/>
    <n v="0.10652531529884847"/>
  </r>
  <r>
    <x v="165"/>
    <x v="0"/>
    <d v="2024-04-05T00:00:00"/>
    <x v="0"/>
    <x v="2"/>
    <x v="159"/>
    <n v="352"/>
    <n v="176"/>
    <x v="165"/>
    <n v="34168"/>
    <x v="121"/>
    <x v="1"/>
    <x v="1"/>
    <n v="9.2244407295403744E-2"/>
  </r>
  <r>
    <x v="166"/>
    <x v="2"/>
    <d v="2025-01-27T00:00:00"/>
    <x v="0"/>
    <x v="3"/>
    <x v="160"/>
    <n v="423"/>
    <n v="93"/>
    <x v="166"/>
    <n v="73144"/>
    <x v="76"/>
    <x v="3"/>
    <x v="1"/>
    <n v="0.1612578785034196"/>
  </r>
  <r>
    <x v="167"/>
    <x v="0"/>
    <d v="2024-04-03T00:00:00"/>
    <x v="0"/>
    <x v="7"/>
    <x v="161"/>
    <n v="339"/>
    <n v="323"/>
    <x v="167"/>
    <n v="68511"/>
    <x v="2"/>
    <x v="0"/>
    <x v="0"/>
    <n v="0.10143081434961637"/>
  </r>
  <r>
    <x v="168"/>
    <x v="2"/>
    <d v="2025-01-03T00:00:00"/>
    <x v="0"/>
    <x v="2"/>
    <x v="162"/>
    <n v="484"/>
    <n v="144"/>
    <x v="168"/>
    <n v="59386"/>
    <x v="122"/>
    <x v="3"/>
    <x v="1"/>
    <n v="8.4528099363643333E-2"/>
  </r>
  <r>
    <x v="169"/>
    <x v="1"/>
    <d v="2024-11-23T00:00:00"/>
    <x v="0"/>
    <x v="2"/>
    <x v="163"/>
    <n v="371"/>
    <n v="329"/>
    <x v="169"/>
    <n v="68956"/>
    <x v="51"/>
    <x v="6"/>
    <x v="1"/>
    <n v="0.15513030574705536"/>
  </r>
  <r>
    <x v="170"/>
    <x v="0"/>
    <d v="2024-09-01T00:00:00"/>
    <x v="1"/>
    <x v="3"/>
    <x v="164"/>
    <n v="150"/>
    <n v="75"/>
    <x v="170"/>
    <n v="57549"/>
    <x v="64"/>
    <x v="5"/>
    <x v="2"/>
    <n v="9.8031707130274953E-2"/>
  </r>
  <r>
    <x v="171"/>
    <x v="2"/>
    <d v="2024-04-18T00:00:00"/>
    <x v="0"/>
    <x v="1"/>
    <x v="165"/>
    <n v="293"/>
    <n v="91"/>
    <x v="171"/>
    <n v="28924"/>
    <x v="123"/>
    <x v="3"/>
    <x v="1"/>
    <n v="0.16447098339242397"/>
  </r>
  <r>
    <x v="172"/>
    <x v="0"/>
    <d v="2024-06-04T00:00:00"/>
    <x v="0"/>
    <x v="6"/>
    <x v="166"/>
    <n v="151"/>
    <n v="249"/>
    <x v="172"/>
    <n v="63136"/>
    <x v="20"/>
    <x v="1"/>
    <x v="1"/>
    <n v="0.10077178019329269"/>
  </r>
  <r>
    <x v="173"/>
    <x v="2"/>
    <d v="2025-04-02T00:00:00"/>
    <x v="0"/>
    <x v="3"/>
    <x v="167"/>
    <n v="455"/>
    <n v="378"/>
    <x v="173"/>
    <n v="58504"/>
    <x v="124"/>
    <x v="3"/>
    <x v="1"/>
    <n v="0.10256458679558846"/>
  </r>
  <r>
    <x v="174"/>
    <x v="1"/>
    <d v="2025-04-01T00:00:00"/>
    <x v="1"/>
    <x v="4"/>
    <x v="168"/>
    <n v="143"/>
    <n v="315"/>
    <x v="174"/>
    <n v="29818"/>
    <x v="79"/>
    <x v="4"/>
    <x v="0"/>
    <n v="5.6980732739746021E-2"/>
  </r>
  <r>
    <x v="175"/>
    <x v="0"/>
    <d v="2024-07-02T00:00:00"/>
    <x v="0"/>
    <x v="7"/>
    <x v="169"/>
    <n v="371"/>
    <n v="76"/>
    <x v="175"/>
    <n v="26906"/>
    <x v="125"/>
    <x v="0"/>
    <x v="0"/>
    <n v="8.4227733207149463E-2"/>
  </r>
  <r>
    <x v="176"/>
    <x v="1"/>
    <d v="2024-11-10T00:00:00"/>
    <x v="0"/>
    <x v="1"/>
    <x v="170"/>
    <n v="489"/>
    <n v="302"/>
    <x v="176"/>
    <n v="31861"/>
    <x v="126"/>
    <x v="6"/>
    <x v="1"/>
    <n v="0.1728980597474592"/>
  </r>
  <r>
    <x v="177"/>
    <x v="0"/>
    <d v="2024-12-14T00:00:00"/>
    <x v="1"/>
    <x v="8"/>
    <x v="171"/>
    <n v="321"/>
    <n v="289"/>
    <x v="177"/>
    <n v="36337"/>
    <x v="127"/>
    <x v="5"/>
    <x v="2"/>
    <n v="7.3899528727564417E-2"/>
  </r>
  <r>
    <x v="178"/>
    <x v="1"/>
    <d v="2024-11-19T00:00:00"/>
    <x v="0"/>
    <x v="1"/>
    <x v="172"/>
    <n v="353"/>
    <n v="78"/>
    <x v="178"/>
    <n v="69226"/>
    <x v="112"/>
    <x v="6"/>
    <x v="1"/>
    <n v="7.090200025160398E-2"/>
  </r>
  <r>
    <x v="179"/>
    <x v="1"/>
    <d v="2025-04-30T00:00:00"/>
    <x v="1"/>
    <x v="3"/>
    <x v="173"/>
    <n v="275"/>
    <n v="330"/>
    <x v="179"/>
    <n v="33196"/>
    <x v="128"/>
    <x v="2"/>
    <x v="0"/>
    <n v="7.7731488624869283E-2"/>
  </r>
  <r>
    <x v="180"/>
    <x v="1"/>
    <d v="2024-03-19T00:00:00"/>
    <x v="0"/>
    <x v="8"/>
    <x v="174"/>
    <n v="288"/>
    <n v="83"/>
    <x v="180"/>
    <n v="24765"/>
    <x v="129"/>
    <x v="6"/>
    <x v="1"/>
    <n v="4.2982250109049422E-2"/>
  </r>
  <r>
    <x v="181"/>
    <x v="0"/>
    <d v="2024-03-19T00:00:00"/>
    <x v="0"/>
    <x v="8"/>
    <x v="102"/>
    <n v="278"/>
    <n v="255"/>
    <x v="181"/>
    <n v="57922"/>
    <x v="130"/>
    <x v="0"/>
    <x v="0"/>
    <n v="7.2213401079707848E-2"/>
  </r>
  <r>
    <x v="182"/>
    <x v="1"/>
    <d v="2024-07-23T00:00:00"/>
    <x v="0"/>
    <x v="7"/>
    <x v="175"/>
    <n v="398"/>
    <n v="85"/>
    <x v="182"/>
    <n v="58353"/>
    <x v="113"/>
    <x v="6"/>
    <x v="1"/>
    <n v="0.16743869209809265"/>
  </r>
  <r>
    <x v="183"/>
    <x v="1"/>
    <d v="2024-07-13T00:00:00"/>
    <x v="1"/>
    <x v="6"/>
    <x v="176"/>
    <n v="323"/>
    <n v="251"/>
    <x v="183"/>
    <n v="35543"/>
    <x v="33"/>
    <x v="2"/>
    <x v="0"/>
    <n v="6.2648374965860634E-2"/>
  </r>
  <r>
    <x v="184"/>
    <x v="2"/>
    <d v="2025-04-22T00:00:00"/>
    <x v="2"/>
    <x v="2"/>
    <x v="177"/>
    <n v="297"/>
    <n v="235"/>
    <x v="184"/>
    <n v="33058"/>
    <x v="114"/>
    <x v="7"/>
    <x v="3"/>
    <n v="8.5966298051606105E-2"/>
  </r>
  <r>
    <x v="185"/>
    <x v="1"/>
    <d v="2024-06-16T00:00:00"/>
    <x v="1"/>
    <x v="1"/>
    <x v="178"/>
    <n v="312"/>
    <n v="254"/>
    <x v="185"/>
    <n v="29453"/>
    <x v="29"/>
    <x v="2"/>
    <x v="0"/>
    <n v="0.22967524699836073"/>
  </r>
  <r>
    <x v="186"/>
    <x v="2"/>
    <d v="2025-05-18T00:00:00"/>
    <x v="2"/>
    <x v="3"/>
    <x v="179"/>
    <n v="319"/>
    <n v="350"/>
    <x v="186"/>
    <n v="55162"/>
    <x v="131"/>
    <x v="7"/>
    <x v="3"/>
    <n v="0.12920396165457337"/>
  </r>
  <r>
    <x v="187"/>
    <x v="0"/>
    <d v="2025-06-06T00:00:00"/>
    <x v="0"/>
    <x v="3"/>
    <x v="180"/>
    <n v="171"/>
    <n v="274"/>
    <x v="187"/>
    <n v="65431"/>
    <x v="120"/>
    <x v="1"/>
    <x v="1"/>
    <n v="9.8222596516111871E-2"/>
  </r>
  <r>
    <x v="188"/>
    <x v="2"/>
    <d v="2025-02-20T00:00:00"/>
    <x v="2"/>
    <x v="6"/>
    <x v="181"/>
    <n v="262"/>
    <n v="365"/>
    <x v="188"/>
    <n v="40314"/>
    <x v="116"/>
    <x v="7"/>
    <x v="3"/>
    <n v="0.11349824183418362"/>
  </r>
  <r>
    <x v="189"/>
    <x v="0"/>
    <d v="2025-01-16T00:00:00"/>
    <x v="0"/>
    <x v="4"/>
    <x v="182"/>
    <n v="282"/>
    <n v="148"/>
    <x v="189"/>
    <n v="49583"/>
    <x v="80"/>
    <x v="0"/>
    <x v="0"/>
    <n v="9.4251731312692155E-2"/>
  </r>
  <r>
    <x v="190"/>
    <x v="2"/>
    <d v="2024-02-24T00:00:00"/>
    <x v="2"/>
    <x v="0"/>
    <x v="183"/>
    <n v="307"/>
    <n v="58"/>
    <x v="190"/>
    <n v="37214"/>
    <x v="132"/>
    <x v="7"/>
    <x v="3"/>
    <n v="0.10173025732031943"/>
  </r>
  <r>
    <x v="191"/>
    <x v="1"/>
    <d v="2024-09-16T00:00:00"/>
    <x v="1"/>
    <x v="5"/>
    <x v="184"/>
    <n v="434"/>
    <n v="156"/>
    <x v="191"/>
    <n v="52431"/>
    <x v="102"/>
    <x v="4"/>
    <x v="0"/>
    <n v="8.9237069349238848E-2"/>
  </r>
  <r>
    <x v="192"/>
    <x v="2"/>
    <d v="2024-06-04T00:00:00"/>
    <x v="2"/>
    <x v="3"/>
    <x v="185"/>
    <n v="431"/>
    <n v="83"/>
    <x v="192"/>
    <n v="47305"/>
    <x v="24"/>
    <x v="7"/>
    <x v="3"/>
    <n v="6.5015829941203071E-2"/>
  </r>
  <r>
    <x v="193"/>
    <x v="1"/>
    <d v="2024-05-10T00:00:00"/>
    <x v="1"/>
    <x v="1"/>
    <x v="186"/>
    <n v="111"/>
    <n v="399"/>
    <x v="193"/>
    <n v="69512"/>
    <x v="124"/>
    <x v="2"/>
    <x v="0"/>
    <n v="5.6436966727204191E-2"/>
  </r>
  <r>
    <x v="194"/>
    <x v="2"/>
    <d v="2024-01-14T00:00:00"/>
    <x v="0"/>
    <x v="2"/>
    <x v="187"/>
    <n v="280"/>
    <n v="399"/>
    <x v="194"/>
    <n v="52605"/>
    <x v="12"/>
    <x v="3"/>
    <x v="1"/>
    <n v="0.10713930842607314"/>
  </r>
  <r>
    <x v="195"/>
    <x v="0"/>
    <d v="2025-01-12T00:00:00"/>
    <x v="0"/>
    <x v="8"/>
    <x v="188"/>
    <n v="487"/>
    <n v="272"/>
    <x v="195"/>
    <n v="48084"/>
    <x v="3"/>
    <x v="0"/>
    <x v="0"/>
    <n v="5.1833640647408315E-2"/>
  </r>
  <r>
    <x v="196"/>
    <x v="2"/>
    <d v="2024-12-08T00:00:00"/>
    <x v="0"/>
    <x v="7"/>
    <x v="189"/>
    <n v="396"/>
    <n v="312"/>
    <x v="196"/>
    <n v="46102"/>
    <x v="49"/>
    <x v="3"/>
    <x v="1"/>
    <n v="3.5821698002251455E-2"/>
  </r>
  <r>
    <x v="197"/>
    <x v="1"/>
    <d v="2025-02-01T00:00:00"/>
    <x v="1"/>
    <x v="7"/>
    <x v="190"/>
    <n v="265"/>
    <n v="190"/>
    <x v="197"/>
    <n v="72428"/>
    <x v="133"/>
    <x v="0"/>
    <x v="0"/>
    <n v="3.5034029141734799E-2"/>
  </r>
  <r>
    <x v="198"/>
    <x v="1"/>
    <d v="2024-07-11T00:00:00"/>
    <x v="1"/>
    <x v="6"/>
    <x v="82"/>
    <n v="179"/>
    <n v="175"/>
    <x v="198"/>
    <n v="70120"/>
    <x v="134"/>
    <x v="0"/>
    <x v="0"/>
    <n v="0.13946227759085811"/>
  </r>
  <r>
    <x v="199"/>
    <x v="1"/>
    <d v="2024-03-18T00:00:00"/>
    <x v="0"/>
    <x v="2"/>
    <x v="191"/>
    <n v="420"/>
    <n v="94"/>
    <x v="199"/>
    <n v="57391"/>
    <x v="107"/>
    <x v="5"/>
    <x v="0"/>
    <n v="4.5247823769763724E-2"/>
  </r>
  <r>
    <x v="200"/>
    <x v="1"/>
    <d v="2024-09-12T00:00:00"/>
    <x v="1"/>
    <x v="3"/>
    <x v="192"/>
    <n v="223"/>
    <n v="171"/>
    <x v="200"/>
    <n v="69988"/>
    <x v="81"/>
    <x v="2"/>
    <x v="0"/>
    <n v="6.2974139146620034E-2"/>
  </r>
  <r>
    <x v="201"/>
    <x v="1"/>
    <d v="2024-01-11T00:00:00"/>
    <x v="1"/>
    <x v="3"/>
    <x v="193"/>
    <n v="141"/>
    <n v="206"/>
    <x v="201"/>
    <n v="30582"/>
    <x v="70"/>
    <x v="0"/>
    <x v="0"/>
    <n v="0.10784235029699792"/>
  </r>
  <r>
    <x v="202"/>
    <x v="0"/>
    <d v="2024-10-06T00:00:00"/>
    <x v="0"/>
    <x v="7"/>
    <x v="194"/>
    <n v="389"/>
    <n v="92"/>
    <x v="202"/>
    <n v="25347"/>
    <x v="77"/>
    <x v="1"/>
    <x v="1"/>
    <n v="8.2690258629040073E-2"/>
  </r>
  <r>
    <x v="203"/>
    <x v="1"/>
    <d v="2024-12-30T00:00:00"/>
    <x v="0"/>
    <x v="6"/>
    <x v="195"/>
    <n v="286"/>
    <n v="127"/>
    <x v="203"/>
    <n v="27184"/>
    <x v="24"/>
    <x v="5"/>
    <x v="0"/>
    <n v="9.7836889180216949E-2"/>
  </r>
  <r>
    <x v="204"/>
    <x v="1"/>
    <d v="2025-04-16T00:00:00"/>
    <x v="0"/>
    <x v="3"/>
    <x v="196"/>
    <n v="315"/>
    <n v="120"/>
    <x v="204"/>
    <n v="67886"/>
    <x v="135"/>
    <x v="6"/>
    <x v="1"/>
    <n v="7.7428927315357568E-2"/>
  </r>
  <r>
    <x v="205"/>
    <x v="1"/>
    <d v="2024-08-21T00:00:00"/>
    <x v="1"/>
    <x v="1"/>
    <x v="197"/>
    <n v="476"/>
    <n v="128"/>
    <x v="205"/>
    <n v="40193"/>
    <x v="133"/>
    <x v="4"/>
    <x v="0"/>
    <n v="7.9782521843353188E-2"/>
  </r>
  <r>
    <x v="206"/>
    <x v="1"/>
    <d v="2024-04-05T00:00:00"/>
    <x v="1"/>
    <x v="3"/>
    <x v="198"/>
    <n v="443"/>
    <n v="359"/>
    <x v="206"/>
    <n v="28256"/>
    <x v="136"/>
    <x v="0"/>
    <x v="0"/>
    <n v="7.1022341272152026E-2"/>
  </r>
  <r>
    <x v="207"/>
    <x v="1"/>
    <d v="2025-04-07T00:00:00"/>
    <x v="0"/>
    <x v="8"/>
    <x v="199"/>
    <n v="385"/>
    <n v="344"/>
    <x v="207"/>
    <n v="72595"/>
    <x v="49"/>
    <x v="6"/>
    <x v="1"/>
    <n v="3.9319108127547353E-2"/>
  </r>
  <r>
    <x v="208"/>
    <x v="1"/>
    <d v="2024-07-19T00:00:00"/>
    <x v="1"/>
    <x v="5"/>
    <x v="200"/>
    <n v="126"/>
    <n v="200"/>
    <x v="208"/>
    <n v="44679"/>
    <x v="90"/>
    <x v="4"/>
    <x v="0"/>
    <n v="7.7181741758116915E-2"/>
  </r>
  <r>
    <x v="209"/>
    <x v="1"/>
    <d v="2025-05-03T00:00:00"/>
    <x v="1"/>
    <x v="7"/>
    <x v="201"/>
    <n v="361"/>
    <n v="240"/>
    <x v="209"/>
    <n v="72573"/>
    <x v="38"/>
    <x v="0"/>
    <x v="0"/>
    <n v="3.4110398272247981E-2"/>
  </r>
  <r>
    <x v="210"/>
    <x v="1"/>
    <d v="2024-04-14T00:00:00"/>
    <x v="1"/>
    <x v="0"/>
    <x v="202"/>
    <n v="153"/>
    <n v="81"/>
    <x v="210"/>
    <n v="61033"/>
    <x v="24"/>
    <x v="4"/>
    <x v="0"/>
    <n v="3.1623578076525334E-2"/>
  </r>
  <r>
    <x v="211"/>
    <x v="1"/>
    <d v="2025-06-19T00:00:00"/>
    <x v="1"/>
    <x v="5"/>
    <x v="203"/>
    <n v="452"/>
    <n v="305"/>
    <x v="211"/>
    <n v="63700"/>
    <x v="110"/>
    <x v="4"/>
    <x v="0"/>
    <n v="4.0153279184466734E-2"/>
  </r>
  <r>
    <x v="212"/>
    <x v="0"/>
    <d v="2025-06-24T00:00:00"/>
    <x v="1"/>
    <x v="6"/>
    <x v="204"/>
    <n v="422"/>
    <n v="376"/>
    <x v="212"/>
    <n v="53225"/>
    <x v="25"/>
    <x v="5"/>
    <x v="2"/>
    <n v="0.17995832544042431"/>
  </r>
  <r>
    <x v="213"/>
    <x v="1"/>
    <d v="2024-10-09T00:00:00"/>
    <x v="0"/>
    <x v="3"/>
    <x v="205"/>
    <n v="167"/>
    <n v="73"/>
    <x v="213"/>
    <n v="25872"/>
    <x v="117"/>
    <x v="6"/>
    <x v="1"/>
    <n v="0.12555218709398008"/>
  </r>
  <r>
    <x v="214"/>
    <x v="2"/>
    <d v="2025-01-15T00:00:00"/>
    <x v="0"/>
    <x v="9"/>
    <x v="206"/>
    <n v="324"/>
    <n v="182"/>
    <x v="214"/>
    <n v="37216"/>
    <x v="137"/>
    <x v="3"/>
    <x v="1"/>
    <n v="8.2744836775483013E-2"/>
  </r>
  <r>
    <x v="215"/>
    <x v="1"/>
    <d v="2025-01-12T00:00:00"/>
    <x v="0"/>
    <x v="4"/>
    <x v="207"/>
    <n v="285"/>
    <n v="100"/>
    <x v="215"/>
    <n v="56575"/>
    <x v="23"/>
    <x v="6"/>
    <x v="1"/>
    <n v="5.2041730205988429E-2"/>
  </r>
  <r>
    <x v="216"/>
    <x v="0"/>
    <d v="2025-05-31T00:00:00"/>
    <x v="0"/>
    <x v="5"/>
    <x v="208"/>
    <n v="240"/>
    <n v="57"/>
    <x v="216"/>
    <n v="46667"/>
    <x v="0"/>
    <x v="0"/>
    <x v="0"/>
    <n v="9.4450189589796618E-2"/>
  </r>
  <r>
    <x v="217"/>
    <x v="1"/>
    <d v="2024-10-14T00:00:00"/>
    <x v="1"/>
    <x v="1"/>
    <x v="209"/>
    <n v="306"/>
    <n v="302"/>
    <x v="217"/>
    <n v="33762"/>
    <x v="34"/>
    <x v="4"/>
    <x v="0"/>
    <n v="0.12409349336702463"/>
  </r>
  <r>
    <x v="218"/>
    <x v="1"/>
    <d v="2024-02-10T00:00:00"/>
    <x v="0"/>
    <x v="8"/>
    <x v="210"/>
    <n v="456"/>
    <n v="379"/>
    <x v="218"/>
    <n v="45880"/>
    <x v="98"/>
    <x v="6"/>
    <x v="1"/>
    <n v="4.5610431884675749E-2"/>
  </r>
  <r>
    <x v="219"/>
    <x v="2"/>
    <d v="2024-12-10T00:00:00"/>
    <x v="0"/>
    <x v="5"/>
    <x v="211"/>
    <n v="140"/>
    <n v="375"/>
    <x v="219"/>
    <n v="22102"/>
    <x v="138"/>
    <x v="3"/>
    <x v="1"/>
    <n v="8.0371103929948923E-2"/>
  </r>
  <r>
    <x v="220"/>
    <x v="1"/>
    <d v="2025-05-09T00:00:00"/>
    <x v="1"/>
    <x v="4"/>
    <x v="212"/>
    <n v="241"/>
    <n v="317"/>
    <x v="220"/>
    <n v="20677"/>
    <x v="85"/>
    <x v="2"/>
    <x v="0"/>
    <n v="0.1271002400274317"/>
  </r>
  <r>
    <x v="221"/>
    <x v="1"/>
    <d v="2025-06-21T00:00:00"/>
    <x v="0"/>
    <x v="1"/>
    <x v="213"/>
    <n v="127"/>
    <n v="139"/>
    <x v="221"/>
    <n v="29435"/>
    <x v="126"/>
    <x v="5"/>
    <x v="0"/>
    <n v="8.6602037169406718E-2"/>
  </r>
  <r>
    <x v="222"/>
    <x v="1"/>
    <d v="2024-06-19T00:00:00"/>
    <x v="0"/>
    <x v="5"/>
    <x v="214"/>
    <n v="168"/>
    <n v="199"/>
    <x v="222"/>
    <n v="52844"/>
    <x v="139"/>
    <x v="6"/>
    <x v="1"/>
    <n v="2.9336922849977874E-2"/>
  </r>
  <r>
    <x v="223"/>
    <x v="1"/>
    <d v="2024-12-10T00:00:00"/>
    <x v="0"/>
    <x v="8"/>
    <x v="215"/>
    <n v="270"/>
    <n v="93"/>
    <x v="223"/>
    <n v="57513"/>
    <x v="22"/>
    <x v="5"/>
    <x v="0"/>
    <n v="0.11126822801590809"/>
  </r>
  <r>
    <x v="224"/>
    <x v="2"/>
    <d v="2024-02-01T00:00:00"/>
    <x v="0"/>
    <x v="3"/>
    <x v="216"/>
    <n v="437"/>
    <n v="267"/>
    <x v="224"/>
    <n v="54511"/>
    <x v="29"/>
    <x v="3"/>
    <x v="1"/>
    <n v="5.2566815966924252E-2"/>
  </r>
  <r>
    <x v="225"/>
    <x v="1"/>
    <d v="2024-01-17T00:00:00"/>
    <x v="1"/>
    <x v="2"/>
    <x v="217"/>
    <n v="499"/>
    <n v="212"/>
    <x v="225"/>
    <n v="27190"/>
    <x v="34"/>
    <x v="2"/>
    <x v="0"/>
    <n v="5.2513742764570971E-2"/>
  </r>
  <r>
    <x v="226"/>
    <x v="2"/>
    <d v="2025-03-22T00:00:00"/>
    <x v="0"/>
    <x v="4"/>
    <x v="218"/>
    <n v="171"/>
    <n v="106"/>
    <x v="226"/>
    <n v="23949"/>
    <x v="140"/>
    <x v="3"/>
    <x v="1"/>
    <n v="0.12406981463942633"/>
  </r>
  <r>
    <x v="227"/>
    <x v="2"/>
    <d v="2024-05-30T00:00:00"/>
    <x v="2"/>
    <x v="5"/>
    <x v="219"/>
    <n v="442"/>
    <n v="319"/>
    <x v="227"/>
    <n v="24258"/>
    <x v="67"/>
    <x v="7"/>
    <x v="3"/>
    <n v="3.1839004091338254E-2"/>
  </r>
  <r>
    <x v="228"/>
    <x v="2"/>
    <d v="2024-02-24T00:00:00"/>
    <x v="0"/>
    <x v="4"/>
    <x v="220"/>
    <n v="226"/>
    <n v="349"/>
    <x v="228"/>
    <n v="28452"/>
    <x v="141"/>
    <x v="3"/>
    <x v="1"/>
    <n v="9.191926295801392E-2"/>
  </r>
  <r>
    <x v="229"/>
    <x v="2"/>
    <d v="2025-05-14T00:00:00"/>
    <x v="0"/>
    <x v="0"/>
    <x v="221"/>
    <n v="272"/>
    <n v="385"/>
    <x v="229"/>
    <n v="40832"/>
    <x v="142"/>
    <x v="3"/>
    <x v="1"/>
    <n v="4.9646286003031836E-2"/>
  </r>
  <r>
    <x v="230"/>
    <x v="0"/>
    <d v="2024-03-28T00:00:00"/>
    <x v="0"/>
    <x v="5"/>
    <x v="222"/>
    <n v="280"/>
    <n v="67"/>
    <x v="230"/>
    <n v="48016"/>
    <x v="12"/>
    <x v="0"/>
    <x v="0"/>
    <n v="6.76784936509532E-2"/>
  </r>
  <r>
    <x v="231"/>
    <x v="2"/>
    <d v="2025-03-07T00:00:00"/>
    <x v="0"/>
    <x v="7"/>
    <x v="223"/>
    <n v="284"/>
    <n v="306"/>
    <x v="231"/>
    <n v="42604"/>
    <x v="41"/>
    <x v="3"/>
    <x v="1"/>
    <n v="0.10985069273191947"/>
  </r>
  <r>
    <x v="232"/>
    <x v="1"/>
    <d v="2024-10-20T00:00:00"/>
    <x v="0"/>
    <x v="8"/>
    <x v="224"/>
    <n v="309"/>
    <n v="91"/>
    <x v="232"/>
    <n v="28095"/>
    <x v="99"/>
    <x v="5"/>
    <x v="0"/>
    <n v="8.0741841282852611E-2"/>
  </r>
  <r>
    <x v="233"/>
    <x v="1"/>
    <d v="2024-02-02T00:00:00"/>
    <x v="0"/>
    <x v="8"/>
    <x v="225"/>
    <n v="115"/>
    <n v="286"/>
    <x v="233"/>
    <n v="22277"/>
    <x v="86"/>
    <x v="5"/>
    <x v="0"/>
    <n v="0.16790703227603773"/>
  </r>
  <r>
    <x v="234"/>
    <x v="2"/>
    <d v="2024-09-07T00:00:00"/>
    <x v="0"/>
    <x v="9"/>
    <x v="226"/>
    <n v="411"/>
    <n v="190"/>
    <x v="234"/>
    <n v="57090"/>
    <x v="15"/>
    <x v="3"/>
    <x v="1"/>
    <n v="6.4655069273288512E-2"/>
  </r>
  <r>
    <x v="235"/>
    <x v="0"/>
    <d v="2024-12-20T00:00:00"/>
    <x v="0"/>
    <x v="0"/>
    <x v="227"/>
    <n v="202"/>
    <n v="239"/>
    <x v="235"/>
    <n v="48606"/>
    <x v="104"/>
    <x v="1"/>
    <x v="1"/>
    <n v="8.1666436749896543E-2"/>
  </r>
  <r>
    <x v="236"/>
    <x v="2"/>
    <d v="2024-01-14T00:00:00"/>
    <x v="0"/>
    <x v="5"/>
    <x v="228"/>
    <n v="238"/>
    <n v="386"/>
    <x v="236"/>
    <n v="25050"/>
    <x v="143"/>
    <x v="3"/>
    <x v="1"/>
    <n v="0.13077197816215114"/>
  </r>
  <r>
    <x v="237"/>
    <x v="0"/>
    <d v="2025-06-15T00:00:00"/>
    <x v="0"/>
    <x v="1"/>
    <x v="229"/>
    <n v="427"/>
    <n v="242"/>
    <x v="237"/>
    <n v="37833"/>
    <x v="144"/>
    <x v="0"/>
    <x v="0"/>
    <n v="5.3094209744904843E-2"/>
  </r>
  <r>
    <x v="238"/>
    <x v="1"/>
    <d v="2024-12-13T00:00:00"/>
    <x v="1"/>
    <x v="2"/>
    <x v="230"/>
    <n v="300"/>
    <n v="338"/>
    <x v="238"/>
    <n v="31691"/>
    <x v="75"/>
    <x v="2"/>
    <x v="0"/>
    <n v="0.17088145896656534"/>
  </r>
  <r>
    <x v="239"/>
    <x v="2"/>
    <d v="2024-08-29T00:00:00"/>
    <x v="0"/>
    <x v="3"/>
    <x v="231"/>
    <n v="389"/>
    <n v="358"/>
    <x v="239"/>
    <n v="30518"/>
    <x v="99"/>
    <x v="3"/>
    <x v="1"/>
    <n v="0.10547128720437092"/>
  </r>
  <r>
    <x v="240"/>
    <x v="1"/>
    <d v="2024-09-15T00:00:00"/>
    <x v="0"/>
    <x v="6"/>
    <x v="232"/>
    <n v="340"/>
    <n v="85"/>
    <x v="240"/>
    <n v="49938"/>
    <x v="145"/>
    <x v="5"/>
    <x v="0"/>
    <n v="4.819683813738912E-2"/>
  </r>
  <r>
    <x v="241"/>
    <x v="1"/>
    <d v="2025-04-12T00:00:00"/>
    <x v="1"/>
    <x v="8"/>
    <x v="233"/>
    <n v="208"/>
    <n v="273"/>
    <x v="241"/>
    <n v="44349"/>
    <x v="0"/>
    <x v="4"/>
    <x v="0"/>
    <n v="0.13404136389044158"/>
  </r>
  <r>
    <x v="242"/>
    <x v="1"/>
    <d v="2024-12-10T00:00:00"/>
    <x v="1"/>
    <x v="3"/>
    <x v="234"/>
    <n v="230"/>
    <n v="243"/>
    <x v="242"/>
    <n v="69771"/>
    <x v="138"/>
    <x v="4"/>
    <x v="0"/>
    <n v="9.8193807339449546E-2"/>
  </r>
  <r>
    <x v="243"/>
    <x v="2"/>
    <d v="2025-06-08T00:00:00"/>
    <x v="0"/>
    <x v="4"/>
    <x v="235"/>
    <n v="303"/>
    <n v="294"/>
    <x v="243"/>
    <n v="53397"/>
    <x v="146"/>
    <x v="3"/>
    <x v="1"/>
    <n v="8.6517714206166912E-2"/>
  </r>
  <r>
    <x v="244"/>
    <x v="1"/>
    <d v="2025-01-09T00:00:00"/>
    <x v="1"/>
    <x v="9"/>
    <x v="236"/>
    <n v="284"/>
    <n v="204"/>
    <x v="244"/>
    <n v="53396"/>
    <x v="145"/>
    <x v="2"/>
    <x v="0"/>
    <n v="9.2712236723090841E-2"/>
  </r>
  <r>
    <x v="245"/>
    <x v="1"/>
    <d v="2024-07-08T00:00:00"/>
    <x v="1"/>
    <x v="7"/>
    <x v="237"/>
    <n v="258"/>
    <n v="168"/>
    <x v="245"/>
    <n v="68290"/>
    <x v="147"/>
    <x v="0"/>
    <x v="0"/>
    <n v="0.16477245248343569"/>
  </r>
  <r>
    <x v="246"/>
    <x v="1"/>
    <d v="2024-09-16T00:00:00"/>
    <x v="1"/>
    <x v="9"/>
    <x v="238"/>
    <n v="354"/>
    <n v="397"/>
    <x v="246"/>
    <n v="72110"/>
    <x v="148"/>
    <x v="4"/>
    <x v="0"/>
    <n v="7.1354340971940891E-2"/>
  </r>
  <r>
    <x v="247"/>
    <x v="2"/>
    <d v="2024-06-14T00:00:00"/>
    <x v="2"/>
    <x v="3"/>
    <x v="239"/>
    <n v="310"/>
    <n v="344"/>
    <x v="247"/>
    <n v="19000"/>
    <x v="149"/>
    <x v="7"/>
    <x v="3"/>
    <n v="0.19261223173659131"/>
  </r>
  <r>
    <x v="248"/>
    <x v="0"/>
    <d v="2024-03-06T00:00:00"/>
    <x v="0"/>
    <x v="5"/>
    <x v="240"/>
    <n v="263"/>
    <n v="107"/>
    <x v="248"/>
    <n v="19367"/>
    <x v="150"/>
    <x v="1"/>
    <x v="1"/>
    <n v="0.14674444862627023"/>
  </r>
  <r>
    <x v="249"/>
    <x v="1"/>
    <d v="2025-05-15T00:00:00"/>
    <x v="0"/>
    <x v="9"/>
    <x v="241"/>
    <n v="210"/>
    <n v="311"/>
    <x v="249"/>
    <n v="37543"/>
    <x v="104"/>
    <x v="5"/>
    <x v="0"/>
    <n v="0.17799483100057059"/>
  </r>
  <r>
    <x v="250"/>
    <x v="1"/>
    <d v="2024-07-07T00:00:00"/>
    <x v="0"/>
    <x v="5"/>
    <x v="242"/>
    <n v="417"/>
    <n v="294"/>
    <x v="250"/>
    <n v="19798"/>
    <x v="151"/>
    <x v="6"/>
    <x v="1"/>
    <n v="4.4258807658382193E-2"/>
  </r>
  <r>
    <x v="251"/>
    <x v="2"/>
    <d v="2024-10-26T00:00:00"/>
    <x v="0"/>
    <x v="2"/>
    <x v="243"/>
    <n v="211"/>
    <n v="55"/>
    <x v="251"/>
    <n v="73503"/>
    <x v="152"/>
    <x v="3"/>
    <x v="1"/>
    <n v="0.10762898272970794"/>
  </r>
  <r>
    <x v="252"/>
    <x v="2"/>
    <d v="2024-08-08T00:00:00"/>
    <x v="0"/>
    <x v="8"/>
    <x v="244"/>
    <n v="197"/>
    <n v="290"/>
    <x v="252"/>
    <n v="23343"/>
    <x v="75"/>
    <x v="3"/>
    <x v="1"/>
    <n v="5.0121212121212122E-2"/>
  </r>
  <r>
    <x v="253"/>
    <x v="1"/>
    <d v="2025-02-03T00:00:00"/>
    <x v="0"/>
    <x v="5"/>
    <x v="245"/>
    <n v="231"/>
    <n v="94"/>
    <x v="253"/>
    <n v="32560"/>
    <x v="151"/>
    <x v="5"/>
    <x v="0"/>
    <n v="0.15451192239551567"/>
  </r>
  <r>
    <x v="254"/>
    <x v="1"/>
    <d v="2024-04-03T00:00:00"/>
    <x v="1"/>
    <x v="7"/>
    <x v="246"/>
    <n v="146"/>
    <n v="399"/>
    <x v="254"/>
    <n v="28056"/>
    <x v="19"/>
    <x v="4"/>
    <x v="0"/>
    <n v="5.7503193495407452E-2"/>
  </r>
  <r>
    <x v="255"/>
    <x v="1"/>
    <d v="2024-07-08T00:00:00"/>
    <x v="1"/>
    <x v="3"/>
    <x v="247"/>
    <n v="289"/>
    <n v="161"/>
    <x v="255"/>
    <n v="66262"/>
    <x v="153"/>
    <x v="2"/>
    <x v="0"/>
    <n v="5.2312660271630736E-2"/>
  </r>
  <r>
    <x v="256"/>
    <x v="1"/>
    <d v="2024-06-08T00:00:00"/>
    <x v="1"/>
    <x v="7"/>
    <x v="248"/>
    <n v="326"/>
    <n v="86"/>
    <x v="256"/>
    <n v="52719"/>
    <x v="3"/>
    <x v="4"/>
    <x v="0"/>
    <n v="8.5608773500447627E-2"/>
  </r>
  <r>
    <x v="257"/>
    <x v="2"/>
    <d v="2025-03-20T00:00:00"/>
    <x v="2"/>
    <x v="8"/>
    <x v="249"/>
    <n v="156"/>
    <n v="178"/>
    <x v="257"/>
    <n v="57180"/>
    <x v="113"/>
    <x v="7"/>
    <x v="3"/>
    <n v="3.3729709324273313E-2"/>
  </r>
  <r>
    <x v="258"/>
    <x v="1"/>
    <d v="2025-01-19T00:00:00"/>
    <x v="1"/>
    <x v="4"/>
    <x v="250"/>
    <n v="480"/>
    <n v="282"/>
    <x v="258"/>
    <n v="70560"/>
    <x v="31"/>
    <x v="0"/>
    <x v="0"/>
    <n v="7.5077784691972627E-2"/>
  </r>
  <r>
    <x v="259"/>
    <x v="1"/>
    <d v="2025-01-05T00:00:00"/>
    <x v="1"/>
    <x v="1"/>
    <x v="251"/>
    <n v="154"/>
    <n v="123"/>
    <x v="259"/>
    <n v="49035"/>
    <x v="69"/>
    <x v="2"/>
    <x v="0"/>
    <n v="8.3423643616408028E-2"/>
  </r>
  <r>
    <x v="260"/>
    <x v="1"/>
    <d v="2024-11-16T00:00:00"/>
    <x v="0"/>
    <x v="8"/>
    <x v="252"/>
    <n v="263"/>
    <n v="308"/>
    <x v="260"/>
    <n v="28214"/>
    <x v="50"/>
    <x v="6"/>
    <x v="1"/>
    <n v="6.8477000386548123E-2"/>
  </r>
  <r>
    <x v="261"/>
    <x v="1"/>
    <d v="2024-11-30T00:00:00"/>
    <x v="1"/>
    <x v="1"/>
    <x v="253"/>
    <n v="255"/>
    <n v="193"/>
    <x v="261"/>
    <n v="28415"/>
    <x v="23"/>
    <x v="2"/>
    <x v="0"/>
    <n v="0.12190780876853062"/>
  </r>
  <r>
    <x v="262"/>
    <x v="2"/>
    <d v="2024-03-27T00:00:00"/>
    <x v="0"/>
    <x v="4"/>
    <x v="254"/>
    <n v="191"/>
    <n v="221"/>
    <x v="262"/>
    <n v="40033"/>
    <x v="102"/>
    <x v="3"/>
    <x v="1"/>
    <n v="5.4473577117609438E-2"/>
  </r>
  <r>
    <x v="263"/>
    <x v="2"/>
    <d v="2025-05-31T00:00:00"/>
    <x v="2"/>
    <x v="6"/>
    <x v="255"/>
    <n v="318"/>
    <n v="83"/>
    <x v="263"/>
    <n v="20482"/>
    <x v="154"/>
    <x v="7"/>
    <x v="3"/>
    <n v="5.4859907104176028E-2"/>
  </r>
  <r>
    <x v="264"/>
    <x v="1"/>
    <d v="2025-06-17T00:00:00"/>
    <x v="1"/>
    <x v="1"/>
    <x v="256"/>
    <n v="141"/>
    <n v="63"/>
    <x v="264"/>
    <n v="27507"/>
    <x v="62"/>
    <x v="4"/>
    <x v="0"/>
    <n v="9.0752980172121162E-2"/>
  </r>
  <r>
    <x v="265"/>
    <x v="0"/>
    <d v="2024-05-30T00:00:00"/>
    <x v="1"/>
    <x v="6"/>
    <x v="257"/>
    <n v="464"/>
    <n v="98"/>
    <x v="265"/>
    <n v="48545"/>
    <x v="142"/>
    <x v="5"/>
    <x v="2"/>
    <n v="0.11695224773672146"/>
  </r>
  <r>
    <x v="266"/>
    <x v="2"/>
    <d v="2024-11-08T00:00:00"/>
    <x v="0"/>
    <x v="7"/>
    <x v="258"/>
    <n v="166"/>
    <n v="320"/>
    <x v="266"/>
    <n v="46900"/>
    <x v="77"/>
    <x v="3"/>
    <x v="1"/>
    <n v="6.1279893894806647E-2"/>
  </r>
  <r>
    <x v="267"/>
    <x v="2"/>
    <d v="2024-03-17T00:00:00"/>
    <x v="2"/>
    <x v="1"/>
    <x v="259"/>
    <n v="446"/>
    <n v="216"/>
    <x v="267"/>
    <n v="62723"/>
    <x v="128"/>
    <x v="7"/>
    <x v="3"/>
    <n v="7.3202671439172376E-2"/>
  </r>
  <r>
    <x v="268"/>
    <x v="2"/>
    <d v="2024-06-21T00:00:00"/>
    <x v="2"/>
    <x v="4"/>
    <x v="260"/>
    <n v="374"/>
    <n v="298"/>
    <x v="268"/>
    <n v="24098"/>
    <x v="58"/>
    <x v="7"/>
    <x v="3"/>
    <n v="9.2893873181347508E-2"/>
  </r>
  <r>
    <x v="269"/>
    <x v="1"/>
    <d v="2024-11-13T00:00:00"/>
    <x v="1"/>
    <x v="2"/>
    <x v="261"/>
    <n v="466"/>
    <n v="105"/>
    <x v="269"/>
    <n v="38753"/>
    <x v="34"/>
    <x v="4"/>
    <x v="0"/>
    <n v="3.3603177027646251E-2"/>
  </r>
  <r>
    <x v="270"/>
    <x v="1"/>
    <d v="2025-02-05T00:00:00"/>
    <x v="1"/>
    <x v="0"/>
    <x v="262"/>
    <n v="440"/>
    <n v="66"/>
    <x v="270"/>
    <n v="47895"/>
    <x v="155"/>
    <x v="4"/>
    <x v="0"/>
    <n v="0.14843585975225698"/>
  </r>
  <r>
    <x v="271"/>
    <x v="1"/>
    <d v="2024-11-07T00:00:00"/>
    <x v="0"/>
    <x v="1"/>
    <x v="263"/>
    <n v="395"/>
    <n v="328"/>
    <x v="271"/>
    <n v="37176"/>
    <x v="156"/>
    <x v="6"/>
    <x v="1"/>
    <n v="5.1861351697967357E-2"/>
  </r>
  <r>
    <x v="272"/>
    <x v="1"/>
    <d v="2024-02-12T00:00:00"/>
    <x v="0"/>
    <x v="1"/>
    <x v="264"/>
    <n v="486"/>
    <n v="206"/>
    <x v="272"/>
    <n v="44583"/>
    <x v="134"/>
    <x v="5"/>
    <x v="0"/>
    <n v="6.6160796354604659E-2"/>
  </r>
  <r>
    <x v="273"/>
    <x v="0"/>
    <d v="2024-10-08T00:00:00"/>
    <x v="0"/>
    <x v="1"/>
    <x v="265"/>
    <n v="384"/>
    <n v="236"/>
    <x v="273"/>
    <n v="61555"/>
    <x v="36"/>
    <x v="1"/>
    <x v="1"/>
    <n v="5.4638246772740921E-2"/>
  </r>
  <r>
    <x v="274"/>
    <x v="0"/>
    <d v="2024-02-19T00:00:00"/>
    <x v="0"/>
    <x v="3"/>
    <x v="143"/>
    <n v="449"/>
    <n v="309"/>
    <x v="274"/>
    <n v="26630"/>
    <x v="157"/>
    <x v="1"/>
    <x v="1"/>
    <n v="9.4139757389372969E-2"/>
  </r>
  <r>
    <x v="275"/>
    <x v="1"/>
    <d v="2025-03-04T00:00:00"/>
    <x v="0"/>
    <x v="0"/>
    <x v="266"/>
    <n v="258"/>
    <n v="292"/>
    <x v="275"/>
    <n v="51324"/>
    <x v="158"/>
    <x v="5"/>
    <x v="0"/>
    <n v="5.7682545054573146E-2"/>
  </r>
  <r>
    <x v="276"/>
    <x v="0"/>
    <d v="2025-02-03T00:00:00"/>
    <x v="1"/>
    <x v="2"/>
    <x v="267"/>
    <n v="486"/>
    <n v="269"/>
    <x v="276"/>
    <n v="42411"/>
    <x v="71"/>
    <x v="5"/>
    <x v="2"/>
    <n v="8.3972409065592737E-2"/>
  </r>
  <r>
    <x v="277"/>
    <x v="0"/>
    <d v="2024-12-02T00:00:00"/>
    <x v="0"/>
    <x v="7"/>
    <x v="268"/>
    <n v="292"/>
    <n v="245"/>
    <x v="277"/>
    <n v="65597"/>
    <x v="148"/>
    <x v="0"/>
    <x v="0"/>
    <n v="6.6186514342481059E-2"/>
  </r>
  <r>
    <x v="278"/>
    <x v="1"/>
    <d v="2025-01-19T00:00:00"/>
    <x v="1"/>
    <x v="2"/>
    <x v="269"/>
    <n v="295"/>
    <n v="371"/>
    <x v="278"/>
    <n v="53965"/>
    <x v="6"/>
    <x v="0"/>
    <x v="0"/>
    <n v="0.20445859872611466"/>
  </r>
  <r>
    <x v="279"/>
    <x v="1"/>
    <d v="2024-09-28T00:00:00"/>
    <x v="1"/>
    <x v="3"/>
    <x v="270"/>
    <n v="317"/>
    <n v="249"/>
    <x v="279"/>
    <n v="33365"/>
    <x v="71"/>
    <x v="4"/>
    <x v="0"/>
    <n v="0.1122776514644911"/>
  </r>
  <r>
    <x v="280"/>
    <x v="0"/>
    <d v="2024-01-07T00:00:00"/>
    <x v="0"/>
    <x v="7"/>
    <x v="271"/>
    <n v="469"/>
    <n v="193"/>
    <x v="280"/>
    <n v="69437"/>
    <x v="52"/>
    <x v="0"/>
    <x v="0"/>
    <n v="9.8640235621946709E-2"/>
  </r>
  <r>
    <x v="281"/>
    <x v="1"/>
    <d v="2024-02-21T00:00:00"/>
    <x v="1"/>
    <x v="6"/>
    <x v="272"/>
    <n v="439"/>
    <n v="148"/>
    <x v="281"/>
    <n v="39629"/>
    <x v="148"/>
    <x v="2"/>
    <x v="0"/>
    <n v="5.4576862557296296E-2"/>
  </r>
  <r>
    <x v="282"/>
    <x v="0"/>
    <d v="2024-08-27T00:00:00"/>
    <x v="0"/>
    <x v="4"/>
    <x v="273"/>
    <n v="359"/>
    <n v="280"/>
    <x v="282"/>
    <n v="70930"/>
    <x v="159"/>
    <x v="1"/>
    <x v="1"/>
    <n v="8.628318584070796E-2"/>
  </r>
  <r>
    <x v="283"/>
    <x v="0"/>
    <d v="2024-10-24T00:00:00"/>
    <x v="1"/>
    <x v="7"/>
    <x v="274"/>
    <n v="255"/>
    <n v="156"/>
    <x v="283"/>
    <n v="47776"/>
    <x v="77"/>
    <x v="5"/>
    <x v="2"/>
    <n v="8.4056399132321047E-2"/>
  </r>
  <r>
    <x v="284"/>
    <x v="2"/>
    <d v="2025-01-29T00:00:00"/>
    <x v="0"/>
    <x v="2"/>
    <x v="275"/>
    <n v="357"/>
    <n v="257"/>
    <x v="284"/>
    <n v="70606"/>
    <x v="160"/>
    <x v="3"/>
    <x v="1"/>
    <n v="3.4229485151994379E-2"/>
  </r>
  <r>
    <x v="285"/>
    <x v="0"/>
    <d v="2024-05-01T00:00:00"/>
    <x v="0"/>
    <x v="6"/>
    <x v="276"/>
    <n v="137"/>
    <n v="387"/>
    <x v="285"/>
    <n v="47257"/>
    <x v="161"/>
    <x v="1"/>
    <x v="1"/>
    <n v="0.11467469950680724"/>
  </r>
  <r>
    <x v="286"/>
    <x v="2"/>
    <d v="2024-06-25T00:00:00"/>
    <x v="0"/>
    <x v="9"/>
    <x v="277"/>
    <n v="338"/>
    <n v="70"/>
    <x v="286"/>
    <n v="57853"/>
    <x v="162"/>
    <x v="3"/>
    <x v="1"/>
    <n v="8.4548582664263475E-2"/>
  </r>
  <r>
    <x v="287"/>
    <x v="1"/>
    <d v="2024-08-09T00:00:00"/>
    <x v="1"/>
    <x v="8"/>
    <x v="278"/>
    <n v="442"/>
    <n v="236"/>
    <x v="287"/>
    <n v="48241"/>
    <x v="81"/>
    <x v="4"/>
    <x v="0"/>
    <n v="0.10546200140489435"/>
  </r>
  <r>
    <x v="288"/>
    <x v="0"/>
    <d v="2025-01-21T00:00:00"/>
    <x v="1"/>
    <x v="2"/>
    <x v="279"/>
    <n v="440"/>
    <n v="149"/>
    <x v="288"/>
    <n v="64370"/>
    <x v="124"/>
    <x v="5"/>
    <x v="2"/>
    <n v="0.10338095327488783"/>
  </r>
  <r>
    <x v="289"/>
    <x v="1"/>
    <d v="2024-08-13T00:00:00"/>
    <x v="0"/>
    <x v="1"/>
    <x v="28"/>
    <n v="107"/>
    <n v="221"/>
    <x v="289"/>
    <n v="26182"/>
    <x v="136"/>
    <x v="6"/>
    <x v="1"/>
    <n v="0.1565595352530614"/>
  </r>
  <r>
    <x v="290"/>
    <x v="0"/>
    <d v="2024-06-29T00:00:00"/>
    <x v="0"/>
    <x v="9"/>
    <x v="280"/>
    <n v="490"/>
    <n v="124"/>
    <x v="290"/>
    <n v="69346"/>
    <x v="126"/>
    <x v="0"/>
    <x v="0"/>
    <n v="5.8052595393606049E-2"/>
  </r>
  <r>
    <x v="291"/>
    <x v="1"/>
    <d v="2024-11-03T00:00:00"/>
    <x v="1"/>
    <x v="1"/>
    <x v="281"/>
    <n v="320"/>
    <n v="76"/>
    <x v="291"/>
    <n v="24306"/>
    <x v="130"/>
    <x v="2"/>
    <x v="0"/>
    <n v="0.12976726726726726"/>
  </r>
  <r>
    <x v="292"/>
    <x v="2"/>
    <d v="2025-04-18T00:00:00"/>
    <x v="2"/>
    <x v="9"/>
    <x v="282"/>
    <n v="230"/>
    <n v="364"/>
    <x v="292"/>
    <n v="50382"/>
    <x v="163"/>
    <x v="7"/>
    <x v="3"/>
    <n v="4.4999031758326875E-2"/>
  </r>
  <r>
    <x v="293"/>
    <x v="0"/>
    <d v="2024-12-27T00:00:00"/>
    <x v="0"/>
    <x v="8"/>
    <x v="283"/>
    <n v="219"/>
    <n v="229"/>
    <x v="293"/>
    <n v="24314"/>
    <x v="25"/>
    <x v="1"/>
    <x v="1"/>
    <n v="3.221173574066475E-2"/>
  </r>
  <r>
    <x v="294"/>
    <x v="0"/>
    <d v="2025-03-08T00:00:00"/>
    <x v="1"/>
    <x v="7"/>
    <x v="284"/>
    <n v="392"/>
    <n v="231"/>
    <x v="294"/>
    <n v="50906"/>
    <x v="164"/>
    <x v="5"/>
    <x v="2"/>
    <n v="0.1109777812185492"/>
  </r>
  <r>
    <x v="295"/>
    <x v="1"/>
    <d v="2025-03-20T00:00:00"/>
    <x v="1"/>
    <x v="9"/>
    <x v="285"/>
    <n v="104"/>
    <n v="79"/>
    <x v="295"/>
    <n v="21593"/>
    <x v="164"/>
    <x v="2"/>
    <x v="0"/>
    <n v="0.1191007493755204"/>
  </r>
  <r>
    <x v="296"/>
    <x v="1"/>
    <d v="2024-11-16T00:00:00"/>
    <x v="0"/>
    <x v="1"/>
    <x v="286"/>
    <n v="108"/>
    <n v="86"/>
    <x v="296"/>
    <n v="23773"/>
    <x v="75"/>
    <x v="6"/>
    <x v="1"/>
    <n v="5.9775576027966085E-2"/>
  </r>
  <r>
    <x v="297"/>
    <x v="1"/>
    <d v="2025-06-30T00:00:00"/>
    <x v="0"/>
    <x v="5"/>
    <x v="287"/>
    <n v="285"/>
    <n v="125"/>
    <x v="297"/>
    <n v="74761"/>
    <x v="16"/>
    <x v="5"/>
    <x v="0"/>
    <n v="6.1064362065044349E-2"/>
  </r>
  <r>
    <x v="298"/>
    <x v="1"/>
    <d v="2024-01-12T00:00:00"/>
    <x v="1"/>
    <x v="3"/>
    <x v="288"/>
    <n v="494"/>
    <n v="161"/>
    <x v="298"/>
    <n v="68074"/>
    <x v="132"/>
    <x v="4"/>
    <x v="0"/>
    <n v="5.5797564422760453E-2"/>
  </r>
  <r>
    <x v="299"/>
    <x v="0"/>
    <d v="2024-02-07T00:00:00"/>
    <x v="0"/>
    <x v="4"/>
    <x v="289"/>
    <n v="432"/>
    <n v="397"/>
    <x v="299"/>
    <n v="18691"/>
    <x v="66"/>
    <x v="0"/>
    <x v="0"/>
    <n v="9.4300914496331587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3">
  <r>
    <s v="SP001"/>
    <s v="Instagram"/>
    <d v="2025-05-04T00:00:00"/>
    <s v="Text"/>
    <s v="Discover fresh beats on Spotify!"/>
    <n v="2414"/>
    <n v="245"/>
    <n v="137"/>
    <n v="21181"/>
    <n v="45292"/>
    <n v="133"/>
    <x v="0"/>
    <x v="0"/>
    <n v="0.13200509890939993"/>
    <d v="2025-01-10T00:00:00"/>
    <n v="45698"/>
    <x v="0"/>
  </r>
  <r>
    <s v="SP001"/>
    <s v="Instagram"/>
    <d v="2025-05-04T00:00:00"/>
    <s v="Text"/>
    <s v="Discover fresh beats on Spotify!"/>
    <n v="2414"/>
    <n v="245"/>
    <n v="137"/>
    <n v="21181"/>
    <n v="45292"/>
    <n v="133"/>
    <x v="1"/>
    <x v="0"/>
    <n v="0.13200509890939993"/>
    <d v="2025-01-10T00:00:00"/>
    <n v="45698"/>
    <x v="0"/>
  </r>
  <r>
    <s v="SP002"/>
    <s v="Instagram"/>
    <d v="2025-02-01T00:00:00"/>
    <s v="Text"/>
    <s v="Explore the latest podcasts now."/>
    <n v="1934"/>
    <n v="210"/>
    <n v="393"/>
    <n v="29129"/>
    <n v="73287"/>
    <n v="273"/>
    <x v="2"/>
    <x v="1"/>
    <n v="8.7095334546328396E-2"/>
    <d v="2025-03-01T00:00:00"/>
    <n v="45747"/>
    <x v="0"/>
  </r>
  <r>
    <s v="SP003"/>
    <s v="Twitter"/>
    <d v="2024-12-03T00:00:00"/>
    <s v="Story"/>
    <s v="New music just dropped. Hit play!"/>
    <n v="3092"/>
    <n v="177"/>
    <n v="81"/>
    <n v="47533"/>
    <n v="29220"/>
    <n v="121"/>
    <x v="3"/>
    <x v="0"/>
    <n v="7.0477352576105018E-2"/>
    <d v="2025-01-10T00:00:00"/>
    <n v="45698"/>
    <x v="0"/>
  </r>
  <r>
    <s v="SP003"/>
    <s v="Twitter"/>
    <d v="2024-12-03T00:00:00"/>
    <s v="Story"/>
    <s v="New music just dropped. Hit play!"/>
    <n v="3092"/>
    <n v="177"/>
    <n v="81"/>
    <n v="47533"/>
    <n v="29220"/>
    <n v="121"/>
    <x v="1"/>
    <x v="0"/>
    <n v="7.0477352576105018E-2"/>
    <d v="2025-01-10T00:00:00"/>
    <n v="45698"/>
    <x v="0"/>
  </r>
  <r>
    <s v="SP004"/>
    <s v="Instagram"/>
    <d v="2024-12-03T00:00:00"/>
    <s v="Text"/>
    <s v="Wrapped is here! Relive your top tracks 🎧"/>
    <n v="3173"/>
    <n v="229"/>
    <n v="197"/>
    <n v="29604"/>
    <n v="21809"/>
    <n v="272"/>
    <x v="0"/>
    <x v="0"/>
    <n v="0.1215714092690177"/>
    <d v="2025-01-10T00:00:00"/>
    <n v="45698"/>
    <x v="0"/>
  </r>
  <r>
    <s v="SP004"/>
    <s v="Instagram"/>
    <d v="2024-12-03T00:00:00"/>
    <s v="Text"/>
    <s v="Wrapped is here! Relive your top tracks 🎧"/>
    <n v="3173"/>
    <n v="229"/>
    <n v="197"/>
    <n v="29604"/>
    <n v="21809"/>
    <n v="272"/>
    <x v="1"/>
    <x v="0"/>
    <n v="0.1215714092690177"/>
    <d v="2025-01-10T00:00:00"/>
    <n v="45698"/>
    <x v="0"/>
  </r>
  <r>
    <s v="SP005"/>
    <s v="YouTube"/>
    <d v="2024-04-06T00:00:00"/>
    <s v="Text"/>
    <s v="Music that moves you-only on Spotify."/>
    <n v="2748"/>
    <n v="145"/>
    <n v="315"/>
    <n v="24401"/>
    <n v="61182"/>
    <n v="200"/>
    <x v="2"/>
    <x v="1"/>
    <n v="0.1314700217204213"/>
    <d v="2025-03-01T00:00:00"/>
    <n v="45747"/>
    <x v="0"/>
  </r>
  <r>
    <s v="SP005"/>
    <s v="YouTube"/>
    <d v="2024-04-06T00:00:00"/>
    <s v="Text"/>
    <s v="Music that moves you-only on Spotify."/>
    <n v="2748"/>
    <n v="145"/>
    <n v="315"/>
    <n v="24401"/>
    <n v="61182"/>
    <n v="200"/>
    <x v="4"/>
    <x v="1"/>
    <n v="0.1314700217204213"/>
    <d v="2025-03-01T00:00:00"/>
    <n v="45747"/>
    <x v="0"/>
  </r>
  <r>
    <s v="SP006"/>
    <s v="YouTube"/>
    <d v="2024-06-13T00:00:00"/>
    <s v="Text"/>
    <s v="What's your vibe today? #SpotifyHits"/>
    <n v="3882"/>
    <n v="239"/>
    <n v="275"/>
    <n v="58748"/>
    <n v="44646"/>
    <n v="149"/>
    <x v="2"/>
    <x v="1"/>
    <n v="7.4828079253761837E-2"/>
    <d v="2025-03-01T00:00:00"/>
    <n v="45747"/>
    <x v="0"/>
  </r>
  <r>
    <s v="SP006"/>
    <s v="YouTube"/>
    <d v="2024-06-13T00:00:00"/>
    <s v="Text"/>
    <s v="What's your vibe today? #SpotifyHits"/>
    <n v="3882"/>
    <n v="239"/>
    <n v="275"/>
    <n v="58748"/>
    <n v="44646"/>
    <n v="149"/>
    <x v="4"/>
    <x v="1"/>
    <n v="7.4828079253761837E-2"/>
    <d v="2025-03-01T00:00:00"/>
    <n v="45747"/>
    <x v="0"/>
  </r>
  <r>
    <s v="SP007"/>
    <s v="Twitter"/>
    <d v="2024-12-19T00:00:00"/>
    <s v="Story"/>
    <s v="Get into the groove with our new drop!"/>
    <n v="4674"/>
    <n v="409"/>
    <n v="327"/>
    <n v="20756"/>
    <n v="63599"/>
    <n v="212"/>
    <x v="0"/>
    <x v="0"/>
    <n v="0.26064752360763155"/>
    <d v="2025-01-10T00:00:00"/>
    <n v="45698"/>
    <x v="0"/>
  </r>
  <r>
    <s v="SP007"/>
    <s v="Twitter"/>
    <d v="2024-12-19T00:00:00"/>
    <s v="Story"/>
    <s v="Get into the groove with our new drop!"/>
    <n v="4674"/>
    <n v="409"/>
    <n v="327"/>
    <n v="20756"/>
    <n v="63599"/>
    <n v="212"/>
    <x v="1"/>
    <x v="0"/>
    <n v="0.26064752360763155"/>
    <d v="2025-01-10T00:00:00"/>
    <n v="45698"/>
    <x v="0"/>
  </r>
  <r>
    <s v="SP008"/>
    <s v="Twitter"/>
    <d v="2024-05-09T00:00:00"/>
    <s v="Story"/>
    <s v="Wrapped is here! Relive your top tracks 🎧"/>
    <n v="1428"/>
    <n v="347"/>
    <n v="67"/>
    <n v="21148"/>
    <n v="19712"/>
    <n v="120"/>
    <x v="2"/>
    <x v="0"/>
    <n v="8.7100435029317191E-2"/>
    <d v="2025-01-10T00:00:00"/>
    <n v="45698"/>
    <x v="0"/>
  </r>
  <r>
    <s v="SP008"/>
    <s v="Twitter"/>
    <d v="2024-05-09T00:00:00"/>
    <s v="Story"/>
    <s v="Wrapped is here! Relive your top tracks 🎧"/>
    <n v="1428"/>
    <n v="347"/>
    <n v="67"/>
    <n v="21148"/>
    <n v="19712"/>
    <n v="120"/>
    <x v="3"/>
    <x v="0"/>
    <n v="8.7100435029317191E-2"/>
    <d v="2025-01-10T00:00:00"/>
    <n v="45698"/>
    <x v="0"/>
  </r>
  <r>
    <s v="SP009"/>
    <s v="Twitter"/>
    <d v="2025-06-15T00:00:00"/>
    <s v="Text"/>
    <s v="Top trending tracks updated daily!"/>
    <n v="4432"/>
    <n v="223"/>
    <n v="299"/>
    <n v="59016"/>
    <n v="21742"/>
    <n v="171"/>
    <x v="1"/>
    <x v="0"/>
    <n v="8.3943337400027115E-2"/>
    <d v="2025-01-10T00:00:00"/>
    <n v="45698"/>
    <x v="0"/>
  </r>
  <r>
    <s v="SP010"/>
    <s v="Twitter"/>
    <d v="2024-12-04T00:00:00"/>
    <s v="Text"/>
    <s v="Wrapped is here! Relive your top tracks 🎧"/>
    <n v="2357"/>
    <n v="274"/>
    <n v="172"/>
    <n v="21566"/>
    <n v="66829"/>
    <n v="284"/>
    <x v="1"/>
    <x v="0"/>
    <n v="0.12997310581470833"/>
    <d v="2025-01-10T00:00:00"/>
    <n v="45698"/>
    <x v="0"/>
  </r>
  <r>
    <s v="SP011"/>
    <s v="Twitter"/>
    <d v="2024-03-06T00:00:00"/>
    <s v="Text"/>
    <s v="Discover fresh beats on Spotify!"/>
    <n v="1971"/>
    <n v="370"/>
    <n v="306"/>
    <n v="31316"/>
    <n v="27897"/>
    <n v="88"/>
    <x v="0"/>
    <x v="1"/>
    <n v="8.4525482181632389E-2"/>
    <d v="2025-03-01T00:00:00"/>
    <n v="45747"/>
    <x v="0"/>
  </r>
  <r>
    <s v="SP012"/>
    <s v="Instagram"/>
    <d v="2024-05-14T00:00:00"/>
    <s v="Text"/>
    <s v="Discover fresh beats on Spotify!"/>
    <n v="1485"/>
    <n v="353"/>
    <n v="244"/>
    <n v="38419"/>
    <n v="38556"/>
    <n v="86"/>
    <x v="0"/>
    <x v="0"/>
    <n v="5.4191936281527367E-2"/>
    <d v="2025-01-10T00:00:00"/>
    <n v="45698"/>
    <x v="0"/>
  </r>
  <r>
    <s v="SP012"/>
    <s v="Instagram"/>
    <d v="2024-05-14T00:00:00"/>
    <s v="Text"/>
    <s v="Discover fresh beats on Spotify!"/>
    <n v="1485"/>
    <n v="353"/>
    <n v="244"/>
    <n v="38419"/>
    <n v="38556"/>
    <n v="86"/>
    <x v="1"/>
    <x v="0"/>
    <n v="5.4191936281527367E-2"/>
    <d v="2025-01-10T00:00:00"/>
    <n v="45698"/>
    <x v="0"/>
  </r>
  <r>
    <s v="SP013"/>
    <s v="Twitter"/>
    <d v="2025-06-18T00:00:00"/>
    <s v="Story"/>
    <s v="Discover fresh beats on Spotify!"/>
    <n v="3956"/>
    <n v="319"/>
    <n v="61"/>
    <n v="58162"/>
    <n v="28720"/>
    <n v="213"/>
    <x v="3"/>
    <x v="0"/>
    <n v="7.4550393727863554E-2"/>
    <d v="2025-01-10T00:00:00"/>
    <n v="45698"/>
    <x v="0"/>
  </r>
  <r>
    <s v="SP013"/>
    <s v="Twitter"/>
    <d v="2025-06-18T00:00:00"/>
    <s v="Story"/>
    <s v="Discover fresh beats on Spotify!"/>
    <n v="3956"/>
    <n v="319"/>
    <n v="61"/>
    <n v="58162"/>
    <n v="28720"/>
    <n v="213"/>
    <x v="1"/>
    <x v="0"/>
    <n v="7.4550393727863554E-2"/>
    <d v="2025-01-10T00:00:00"/>
    <n v="45698"/>
    <x v="0"/>
  </r>
  <r>
    <s v="SP014"/>
    <s v="Twitter"/>
    <d v="2024-10-08T00:00:00"/>
    <s v="Text"/>
    <s v="From pop to podcasts, it's all here."/>
    <n v="2460"/>
    <n v="409"/>
    <n v="253"/>
    <n v="36702"/>
    <n v="46122"/>
    <n v="264"/>
    <x v="1"/>
    <x v="0"/>
    <n v="8.5063484278785892E-2"/>
    <d v="2025-01-10T00:00:00"/>
    <n v="45698"/>
    <x v="0"/>
  </r>
  <r>
    <s v="SP015"/>
    <s v="Twitter"/>
    <d v="2024-05-06T00:00:00"/>
    <s v="Text"/>
    <s v="Your weekend playlist is waiting."/>
    <n v="3476"/>
    <n v="355"/>
    <n v="396"/>
    <n v="37492"/>
    <n v="27285"/>
    <n v="179"/>
    <x v="1"/>
    <x v="0"/>
    <n v="0.11274405206444041"/>
    <d v="2025-01-10T00:00:00"/>
    <n v="45698"/>
    <x v="0"/>
  </r>
  <r>
    <s v="SP016"/>
    <s v="Twitter"/>
    <d v="2024-12-29T00:00:00"/>
    <s v="Story"/>
    <s v="New music just dropped. Hit play!"/>
    <n v="4049"/>
    <n v="377"/>
    <n v="94"/>
    <n v="48182"/>
    <n v="42875"/>
    <n v="172"/>
    <x v="3"/>
    <x v="0"/>
    <n v="9.3810966751068869E-2"/>
    <d v="2025-01-10T00:00:00"/>
    <n v="45698"/>
    <x v="0"/>
  </r>
  <r>
    <s v="SP016"/>
    <s v="Twitter"/>
    <d v="2024-12-29T00:00:00"/>
    <s v="Story"/>
    <s v="New music just dropped. Hit play!"/>
    <n v="4049"/>
    <n v="377"/>
    <n v="94"/>
    <n v="48182"/>
    <n v="42875"/>
    <n v="172"/>
    <x v="1"/>
    <x v="0"/>
    <n v="9.3810966751068869E-2"/>
    <d v="2025-01-10T00:00:00"/>
    <n v="45698"/>
    <x v="0"/>
  </r>
  <r>
    <s v="SP017"/>
    <s v="Twitter"/>
    <d v="2024-06-10T00:00:00"/>
    <s v="Text"/>
    <s v="What's your vibe today? #SpotifyHits"/>
    <n v="1514"/>
    <n v="164"/>
    <n v="275"/>
    <n v="41364"/>
    <n v="44389"/>
    <n v="83"/>
    <x v="1"/>
    <x v="0"/>
    <n v="4.7214969538729328E-2"/>
    <d v="2025-01-10T00:00:00"/>
    <n v="45698"/>
    <x v="0"/>
  </r>
  <r>
    <s v="SP018"/>
    <s v="Instagram"/>
    <d v="2024-02-03T00:00:00"/>
    <s v="Story"/>
    <s v="Music that moves you-only on Spotify."/>
    <n v="4281"/>
    <n v="101"/>
    <n v="163"/>
    <n v="32278"/>
    <n v="53382"/>
    <n v="235"/>
    <x v="1"/>
    <x v="2"/>
    <n v="0.1408079806679472"/>
    <d v="2024-12-01T00:00:00"/>
    <n v="45657"/>
    <x v="0"/>
  </r>
  <r>
    <s v="SP019"/>
    <s v="YouTube"/>
    <d v="2024-06-15T00:00:00"/>
    <s v="Reel"/>
    <s v="Get into the groove with our new drop!"/>
    <n v="1751"/>
    <n v="143"/>
    <n v="151"/>
    <n v="31826"/>
    <n v="47729"/>
    <n v="95"/>
    <x v="2"/>
    <x v="3"/>
    <n v="6.4255640042732362E-2"/>
    <d v="2024-06-15T00:00:00"/>
    <n v="45488"/>
    <x v="1"/>
  </r>
  <r>
    <s v="SP019"/>
    <s v="YouTube"/>
    <d v="2024-06-15T00:00:00"/>
    <s v="Reel"/>
    <s v="Get into the groove with our new drop!"/>
    <n v="1751"/>
    <n v="143"/>
    <n v="151"/>
    <n v="31826"/>
    <n v="47729"/>
    <n v="95"/>
    <x v="0"/>
    <x v="3"/>
    <n v="6.4255640042732362E-2"/>
    <d v="2024-06-15T00:00:00"/>
    <n v="45488"/>
    <x v="1"/>
  </r>
  <r>
    <s v="SP020"/>
    <s v="Instagram"/>
    <d v="2024-07-05T00:00:00"/>
    <s v="Text"/>
    <s v="Your weekend playlist is waiting."/>
    <n v="3753"/>
    <n v="411"/>
    <n v="308"/>
    <n v="29138"/>
    <n v="27678"/>
    <n v="90"/>
    <x v="2"/>
    <x v="1"/>
    <n v="0.15347655981879332"/>
    <d v="2025-03-01T00:00:00"/>
    <n v="45747"/>
    <x v="0"/>
  </r>
  <r>
    <s v="SP021"/>
    <s v="Instagram"/>
    <d v="2024-11-07T00:00:00"/>
    <s v="Story"/>
    <s v="Wrapped is here! Relive your top tracks 🎧"/>
    <n v="1678"/>
    <n v="423"/>
    <n v="323"/>
    <n v="55668"/>
    <n v="37945"/>
    <n v="230"/>
    <x v="1"/>
    <x v="2"/>
    <n v="4.3543867212761371E-2"/>
    <d v="2024-12-01T00:00:00"/>
    <n v="45657"/>
    <x v="0"/>
  </r>
  <r>
    <s v="SP022"/>
    <s v="Instagram"/>
    <d v="2025-06-15T00:00:00"/>
    <s v="Text"/>
    <s v="What's your vibe today? #SpotifyHits"/>
    <n v="4896"/>
    <n v="466"/>
    <n v="233"/>
    <n v="28621"/>
    <n v="34270"/>
    <n v="84"/>
    <x v="0"/>
    <x v="0"/>
    <n v="0.19548583208133888"/>
    <d v="2025-01-10T00:00:00"/>
    <n v="45698"/>
    <x v="0"/>
  </r>
  <r>
    <s v="SP022"/>
    <s v="Instagram"/>
    <d v="2025-06-15T00:00:00"/>
    <s v="Text"/>
    <s v="What's your vibe today? #SpotifyHits"/>
    <n v="4896"/>
    <n v="466"/>
    <n v="233"/>
    <n v="28621"/>
    <n v="34270"/>
    <n v="84"/>
    <x v="1"/>
    <x v="0"/>
    <n v="0.19548583208133888"/>
    <d v="2025-01-10T00:00:00"/>
    <n v="45698"/>
    <x v="0"/>
  </r>
  <r>
    <s v="SP023"/>
    <s v="YouTube"/>
    <d v="2024-06-09T00:00:00"/>
    <s v="Reel"/>
    <s v="From pop to podcasts, it's all here."/>
    <n v="2786"/>
    <n v="368"/>
    <n v="208"/>
    <n v="42000"/>
    <n v="39967"/>
    <n v="103"/>
    <x v="2"/>
    <x v="3"/>
    <n v="8.0047619047619048E-2"/>
    <d v="2024-06-15T00:00:00"/>
    <n v="45488"/>
    <x v="0"/>
  </r>
  <r>
    <s v="SP023"/>
    <s v="YouTube"/>
    <d v="2024-06-09T00:00:00"/>
    <s v="Reel"/>
    <s v="From pop to podcasts, it's all here."/>
    <n v="2786"/>
    <n v="368"/>
    <n v="208"/>
    <n v="42000"/>
    <n v="39967"/>
    <n v="103"/>
    <x v="0"/>
    <x v="3"/>
    <n v="8.0047619047619048E-2"/>
    <d v="2024-06-15T00:00:00"/>
    <n v="45488"/>
    <x v="0"/>
  </r>
  <r>
    <s v="SP024"/>
    <s v="Twitter"/>
    <d v="2024-10-18T00:00:00"/>
    <s v="Text"/>
    <s v="New music just dropped. Hit play!"/>
    <n v="2607"/>
    <n v="379"/>
    <n v="180"/>
    <n v="28712"/>
    <n v="61620"/>
    <n v="174"/>
    <x v="0"/>
    <x v="1"/>
    <n v="0.11026748397882419"/>
    <d v="2025-03-01T00:00:00"/>
    <n v="45747"/>
    <x v="0"/>
  </r>
  <r>
    <s v="SP025"/>
    <s v="YouTube"/>
    <d v="2024-10-10T00:00:00"/>
    <s v="Reel"/>
    <s v="From pop to podcasts, it's all here."/>
    <n v="4013"/>
    <n v="320"/>
    <n v="92"/>
    <n v="54605"/>
    <n v="60169"/>
    <n v="232"/>
    <x v="2"/>
    <x v="3"/>
    <n v="8.1036535115831879E-2"/>
    <d v="2024-06-15T00:00:00"/>
    <n v="45488"/>
    <x v="0"/>
  </r>
  <r>
    <s v="SP025"/>
    <s v="YouTube"/>
    <d v="2024-10-10T00:00:00"/>
    <s v="Reel"/>
    <s v="From pop to podcasts, it's all here."/>
    <n v="4013"/>
    <n v="320"/>
    <n v="92"/>
    <n v="54605"/>
    <n v="60169"/>
    <n v="232"/>
    <x v="0"/>
    <x v="3"/>
    <n v="8.1036535115831879E-2"/>
    <d v="2024-06-15T00:00:00"/>
    <n v="45488"/>
    <x v="0"/>
  </r>
  <r>
    <s v="SP026"/>
    <s v="Twitter"/>
    <d v="2025-05-14T00:00:00"/>
    <s v="Story"/>
    <s v="From pop to podcasts, it's all here."/>
    <n v="2707"/>
    <n v="103"/>
    <n v="51"/>
    <n v="55302"/>
    <n v="18801"/>
    <n v="147"/>
    <x v="2"/>
    <x v="0"/>
    <n v="5.173411449857148E-2"/>
    <d v="2025-01-10T00:00:00"/>
    <n v="45698"/>
    <x v="0"/>
  </r>
  <r>
    <s v="SP026"/>
    <s v="Twitter"/>
    <d v="2025-05-14T00:00:00"/>
    <s v="Story"/>
    <s v="From pop to podcasts, it's all here."/>
    <n v="2707"/>
    <n v="103"/>
    <n v="51"/>
    <n v="55302"/>
    <n v="18801"/>
    <n v="147"/>
    <x v="3"/>
    <x v="0"/>
    <n v="5.173411449857148E-2"/>
    <d v="2025-01-10T00:00:00"/>
    <n v="45698"/>
    <x v="0"/>
  </r>
  <r>
    <s v="SP027"/>
    <s v="Instagram"/>
    <d v="2024-11-29T00:00:00"/>
    <s v="Text"/>
    <s v="What's your vibe today? #SpotifyHits"/>
    <n v="2824"/>
    <n v="425"/>
    <n v="274"/>
    <n v="31004"/>
    <n v="53488"/>
    <n v="268"/>
    <x v="0"/>
    <x v="0"/>
    <n v="0.11363049929041415"/>
    <d v="2025-01-10T00:00:00"/>
    <n v="45698"/>
    <x v="0"/>
  </r>
  <r>
    <s v="SP027"/>
    <s v="Instagram"/>
    <d v="2024-11-29T00:00:00"/>
    <s v="Text"/>
    <s v="What's your vibe today? #SpotifyHits"/>
    <n v="2824"/>
    <n v="425"/>
    <n v="274"/>
    <n v="31004"/>
    <n v="53488"/>
    <n v="268"/>
    <x v="1"/>
    <x v="0"/>
    <n v="0.11363049929041415"/>
    <d v="2025-01-10T00:00:00"/>
    <n v="45698"/>
    <x v="0"/>
  </r>
  <r>
    <s v="SP028"/>
    <s v="YouTube"/>
    <d v="2024-03-05T00:00:00"/>
    <s v="Reel"/>
    <s v="Explore the latest podcasts now."/>
    <n v="3558"/>
    <n v="314"/>
    <n v="199"/>
    <n v="49612"/>
    <n v="53929"/>
    <n v="206"/>
    <x v="2"/>
    <x v="3"/>
    <n v="8.205676046117874E-2"/>
    <d v="2024-06-15T00:00:00"/>
    <n v="45488"/>
    <x v="0"/>
  </r>
  <r>
    <s v="SP028"/>
    <s v="YouTube"/>
    <d v="2024-03-05T00:00:00"/>
    <s v="Reel"/>
    <s v="Explore the latest podcasts now."/>
    <n v="3558"/>
    <n v="314"/>
    <n v="199"/>
    <n v="49612"/>
    <n v="53929"/>
    <n v="206"/>
    <x v="0"/>
    <x v="3"/>
    <n v="8.205676046117874E-2"/>
    <d v="2024-06-15T00:00:00"/>
    <n v="45488"/>
    <x v="0"/>
  </r>
  <r>
    <s v="SP029"/>
    <s v="Twitter"/>
    <d v="2025-03-18T00:00:00"/>
    <s v="Story"/>
    <s v="Explore the latest podcasts now."/>
    <n v="3418"/>
    <n v="188"/>
    <n v="387"/>
    <n v="57431"/>
    <n v="36933"/>
    <n v="202"/>
    <x v="3"/>
    <x v="0"/>
    <n v="6.9526910553533799E-2"/>
    <d v="2025-01-10T00:00:00"/>
    <n v="45698"/>
    <x v="0"/>
  </r>
  <r>
    <s v="SP029"/>
    <s v="Twitter"/>
    <d v="2025-03-18T00:00:00"/>
    <s v="Story"/>
    <s v="Explore the latest podcasts now."/>
    <n v="3418"/>
    <n v="188"/>
    <n v="387"/>
    <n v="57431"/>
    <n v="36933"/>
    <n v="202"/>
    <x v="1"/>
    <x v="0"/>
    <n v="6.9526910553533799E-2"/>
    <d v="2025-01-10T00:00:00"/>
    <n v="45698"/>
    <x v="0"/>
  </r>
  <r>
    <s v="SP030"/>
    <s v="Twitter"/>
    <d v="2025-04-26T00:00:00"/>
    <s v="Text"/>
    <s v="Discover fresh beats on Spotify!"/>
    <n v="2411"/>
    <n v="194"/>
    <n v="168"/>
    <n v="26665"/>
    <n v="71699"/>
    <n v="197"/>
    <x v="1"/>
    <x v="0"/>
    <n v="0.10399399962497656"/>
    <d v="2025-01-10T00:00:00"/>
    <n v="45698"/>
    <x v="0"/>
  </r>
  <r>
    <s v="SP031"/>
    <s v="Instagram"/>
    <d v="2025-01-01T00:00:00"/>
    <s v="Text"/>
    <s v="New music just dropped. Hit play!"/>
    <n v="4036"/>
    <n v="112"/>
    <n v="382"/>
    <n v="56284"/>
    <n v="29440"/>
    <n v="279"/>
    <x v="0"/>
    <x v="0"/>
    <n v="8.0484684812735408E-2"/>
    <d v="2025-01-10T00:00:00"/>
    <n v="45698"/>
    <x v="0"/>
  </r>
  <r>
    <s v="SP031"/>
    <s v="Instagram"/>
    <d v="2025-01-01T00:00:00"/>
    <s v="Text"/>
    <s v="New music just dropped. Hit play!"/>
    <n v="4036"/>
    <n v="112"/>
    <n v="382"/>
    <n v="56284"/>
    <n v="29440"/>
    <n v="279"/>
    <x v="1"/>
    <x v="0"/>
    <n v="8.0484684812735408E-2"/>
    <d v="2025-01-10T00:00:00"/>
    <n v="45698"/>
    <x v="0"/>
  </r>
  <r>
    <s v="SP032"/>
    <s v="Twitter"/>
    <d v="2024-05-07T00:00:00"/>
    <s v="Story"/>
    <s v="Explore the latest podcasts now."/>
    <n v="2776"/>
    <n v="307"/>
    <n v="178"/>
    <n v="43365"/>
    <n v="48408"/>
    <n v="138"/>
    <x v="0"/>
    <x v="0"/>
    <n v="7.519889311656866E-2"/>
    <d v="2025-01-10T00:00:00"/>
    <n v="45698"/>
    <x v="0"/>
  </r>
  <r>
    <s v="SP032"/>
    <s v="Twitter"/>
    <d v="2024-05-07T00:00:00"/>
    <s v="Story"/>
    <s v="Explore the latest podcasts now."/>
    <n v="2776"/>
    <n v="307"/>
    <n v="178"/>
    <n v="43365"/>
    <n v="48408"/>
    <n v="138"/>
    <x v="1"/>
    <x v="0"/>
    <n v="7.519889311656866E-2"/>
    <d v="2025-01-10T00:00:00"/>
    <n v="45698"/>
    <x v="0"/>
  </r>
  <r>
    <s v="SP033"/>
    <s v="Twitter"/>
    <d v="2024-10-09T00:00:00"/>
    <s v="Story"/>
    <s v="Discover fresh beats on Spotify!"/>
    <n v="4929"/>
    <n v="182"/>
    <n v="95"/>
    <n v="32181"/>
    <n v="31084"/>
    <n v="289"/>
    <x v="2"/>
    <x v="0"/>
    <n v="0.16177247444144061"/>
    <d v="2025-01-10T00:00:00"/>
    <n v="45698"/>
    <x v="0"/>
  </r>
  <r>
    <s v="SP033"/>
    <s v="Twitter"/>
    <d v="2024-10-09T00:00:00"/>
    <s v="Story"/>
    <s v="Discover fresh beats on Spotify!"/>
    <n v="4929"/>
    <n v="182"/>
    <n v="95"/>
    <n v="32181"/>
    <n v="31084"/>
    <n v="289"/>
    <x v="3"/>
    <x v="0"/>
    <n v="0.16177247444144061"/>
    <d v="2025-01-10T00:00:00"/>
    <n v="45698"/>
    <x v="0"/>
  </r>
  <r>
    <s v="SP034"/>
    <s v="Instagram"/>
    <d v="2025-01-09T00:00:00"/>
    <s v="Text"/>
    <s v="New music just dropped. Hit play!"/>
    <n v="1015"/>
    <n v="366"/>
    <n v="308"/>
    <n v="38127"/>
    <n v="63790"/>
    <n v="287"/>
    <x v="0"/>
    <x v="0"/>
    <n v="4.4299315445747112E-2"/>
    <d v="2025-01-10T00:00:00"/>
    <n v="45698"/>
    <x v="0"/>
  </r>
  <r>
    <s v="SP034"/>
    <s v="Instagram"/>
    <d v="2025-01-09T00:00:00"/>
    <s v="Text"/>
    <s v="New music just dropped. Hit play!"/>
    <n v="1015"/>
    <n v="366"/>
    <n v="308"/>
    <n v="38127"/>
    <n v="63790"/>
    <n v="287"/>
    <x v="1"/>
    <x v="0"/>
    <n v="4.4299315445747112E-2"/>
    <d v="2025-01-10T00:00:00"/>
    <n v="45698"/>
    <x v="0"/>
  </r>
  <r>
    <s v="SP035"/>
    <s v="Twitter"/>
    <d v="2025-05-08T00:00:00"/>
    <s v="Story"/>
    <s v="Your weekend playlist is waiting."/>
    <n v="3316"/>
    <n v="332"/>
    <n v="268"/>
    <n v="40095"/>
    <n v="36913"/>
    <n v="265"/>
    <x v="3"/>
    <x v="0"/>
    <n v="9.7668038408779148E-2"/>
    <d v="2025-01-10T00:00:00"/>
    <n v="45698"/>
    <x v="0"/>
  </r>
  <r>
    <s v="SP035"/>
    <s v="Twitter"/>
    <d v="2025-05-08T00:00:00"/>
    <s v="Story"/>
    <s v="Your weekend playlist is waiting."/>
    <n v="3316"/>
    <n v="332"/>
    <n v="268"/>
    <n v="40095"/>
    <n v="36913"/>
    <n v="265"/>
    <x v="1"/>
    <x v="0"/>
    <n v="9.7668038408779148E-2"/>
    <d v="2025-01-10T00:00:00"/>
    <n v="45698"/>
    <x v="0"/>
  </r>
  <r>
    <s v="SP036"/>
    <s v="Instagram"/>
    <d v="2024-05-04T00:00:00"/>
    <s v="Text"/>
    <s v="Wrapped is here! Relive your top tracks 🎧"/>
    <n v="2274"/>
    <n v="243"/>
    <n v="222"/>
    <n v="43066"/>
    <n v="59174"/>
    <n v="80"/>
    <x v="2"/>
    <x v="1"/>
    <n v="6.3600055728416843E-2"/>
    <d v="2025-03-01T00:00:00"/>
    <n v="45747"/>
    <x v="0"/>
  </r>
  <r>
    <s v="SP037"/>
    <s v="Twitter"/>
    <d v="2025-05-27T00:00:00"/>
    <s v="Story"/>
    <s v="Explore the latest podcasts now."/>
    <n v="4095"/>
    <n v="385"/>
    <n v="400"/>
    <n v="45300"/>
    <n v="31795"/>
    <n v="80"/>
    <x v="3"/>
    <x v="0"/>
    <n v="0.10772626931567329"/>
    <d v="2025-01-10T00:00:00"/>
    <n v="45698"/>
    <x v="0"/>
  </r>
  <r>
    <s v="SP037"/>
    <s v="Twitter"/>
    <d v="2025-05-27T00:00:00"/>
    <s v="Story"/>
    <s v="Explore the latest podcasts now."/>
    <n v="4095"/>
    <n v="385"/>
    <n v="400"/>
    <n v="45300"/>
    <n v="31795"/>
    <n v="80"/>
    <x v="1"/>
    <x v="0"/>
    <n v="0.10772626931567329"/>
    <d v="2025-01-10T00:00:00"/>
    <n v="45698"/>
    <x v="0"/>
  </r>
  <r>
    <s v="SP038"/>
    <s v="Instagram"/>
    <d v="2024-09-10T00:00:00"/>
    <s v="Story"/>
    <s v="New music just dropped. Hit play!"/>
    <n v="1230"/>
    <n v="309"/>
    <n v="207"/>
    <n v="44629"/>
    <n v="40699"/>
    <n v="195"/>
    <x v="1"/>
    <x v="2"/>
    <n v="3.9122543637545096E-2"/>
    <d v="2024-12-01T00:00:00"/>
    <n v="45657"/>
    <x v="0"/>
  </r>
  <r>
    <s v="SP039"/>
    <s v="Instagram"/>
    <d v="2024-11-25T00:00:00"/>
    <s v="Text"/>
    <s v="From pop to podcasts, it's all here."/>
    <n v="1341"/>
    <n v="472"/>
    <n v="238"/>
    <n v="51386"/>
    <n v="51706"/>
    <n v="133"/>
    <x v="2"/>
    <x v="1"/>
    <n v="3.9913595142645857E-2"/>
    <d v="2025-03-01T00:00:00"/>
    <n v="45747"/>
    <x v="0"/>
  </r>
  <r>
    <s v="SP040"/>
    <s v="Twitter"/>
    <d v="2025-06-10T00:00:00"/>
    <s v="Text"/>
    <s v="Explore the latest podcasts now."/>
    <n v="3615"/>
    <n v="192"/>
    <n v="162"/>
    <n v="27492"/>
    <n v="35341"/>
    <n v="125"/>
    <x v="1"/>
    <x v="0"/>
    <n v="0.14436927106067218"/>
    <d v="2025-01-10T00:00:00"/>
    <n v="45698"/>
    <x v="0"/>
  </r>
  <r>
    <s v="SP041"/>
    <s v="Instagram"/>
    <d v="2024-04-19T00:00:00"/>
    <s v="Text"/>
    <s v="New music just dropped. Hit play!"/>
    <n v="4001"/>
    <n v="353"/>
    <n v="129"/>
    <n v="41265"/>
    <n v="37279"/>
    <n v="275"/>
    <x v="0"/>
    <x v="0"/>
    <n v="0.10863928268508422"/>
    <d v="2025-01-10T00:00:00"/>
    <n v="45698"/>
    <x v="0"/>
  </r>
  <r>
    <s v="SP041"/>
    <s v="Instagram"/>
    <d v="2024-04-19T00:00:00"/>
    <s v="Text"/>
    <s v="New music just dropped. Hit play!"/>
    <n v="4001"/>
    <n v="353"/>
    <n v="129"/>
    <n v="41265"/>
    <n v="37279"/>
    <n v="275"/>
    <x v="1"/>
    <x v="0"/>
    <n v="0.10863928268508422"/>
    <d v="2025-01-10T00:00:00"/>
    <n v="45698"/>
    <x v="0"/>
  </r>
  <r>
    <s v="SP042"/>
    <s v="Instagram"/>
    <d v="2025-01-26T00:00:00"/>
    <s v="Story"/>
    <s v="What's your vibe today? #SpotifyHits"/>
    <n v="3451"/>
    <n v="363"/>
    <n v="393"/>
    <n v="44853"/>
    <n v="69032"/>
    <n v="211"/>
    <x v="1"/>
    <x v="2"/>
    <n v="9.379528682585335E-2"/>
    <d v="2024-12-01T00:00:00"/>
    <n v="45657"/>
    <x v="0"/>
  </r>
  <r>
    <s v="SP043"/>
    <s v="Instagram"/>
    <d v="2025-02-14T00:00:00"/>
    <s v="Text"/>
    <s v="Top trending tracks updated daily!"/>
    <n v="4891"/>
    <n v="450"/>
    <n v="387"/>
    <n v="48746"/>
    <n v="37312"/>
    <n v="154"/>
    <x v="0"/>
    <x v="0"/>
    <n v="0.11750707750379519"/>
    <d v="2025-01-10T00:00:00"/>
    <n v="45698"/>
    <x v="0"/>
  </r>
  <r>
    <s v="SP043"/>
    <s v="Instagram"/>
    <d v="2025-02-14T00:00:00"/>
    <s v="Text"/>
    <s v="Top trending tracks updated daily!"/>
    <n v="4891"/>
    <n v="450"/>
    <n v="387"/>
    <n v="48746"/>
    <n v="37312"/>
    <n v="154"/>
    <x v="1"/>
    <x v="0"/>
    <n v="0.11750707750379519"/>
    <d v="2025-01-10T00:00:00"/>
    <n v="45698"/>
    <x v="0"/>
  </r>
  <r>
    <s v="SP044"/>
    <s v="Instagram"/>
    <d v="2024-09-06T00:00:00"/>
    <s v="Text"/>
    <s v="New music just dropped. Hit play!"/>
    <n v="1452"/>
    <n v="281"/>
    <n v="326"/>
    <n v="51556"/>
    <n v="62599"/>
    <n v="290"/>
    <x v="2"/>
    <x v="1"/>
    <n v="3.9937155714174881E-2"/>
    <d v="2025-03-01T00:00:00"/>
    <n v="45747"/>
    <x v="0"/>
  </r>
  <r>
    <s v="SP045"/>
    <s v="YouTube"/>
    <d v="2024-07-14T00:00:00"/>
    <s v="Text"/>
    <s v="Your weekend playlist is waiting."/>
    <n v="3806"/>
    <n v="114"/>
    <n v="278"/>
    <n v="36148"/>
    <n v="24209"/>
    <n v="201"/>
    <x v="2"/>
    <x v="1"/>
    <n v="0.11613367267898639"/>
    <d v="2025-03-01T00:00:00"/>
    <n v="45747"/>
    <x v="0"/>
  </r>
  <r>
    <s v="SP045"/>
    <s v="YouTube"/>
    <d v="2024-07-14T00:00:00"/>
    <s v="Text"/>
    <s v="Your weekend playlist is waiting."/>
    <n v="3806"/>
    <n v="114"/>
    <n v="278"/>
    <n v="36148"/>
    <n v="24209"/>
    <n v="201"/>
    <x v="4"/>
    <x v="1"/>
    <n v="0.11613367267898639"/>
    <d v="2025-03-01T00:00:00"/>
    <n v="45747"/>
    <x v="0"/>
  </r>
  <r>
    <s v="SP046"/>
    <s v="Instagram"/>
    <d v="2024-02-12T00:00:00"/>
    <s v="Text"/>
    <s v="Explore the latest podcasts now."/>
    <n v="2923"/>
    <n v="330"/>
    <n v="250"/>
    <n v="23993"/>
    <n v="74590"/>
    <n v="92"/>
    <x v="2"/>
    <x v="1"/>
    <n v="0.14600091693410577"/>
    <d v="2025-03-01T00:00:00"/>
    <n v="45747"/>
    <x v="0"/>
  </r>
  <r>
    <s v="SP047"/>
    <s v="YouTube"/>
    <d v="2024-03-14T00:00:00"/>
    <s v="Reel"/>
    <s v="From pop to podcasts, it's all here."/>
    <n v="3361"/>
    <n v="188"/>
    <n v="358"/>
    <n v="39838"/>
    <n v="24536"/>
    <n v="120"/>
    <x v="2"/>
    <x v="3"/>
    <n v="9.8072192379135503E-2"/>
    <d v="2024-06-15T00:00:00"/>
    <n v="45488"/>
    <x v="0"/>
  </r>
  <r>
    <s v="SP047"/>
    <s v="YouTube"/>
    <d v="2024-03-14T00:00:00"/>
    <s v="Reel"/>
    <s v="From pop to podcasts, it's all here."/>
    <n v="3361"/>
    <n v="188"/>
    <n v="358"/>
    <n v="39838"/>
    <n v="24536"/>
    <n v="120"/>
    <x v="0"/>
    <x v="3"/>
    <n v="9.8072192379135503E-2"/>
    <d v="2024-06-15T00:00:00"/>
    <n v="45488"/>
    <x v="0"/>
  </r>
  <r>
    <s v="SP048"/>
    <s v="Instagram"/>
    <d v="2025-02-05T00:00:00"/>
    <s v="Story"/>
    <s v="Music that moves you-only on Spotify."/>
    <n v="3074"/>
    <n v="371"/>
    <n v="348"/>
    <n v="24104"/>
    <n v="57803"/>
    <n v="213"/>
    <x v="1"/>
    <x v="2"/>
    <n v="0.15735977431131762"/>
    <d v="2024-12-01T00:00:00"/>
    <n v="45657"/>
    <x v="0"/>
  </r>
  <r>
    <s v="SP049"/>
    <s v="Twitter"/>
    <d v="2024-08-29T00:00:00"/>
    <s v="Story"/>
    <s v="Get into the groove with our new drop!"/>
    <n v="4276"/>
    <n v="227"/>
    <n v="223"/>
    <n v="43443"/>
    <n v="41005"/>
    <n v="191"/>
    <x v="2"/>
    <x v="0"/>
    <n v="0.1087862256289851"/>
    <d v="2025-01-10T00:00:00"/>
    <n v="45698"/>
    <x v="0"/>
  </r>
  <r>
    <s v="SP049"/>
    <s v="Twitter"/>
    <d v="2024-08-29T00:00:00"/>
    <s v="Story"/>
    <s v="Get into the groove with our new drop!"/>
    <n v="4276"/>
    <n v="227"/>
    <n v="223"/>
    <n v="43443"/>
    <n v="41005"/>
    <n v="191"/>
    <x v="3"/>
    <x v="0"/>
    <n v="0.1087862256289851"/>
    <d v="2025-01-10T00:00:00"/>
    <n v="45698"/>
    <x v="0"/>
  </r>
  <r>
    <s v="SP050"/>
    <s v="Twitter"/>
    <d v="2025-04-22T00:00:00"/>
    <s v="Text"/>
    <s v="Discover fresh beats on Spotify!"/>
    <n v="4401"/>
    <n v="421"/>
    <n v="216"/>
    <n v="24890"/>
    <n v="54361"/>
    <n v="148"/>
    <x v="1"/>
    <x v="0"/>
    <n v="0.20241060666934513"/>
    <d v="2025-01-10T00:00:00"/>
    <n v="45698"/>
    <x v="0"/>
  </r>
  <r>
    <s v="SP051"/>
    <s v="YouTube"/>
    <d v="2024-05-13T00:00:00"/>
    <s v="Reel"/>
    <s v="Explore the latest podcasts now."/>
    <n v="4161"/>
    <n v="481"/>
    <n v="61"/>
    <n v="45884"/>
    <n v="48955"/>
    <n v="215"/>
    <x v="2"/>
    <x v="3"/>
    <n v="0.10249760265016128"/>
    <d v="2024-06-15T00:00:00"/>
    <n v="45488"/>
    <x v="0"/>
  </r>
  <r>
    <s v="SP051"/>
    <s v="YouTube"/>
    <d v="2024-05-13T00:00:00"/>
    <s v="Reel"/>
    <s v="Explore the latest podcasts now."/>
    <n v="4161"/>
    <n v="481"/>
    <n v="61"/>
    <n v="45884"/>
    <n v="48955"/>
    <n v="215"/>
    <x v="0"/>
    <x v="3"/>
    <n v="0.10249760265016128"/>
    <d v="2024-06-15T00:00:00"/>
    <n v="45488"/>
    <x v="0"/>
  </r>
  <r>
    <s v="SP052"/>
    <s v="Twitter"/>
    <d v="2024-09-04T00:00:00"/>
    <s v="Story"/>
    <s v="New music just dropped. Hit play!"/>
    <n v="2613"/>
    <n v="455"/>
    <n v="228"/>
    <n v="21645"/>
    <n v="61334"/>
    <n v="261"/>
    <x v="2"/>
    <x v="0"/>
    <n v="0.15227535227535227"/>
    <d v="2025-01-10T00:00:00"/>
    <n v="45698"/>
    <x v="0"/>
  </r>
  <r>
    <s v="SP052"/>
    <s v="Twitter"/>
    <d v="2024-09-04T00:00:00"/>
    <s v="Story"/>
    <s v="New music just dropped. Hit play!"/>
    <n v="2613"/>
    <n v="455"/>
    <n v="228"/>
    <n v="21645"/>
    <n v="61334"/>
    <n v="261"/>
    <x v="3"/>
    <x v="0"/>
    <n v="0.15227535227535227"/>
    <d v="2025-01-10T00:00:00"/>
    <n v="45698"/>
    <x v="0"/>
  </r>
  <r>
    <s v="SP053"/>
    <s v="Twitter"/>
    <d v="2024-08-12T00:00:00"/>
    <s v="Story"/>
    <s v="What's your vibe today? #SpotifyHits"/>
    <n v="2842"/>
    <n v="213"/>
    <n v="331"/>
    <n v="57660"/>
    <n v="68606"/>
    <n v="87"/>
    <x v="3"/>
    <x v="0"/>
    <n v="5.8723551855705859E-2"/>
    <d v="2025-01-10T00:00:00"/>
    <n v="45698"/>
    <x v="0"/>
  </r>
  <r>
    <s v="SP053"/>
    <s v="Twitter"/>
    <d v="2024-08-12T00:00:00"/>
    <s v="Story"/>
    <s v="What's your vibe today? #SpotifyHits"/>
    <n v="2842"/>
    <n v="213"/>
    <n v="331"/>
    <n v="57660"/>
    <n v="68606"/>
    <n v="87"/>
    <x v="1"/>
    <x v="0"/>
    <n v="5.8723551855705859E-2"/>
    <d v="2025-01-10T00:00:00"/>
    <n v="45698"/>
    <x v="0"/>
  </r>
  <r>
    <s v="SP054"/>
    <s v="Instagram"/>
    <d v="2025-03-06T00:00:00"/>
    <s v="Text"/>
    <s v="Get into the groove with our new drop!"/>
    <n v="4851"/>
    <n v="460"/>
    <n v="212"/>
    <n v="58075"/>
    <n v="59574"/>
    <n v="239"/>
    <x v="2"/>
    <x v="1"/>
    <n v="9.5101162290142052E-2"/>
    <d v="2025-03-01T00:00:00"/>
    <n v="45747"/>
    <x v="1"/>
  </r>
  <r>
    <s v="SP055"/>
    <s v="Twitter"/>
    <d v="2024-05-08T00:00:00"/>
    <s v="Text"/>
    <s v="Explore the latest podcasts now."/>
    <n v="1828"/>
    <n v="450"/>
    <n v="214"/>
    <n v="52115"/>
    <n v="19166"/>
    <n v="190"/>
    <x v="1"/>
    <x v="0"/>
    <n v="4.781732706514439E-2"/>
    <d v="2025-01-10T00:00:00"/>
    <n v="45698"/>
    <x v="0"/>
  </r>
  <r>
    <s v="SP056"/>
    <s v="Instagram"/>
    <d v="2025-02-19T00:00:00"/>
    <s v="Story"/>
    <s v="From pop to podcasts, it's all here."/>
    <n v="2422"/>
    <n v="455"/>
    <n v="376"/>
    <n v="23428"/>
    <n v="46775"/>
    <n v="259"/>
    <x v="1"/>
    <x v="2"/>
    <n v="0.13885094758408742"/>
    <d v="2024-12-01T00:00:00"/>
    <n v="45657"/>
    <x v="0"/>
  </r>
  <r>
    <s v="SP057"/>
    <s v="Instagram"/>
    <d v="2024-01-08T00:00:00"/>
    <s v="Text"/>
    <s v="Top trending tracks updated daily!"/>
    <n v="2683"/>
    <n v="405"/>
    <n v="223"/>
    <n v="31233"/>
    <n v="58106"/>
    <n v="291"/>
    <x v="2"/>
    <x v="1"/>
    <n v="0.10600966926007749"/>
    <d v="2025-03-01T00:00:00"/>
    <n v="45747"/>
    <x v="0"/>
  </r>
  <r>
    <s v="SP058"/>
    <s v="YouTube"/>
    <d v="2024-07-17T00:00:00"/>
    <s v="Text"/>
    <s v="Top trending tracks updated daily!"/>
    <n v="3135"/>
    <n v="110"/>
    <n v="215"/>
    <n v="39192"/>
    <n v="24744"/>
    <n v="177"/>
    <x v="2"/>
    <x v="1"/>
    <n v="8.8283323127168814E-2"/>
    <d v="2025-03-01T00:00:00"/>
    <n v="45747"/>
    <x v="0"/>
  </r>
  <r>
    <s v="SP058"/>
    <s v="YouTube"/>
    <d v="2024-07-17T00:00:00"/>
    <s v="Text"/>
    <s v="Top trending tracks updated daily!"/>
    <n v="3135"/>
    <n v="110"/>
    <n v="215"/>
    <n v="39192"/>
    <n v="24744"/>
    <n v="177"/>
    <x v="4"/>
    <x v="1"/>
    <n v="8.8283323127168814E-2"/>
    <d v="2025-03-01T00:00:00"/>
    <n v="45747"/>
    <x v="0"/>
  </r>
  <r>
    <s v="SP059"/>
    <s v="YouTube"/>
    <d v="2024-08-10T00:00:00"/>
    <s v="Text"/>
    <s v="From pop to podcasts, it's all here."/>
    <n v="1105"/>
    <n v="181"/>
    <n v="55"/>
    <n v="53581"/>
    <n v="74048"/>
    <n v="220"/>
    <x v="2"/>
    <x v="1"/>
    <n v="2.50275284149232E-2"/>
    <d v="2025-03-01T00:00:00"/>
    <n v="45747"/>
    <x v="0"/>
  </r>
  <r>
    <s v="SP059"/>
    <s v="YouTube"/>
    <d v="2024-08-10T00:00:00"/>
    <s v="Text"/>
    <s v="From pop to podcasts, it's all here."/>
    <n v="1105"/>
    <n v="181"/>
    <n v="55"/>
    <n v="53581"/>
    <n v="74048"/>
    <n v="220"/>
    <x v="4"/>
    <x v="1"/>
    <n v="2.50275284149232E-2"/>
    <d v="2025-03-01T00:00:00"/>
    <n v="45747"/>
    <x v="0"/>
  </r>
  <r>
    <s v="SP060"/>
    <s v="YouTube"/>
    <d v="2024-04-16T00:00:00"/>
    <s v="Text"/>
    <s v="Discover fresh beats on Spotify!"/>
    <n v="4674"/>
    <n v="326"/>
    <n v="62"/>
    <n v="45503"/>
    <n v="46814"/>
    <n v="116"/>
    <x v="2"/>
    <x v="1"/>
    <n v="0.11124541239039185"/>
    <d v="2025-03-01T00:00:00"/>
    <n v="45747"/>
    <x v="0"/>
  </r>
  <r>
    <s v="SP060"/>
    <s v="YouTube"/>
    <d v="2024-04-16T00:00:00"/>
    <s v="Text"/>
    <s v="Discover fresh beats on Spotify!"/>
    <n v="4674"/>
    <n v="326"/>
    <n v="62"/>
    <n v="45503"/>
    <n v="46814"/>
    <n v="116"/>
    <x v="4"/>
    <x v="1"/>
    <n v="0.11124541239039185"/>
    <d v="2025-03-01T00:00:00"/>
    <n v="45747"/>
    <x v="0"/>
  </r>
  <r>
    <s v="SP061"/>
    <s v="YouTube"/>
    <d v="2024-01-01T00:00:00"/>
    <s v="Reel"/>
    <s v="Explore the latest podcasts now."/>
    <n v="3437"/>
    <n v="129"/>
    <n v="359"/>
    <n v="44558"/>
    <n v="30854"/>
    <n v="171"/>
    <x v="2"/>
    <x v="3"/>
    <n v="8.8087436599488311E-2"/>
    <d v="2024-06-15T00:00:00"/>
    <n v="45488"/>
    <x v="0"/>
  </r>
  <r>
    <s v="SP061"/>
    <s v="YouTube"/>
    <d v="2024-01-01T00:00:00"/>
    <s v="Reel"/>
    <s v="Explore the latest podcasts now."/>
    <n v="3437"/>
    <n v="129"/>
    <n v="359"/>
    <n v="44558"/>
    <n v="30854"/>
    <n v="171"/>
    <x v="0"/>
    <x v="3"/>
    <n v="8.8087436599488311E-2"/>
    <d v="2024-06-15T00:00:00"/>
    <n v="45488"/>
    <x v="0"/>
  </r>
  <r>
    <s v="SP062"/>
    <s v="Twitter"/>
    <d v="2024-11-03T00:00:00"/>
    <s v="Story"/>
    <s v="Wrapped is here! Relive your top tracks 🎧"/>
    <n v="1959"/>
    <n v="316"/>
    <n v="82"/>
    <n v="54036"/>
    <n v="69015"/>
    <n v="182"/>
    <x v="3"/>
    <x v="0"/>
    <n v="4.3619068768968837E-2"/>
    <d v="2025-01-10T00:00:00"/>
    <n v="45698"/>
    <x v="0"/>
  </r>
  <r>
    <s v="SP062"/>
    <s v="Twitter"/>
    <d v="2024-11-03T00:00:00"/>
    <s v="Story"/>
    <s v="Wrapped is here! Relive your top tracks 🎧"/>
    <n v="1959"/>
    <n v="316"/>
    <n v="82"/>
    <n v="54036"/>
    <n v="69015"/>
    <n v="182"/>
    <x v="1"/>
    <x v="0"/>
    <n v="4.3619068768968837E-2"/>
    <d v="2025-01-10T00:00:00"/>
    <n v="45698"/>
    <x v="0"/>
  </r>
  <r>
    <s v="SP063"/>
    <s v="Twitter"/>
    <d v="2024-07-07T00:00:00"/>
    <s v="Text"/>
    <s v="New music just dropped. Hit play!"/>
    <n v="1035"/>
    <n v="137"/>
    <n v="184"/>
    <n v="37302"/>
    <n v="68953"/>
    <n v="237"/>
    <x v="0"/>
    <x v="1"/>
    <n v="3.6351938233874857E-2"/>
    <d v="2025-03-01T00:00:00"/>
    <n v="45747"/>
    <x v="0"/>
  </r>
  <r>
    <s v="SP064"/>
    <s v="Twitter"/>
    <d v="2025-01-22T00:00:00"/>
    <s v="Story"/>
    <s v="New music just dropped. Hit play!"/>
    <n v="4478"/>
    <n v="101"/>
    <n v="121"/>
    <n v="51035"/>
    <n v="58207"/>
    <n v="205"/>
    <x v="3"/>
    <x v="0"/>
    <n v="9.2093661212893113E-2"/>
    <d v="2025-01-10T00:00:00"/>
    <n v="45698"/>
    <x v="1"/>
  </r>
  <r>
    <s v="SP064"/>
    <s v="Twitter"/>
    <d v="2025-01-22T00:00:00"/>
    <s v="Story"/>
    <s v="New music just dropped. Hit play!"/>
    <n v="4478"/>
    <n v="101"/>
    <n v="121"/>
    <n v="51035"/>
    <n v="58207"/>
    <n v="205"/>
    <x v="1"/>
    <x v="0"/>
    <n v="9.2093661212893113E-2"/>
    <d v="2025-01-10T00:00:00"/>
    <n v="45698"/>
    <x v="1"/>
  </r>
  <r>
    <s v="SP065"/>
    <s v="YouTube"/>
    <d v="2024-05-26T00:00:00"/>
    <s v="Text"/>
    <s v="From pop to podcasts, it's all here."/>
    <n v="1488"/>
    <n v="327"/>
    <n v="110"/>
    <n v="53805"/>
    <n v="30239"/>
    <n v="109"/>
    <x v="2"/>
    <x v="1"/>
    <n v="3.5777344113000653E-2"/>
    <d v="2025-03-01T00:00:00"/>
    <n v="45747"/>
    <x v="0"/>
  </r>
  <r>
    <s v="SP065"/>
    <s v="YouTube"/>
    <d v="2024-05-26T00:00:00"/>
    <s v="Text"/>
    <s v="From pop to podcasts, it's all here."/>
    <n v="1488"/>
    <n v="327"/>
    <n v="110"/>
    <n v="53805"/>
    <n v="30239"/>
    <n v="109"/>
    <x v="4"/>
    <x v="1"/>
    <n v="3.5777344113000653E-2"/>
    <d v="2025-03-01T00:00:00"/>
    <n v="45747"/>
    <x v="0"/>
  </r>
  <r>
    <s v="SP066"/>
    <s v="Instagram"/>
    <d v="2025-04-16T00:00:00"/>
    <s v="Text"/>
    <s v="Wrapped is here! Relive your top tracks 🎧"/>
    <n v="4836"/>
    <n v="331"/>
    <n v="140"/>
    <n v="58792"/>
    <n v="47711"/>
    <n v="227"/>
    <x v="0"/>
    <x v="0"/>
    <n v="9.0267383317458164E-2"/>
    <d v="2025-01-10T00:00:00"/>
    <n v="45698"/>
    <x v="0"/>
  </r>
  <r>
    <s v="SP066"/>
    <s v="Instagram"/>
    <d v="2025-04-16T00:00:00"/>
    <s v="Text"/>
    <s v="Wrapped is here! Relive your top tracks 🎧"/>
    <n v="4836"/>
    <n v="331"/>
    <n v="140"/>
    <n v="58792"/>
    <n v="47711"/>
    <n v="227"/>
    <x v="1"/>
    <x v="0"/>
    <n v="9.0267383317458164E-2"/>
    <d v="2025-01-10T00:00:00"/>
    <n v="45698"/>
    <x v="0"/>
  </r>
  <r>
    <s v="SP067"/>
    <s v="YouTube"/>
    <d v="2024-04-02T00:00:00"/>
    <s v="Reel"/>
    <s v="Your weekend playlist is waiting."/>
    <n v="4563"/>
    <n v="488"/>
    <n v="356"/>
    <n v="30619"/>
    <n v="23328"/>
    <n v="267"/>
    <x v="2"/>
    <x v="3"/>
    <n v="0.17658969920637513"/>
    <d v="2024-06-15T00:00:00"/>
    <n v="45488"/>
    <x v="0"/>
  </r>
  <r>
    <s v="SP067"/>
    <s v="YouTube"/>
    <d v="2024-04-02T00:00:00"/>
    <s v="Reel"/>
    <s v="Your weekend playlist is waiting."/>
    <n v="4563"/>
    <n v="488"/>
    <n v="356"/>
    <n v="30619"/>
    <n v="23328"/>
    <n v="267"/>
    <x v="0"/>
    <x v="3"/>
    <n v="0.17658969920637513"/>
    <d v="2024-06-15T00:00:00"/>
    <n v="45488"/>
    <x v="0"/>
  </r>
  <r>
    <s v="SP068"/>
    <s v="Twitter"/>
    <d v="2024-03-28T00:00:00"/>
    <s v="Text"/>
    <s v="Music that moves you-only on Spotify."/>
    <n v="3276"/>
    <n v="421"/>
    <n v="114"/>
    <n v="20580"/>
    <n v="30324"/>
    <n v="221"/>
    <x v="0"/>
    <x v="1"/>
    <n v="0.18517978620019437"/>
    <d v="2025-03-01T00:00:00"/>
    <n v="45747"/>
    <x v="0"/>
  </r>
  <r>
    <s v="SP069"/>
    <s v="Twitter"/>
    <d v="2024-12-17T00:00:00"/>
    <s v="Story"/>
    <s v="Music that moves you-only on Spotify."/>
    <n v="1316"/>
    <n v="472"/>
    <n v="286"/>
    <n v="44692"/>
    <n v="53343"/>
    <n v="227"/>
    <x v="2"/>
    <x v="0"/>
    <n v="4.6406515707509172E-2"/>
    <d v="2025-01-10T00:00:00"/>
    <n v="45698"/>
    <x v="0"/>
  </r>
  <r>
    <s v="SP069"/>
    <s v="Twitter"/>
    <d v="2024-12-17T00:00:00"/>
    <s v="Story"/>
    <s v="Music that moves you-only on Spotify."/>
    <n v="1316"/>
    <n v="472"/>
    <n v="286"/>
    <n v="44692"/>
    <n v="53343"/>
    <n v="227"/>
    <x v="3"/>
    <x v="0"/>
    <n v="4.6406515707509172E-2"/>
    <d v="2025-01-10T00:00:00"/>
    <n v="45698"/>
    <x v="0"/>
  </r>
  <r>
    <s v="SP070"/>
    <s v="Twitter"/>
    <d v="2025-01-05T00:00:00"/>
    <s v="Text"/>
    <s v="Wrapped is here! Relive your top tracks 🎧"/>
    <n v="4811"/>
    <n v="473"/>
    <n v="254"/>
    <n v="51964"/>
    <n v="68795"/>
    <n v="107"/>
    <x v="1"/>
    <x v="0"/>
    <n v="0.10657378184897237"/>
    <d v="2025-01-10T00:00:00"/>
    <n v="45698"/>
    <x v="0"/>
  </r>
  <r>
    <s v="SP071"/>
    <s v="Twitter"/>
    <d v="2024-01-11T00:00:00"/>
    <s v="Text"/>
    <s v="What's your vibe today? #SpotifyHits"/>
    <n v="4218"/>
    <n v="247"/>
    <n v="183"/>
    <n v="28914"/>
    <n v="18310"/>
    <n v="135"/>
    <x v="0"/>
    <x v="1"/>
    <n v="0.1607525766064882"/>
    <d v="2025-03-01T00:00:00"/>
    <n v="45747"/>
    <x v="0"/>
  </r>
  <r>
    <s v="SP072"/>
    <s v="Instagram"/>
    <d v="2024-10-11T00:00:00"/>
    <s v="Text"/>
    <s v="From pop to podcasts, it's all here."/>
    <n v="1360"/>
    <n v="249"/>
    <n v="52"/>
    <n v="20368"/>
    <n v="42152"/>
    <n v="193"/>
    <x v="2"/>
    <x v="1"/>
    <n v="8.1549489395129612E-2"/>
    <d v="2025-03-01T00:00:00"/>
    <n v="45747"/>
    <x v="0"/>
  </r>
  <r>
    <s v="SP073"/>
    <s v="YouTube"/>
    <d v="2025-05-06T00:00:00"/>
    <s v="Reel"/>
    <s v="Discover fresh beats on Spotify!"/>
    <n v="1085"/>
    <n v="496"/>
    <n v="320"/>
    <n v="36528"/>
    <n v="38599"/>
    <n v="270"/>
    <x v="2"/>
    <x v="3"/>
    <n v="5.2042268944371438E-2"/>
    <d v="2024-06-15T00:00:00"/>
    <n v="45488"/>
    <x v="0"/>
  </r>
  <r>
    <s v="SP073"/>
    <s v="YouTube"/>
    <d v="2025-05-06T00:00:00"/>
    <s v="Reel"/>
    <s v="Discover fresh beats on Spotify!"/>
    <n v="1085"/>
    <n v="496"/>
    <n v="320"/>
    <n v="36528"/>
    <n v="38599"/>
    <n v="270"/>
    <x v="0"/>
    <x v="3"/>
    <n v="5.2042268944371438E-2"/>
    <d v="2024-06-15T00:00:00"/>
    <n v="45488"/>
    <x v="0"/>
  </r>
  <r>
    <s v="SP074"/>
    <s v="Twitter"/>
    <d v="2024-05-19T00:00:00"/>
    <s v="Story"/>
    <s v="Get into the groove with our new drop!"/>
    <n v="1763"/>
    <n v="206"/>
    <n v="187"/>
    <n v="53342"/>
    <n v="25095"/>
    <n v="88"/>
    <x v="2"/>
    <x v="0"/>
    <n v="4.0418432004799221E-2"/>
    <d v="2025-01-10T00:00:00"/>
    <n v="45698"/>
    <x v="0"/>
  </r>
  <r>
    <s v="SP074"/>
    <s v="Twitter"/>
    <d v="2024-05-19T00:00:00"/>
    <s v="Story"/>
    <s v="Get into the groove with our new drop!"/>
    <n v="1763"/>
    <n v="206"/>
    <n v="187"/>
    <n v="53342"/>
    <n v="25095"/>
    <n v="88"/>
    <x v="3"/>
    <x v="0"/>
    <n v="4.0418432004799221E-2"/>
    <d v="2025-01-10T00:00:00"/>
    <n v="45698"/>
    <x v="0"/>
  </r>
  <r>
    <s v="SP075"/>
    <s v="Twitter"/>
    <d v="2024-01-22T00:00:00"/>
    <s v="Story"/>
    <s v="From pop to podcasts, it's all here."/>
    <n v="1554"/>
    <n v="455"/>
    <n v="158"/>
    <n v="41947"/>
    <n v="48578"/>
    <n v="101"/>
    <x v="0"/>
    <x v="0"/>
    <n v="5.1660428636136076E-2"/>
    <d v="2025-01-10T00:00:00"/>
    <n v="45698"/>
    <x v="0"/>
  </r>
  <r>
    <s v="SP075"/>
    <s v="Twitter"/>
    <d v="2024-01-22T00:00:00"/>
    <s v="Story"/>
    <s v="From pop to podcasts, it's all here."/>
    <n v="1554"/>
    <n v="455"/>
    <n v="158"/>
    <n v="41947"/>
    <n v="48578"/>
    <n v="101"/>
    <x v="1"/>
    <x v="0"/>
    <n v="5.1660428636136076E-2"/>
    <d v="2025-01-10T00:00:00"/>
    <n v="45698"/>
    <x v="0"/>
  </r>
  <r>
    <s v="SP076"/>
    <s v="Instagram"/>
    <d v="2024-07-14T00:00:00"/>
    <s v="Text"/>
    <s v="Wrapped is here! Relive your top tracks 🎧"/>
    <n v="2464"/>
    <n v="401"/>
    <n v="78"/>
    <n v="38665"/>
    <n v="73593"/>
    <n v="207"/>
    <x v="2"/>
    <x v="1"/>
    <n v="7.611534979956032E-2"/>
    <d v="2025-03-01T00:00:00"/>
    <n v="45747"/>
    <x v="0"/>
  </r>
  <r>
    <s v="SP077"/>
    <s v="Twitter"/>
    <d v="2025-05-28T00:00:00"/>
    <s v="Text"/>
    <s v="From pop to podcasts, it's all here."/>
    <n v="2418"/>
    <n v="161"/>
    <n v="360"/>
    <n v="30589"/>
    <n v="41383"/>
    <n v="88"/>
    <x v="1"/>
    <x v="0"/>
    <n v="9.6080290300434801E-2"/>
    <d v="2025-01-10T00:00:00"/>
    <n v="45698"/>
    <x v="0"/>
  </r>
  <r>
    <s v="SP078"/>
    <s v="Twitter"/>
    <d v="2025-01-21T00:00:00"/>
    <s v="Story"/>
    <s v="Discover fresh beats on Spotify!"/>
    <n v="2494"/>
    <n v="494"/>
    <n v="55"/>
    <n v="22580"/>
    <n v="22214"/>
    <n v="109"/>
    <x v="3"/>
    <x v="0"/>
    <n v="0.13476527900797167"/>
    <d v="2025-01-10T00:00:00"/>
    <n v="45698"/>
    <x v="1"/>
  </r>
  <r>
    <s v="SP078"/>
    <s v="Twitter"/>
    <d v="2025-01-21T00:00:00"/>
    <s v="Story"/>
    <s v="Discover fresh beats on Spotify!"/>
    <n v="2494"/>
    <n v="494"/>
    <n v="55"/>
    <n v="22580"/>
    <n v="22214"/>
    <n v="109"/>
    <x v="1"/>
    <x v="0"/>
    <n v="0.13476527900797167"/>
    <d v="2025-01-10T00:00:00"/>
    <n v="45698"/>
    <x v="1"/>
  </r>
  <r>
    <s v="SP079"/>
    <s v="YouTube"/>
    <d v="2024-01-13T00:00:00"/>
    <s v="Reel"/>
    <s v="New music just dropped. Hit play!"/>
    <n v="4781"/>
    <n v="191"/>
    <n v="122"/>
    <n v="35535"/>
    <n v="50777"/>
    <n v="128"/>
    <x v="2"/>
    <x v="3"/>
    <n v="0.14335162515829464"/>
    <d v="2024-06-15T00:00:00"/>
    <n v="45488"/>
    <x v="0"/>
  </r>
  <r>
    <s v="SP079"/>
    <s v="YouTube"/>
    <d v="2024-01-13T00:00:00"/>
    <s v="Reel"/>
    <s v="New music just dropped. Hit play!"/>
    <n v="4781"/>
    <n v="191"/>
    <n v="122"/>
    <n v="35535"/>
    <n v="50777"/>
    <n v="128"/>
    <x v="0"/>
    <x v="3"/>
    <n v="0.14335162515829464"/>
    <d v="2024-06-15T00:00:00"/>
    <n v="45488"/>
    <x v="0"/>
  </r>
  <r>
    <s v="SP080"/>
    <s v="Instagram"/>
    <d v="2025-06-17T00:00:00"/>
    <s v="Text"/>
    <s v="Music that moves you-only on Spotify."/>
    <n v="2284"/>
    <n v="187"/>
    <n v="260"/>
    <n v="37400"/>
    <n v="65014"/>
    <n v="157"/>
    <x v="0"/>
    <x v="0"/>
    <n v="7.3021390374331557E-2"/>
    <d v="2025-01-10T00:00:00"/>
    <n v="45698"/>
    <x v="0"/>
  </r>
  <r>
    <s v="SP080"/>
    <s v="Instagram"/>
    <d v="2025-06-17T00:00:00"/>
    <s v="Text"/>
    <s v="Music that moves you-only on Spotify."/>
    <n v="2284"/>
    <n v="187"/>
    <n v="260"/>
    <n v="37400"/>
    <n v="65014"/>
    <n v="157"/>
    <x v="1"/>
    <x v="0"/>
    <n v="7.3021390374331557E-2"/>
    <d v="2025-01-10T00:00:00"/>
    <n v="45698"/>
    <x v="0"/>
  </r>
  <r>
    <s v="SP081"/>
    <s v="Twitter"/>
    <d v="2025-03-07T00:00:00"/>
    <s v="Text"/>
    <s v="Get into the groove with our new drop!"/>
    <n v="4234"/>
    <n v="486"/>
    <n v="276"/>
    <n v="56623"/>
    <n v="41343"/>
    <n v="184"/>
    <x v="0"/>
    <x v="1"/>
    <n v="8.8232696960599044E-2"/>
    <d v="2025-03-01T00:00:00"/>
    <n v="45747"/>
    <x v="1"/>
  </r>
  <r>
    <s v="SP082"/>
    <s v="Instagram"/>
    <d v="2024-08-26T00:00:00"/>
    <s v="Text"/>
    <s v="Your weekend playlist is waiting."/>
    <n v="2102"/>
    <n v="181"/>
    <n v="306"/>
    <n v="43650"/>
    <n v="50079"/>
    <n v="182"/>
    <x v="2"/>
    <x v="1"/>
    <n v="5.9312714776632303E-2"/>
    <d v="2025-03-01T00:00:00"/>
    <n v="45747"/>
    <x v="0"/>
  </r>
  <r>
    <s v="SP083"/>
    <s v="Twitter"/>
    <d v="2025-01-03T00:00:00"/>
    <s v="Story"/>
    <s v="Get into the groove with our new drop!"/>
    <n v="4845"/>
    <n v="158"/>
    <n v="84"/>
    <n v="34578"/>
    <n v="51480"/>
    <n v="180"/>
    <x v="0"/>
    <x v="0"/>
    <n v="0.1471166637746544"/>
    <d v="2025-01-10T00:00:00"/>
    <n v="45698"/>
    <x v="0"/>
  </r>
  <r>
    <s v="SP083"/>
    <s v="Twitter"/>
    <d v="2025-01-03T00:00:00"/>
    <s v="Story"/>
    <s v="Get into the groove with our new drop!"/>
    <n v="4845"/>
    <n v="158"/>
    <n v="84"/>
    <n v="34578"/>
    <n v="51480"/>
    <n v="180"/>
    <x v="1"/>
    <x v="0"/>
    <n v="0.1471166637746544"/>
    <d v="2025-01-10T00:00:00"/>
    <n v="45698"/>
    <x v="0"/>
  </r>
  <r>
    <s v="SP084"/>
    <s v="Twitter"/>
    <d v="2024-08-03T00:00:00"/>
    <s v="Text"/>
    <s v="Your weekend playlist is waiting."/>
    <n v="4247"/>
    <n v="390"/>
    <n v="213"/>
    <n v="29785"/>
    <n v="57768"/>
    <n v="122"/>
    <x v="1"/>
    <x v="0"/>
    <n v="0.16283364109451065"/>
    <d v="2025-01-10T00:00:00"/>
    <n v="45698"/>
    <x v="0"/>
  </r>
  <r>
    <s v="SP085"/>
    <s v="Instagram"/>
    <d v="2024-08-18T00:00:00"/>
    <s v="Text"/>
    <s v="Explore the latest podcasts now."/>
    <n v="2965"/>
    <n v="328"/>
    <n v="171"/>
    <n v="57685"/>
    <n v="67536"/>
    <n v="264"/>
    <x v="0"/>
    <x v="0"/>
    <n v="6.0050273034584378E-2"/>
    <d v="2025-01-10T00:00:00"/>
    <n v="45698"/>
    <x v="0"/>
  </r>
  <r>
    <s v="SP085"/>
    <s v="Instagram"/>
    <d v="2024-08-18T00:00:00"/>
    <s v="Text"/>
    <s v="Explore the latest podcasts now."/>
    <n v="2965"/>
    <n v="328"/>
    <n v="171"/>
    <n v="57685"/>
    <n v="67536"/>
    <n v="264"/>
    <x v="1"/>
    <x v="0"/>
    <n v="6.0050273034584378E-2"/>
    <d v="2025-01-10T00:00:00"/>
    <n v="45698"/>
    <x v="0"/>
  </r>
  <r>
    <s v="SP086"/>
    <s v="Twitter"/>
    <d v="2025-05-14T00:00:00"/>
    <s v="Story"/>
    <s v="Wrapped is here! Relive your top tracks 🎧"/>
    <n v="1371"/>
    <n v="139"/>
    <n v="96"/>
    <n v="36140"/>
    <n v="39395"/>
    <n v="169"/>
    <x v="0"/>
    <x v="0"/>
    <n v="4.4438295517432211E-2"/>
    <d v="2025-01-10T00:00:00"/>
    <n v="45698"/>
    <x v="0"/>
  </r>
  <r>
    <s v="SP086"/>
    <s v="Twitter"/>
    <d v="2025-05-14T00:00:00"/>
    <s v="Story"/>
    <s v="Wrapped is here! Relive your top tracks 🎧"/>
    <n v="1371"/>
    <n v="139"/>
    <n v="96"/>
    <n v="36140"/>
    <n v="39395"/>
    <n v="169"/>
    <x v="1"/>
    <x v="0"/>
    <n v="4.4438295517432211E-2"/>
    <d v="2025-01-10T00:00:00"/>
    <n v="45698"/>
    <x v="0"/>
  </r>
  <r>
    <s v="SP087"/>
    <s v="Twitter"/>
    <d v="2024-04-23T00:00:00"/>
    <s v="Story"/>
    <s v="Discover fresh beats on Spotify!"/>
    <n v="2683"/>
    <n v="496"/>
    <n v="89"/>
    <n v="53435"/>
    <n v="30334"/>
    <n v="160"/>
    <x v="0"/>
    <x v="0"/>
    <n v="6.1158416768035934E-2"/>
    <d v="2025-01-10T00:00:00"/>
    <n v="45698"/>
    <x v="0"/>
  </r>
  <r>
    <s v="SP087"/>
    <s v="Twitter"/>
    <d v="2024-04-23T00:00:00"/>
    <s v="Story"/>
    <s v="Discover fresh beats on Spotify!"/>
    <n v="2683"/>
    <n v="496"/>
    <n v="89"/>
    <n v="53435"/>
    <n v="30334"/>
    <n v="160"/>
    <x v="1"/>
    <x v="0"/>
    <n v="6.1158416768035934E-2"/>
    <d v="2025-01-10T00:00:00"/>
    <n v="45698"/>
    <x v="0"/>
  </r>
  <r>
    <s v="SP088"/>
    <s v="Twitter"/>
    <d v="2025-02-17T00:00:00"/>
    <s v="Story"/>
    <s v="What's your vibe today? #SpotifyHits"/>
    <n v="4796"/>
    <n v="427"/>
    <n v="339"/>
    <n v="30752"/>
    <n v="33870"/>
    <n v="298"/>
    <x v="0"/>
    <x v="0"/>
    <n v="0.18086628511966701"/>
    <d v="2025-01-10T00:00:00"/>
    <n v="45698"/>
    <x v="0"/>
  </r>
  <r>
    <s v="SP088"/>
    <s v="Twitter"/>
    <d v="2025-02-17T00:00:00"/>
    <s v="Story"/>
    <s v="What's your vibe today? #SpotifyHits"/>
    <n v="4796"/>
    <n v="427"/>
    <n v="339"/>
    <n v="30752"/>
    <n v="33870"/>
    <n v="298"/>
    <x v="1"/>
    <x v="0"/>
    <n v="0.18086628511966701"/>
    <d v="2025-01-10T00:00:00"/>
    <n v="45698"/>
    <x v="0"/>
  </r>
  <r>
    <s v="SP089"/>
    <s v="Instagram"/>
    <d v="2024-12-04T00:00:00"/>
    <s v="Text"/>
    <s v="Wrapped is here! Relive your top tracks 🎧"/>
    <n v="2601"/>
    <n v="336"/>
    <n v="260"/>
    <n v="32368"/>
    <n v="49028"/>
    <n v="120"/>
    <x v="0"/>
    <x v="0"/>
    <n v="9.8770390509144837E-2"/>
    <d v="2025-01-10T00:00:00"/>
    <n v="45698"/>
    <x v="0"/>
  </r>
  <r>
    <s v="SP089"/>
    <s v="Instagram"/>
    <d v="2024-12-04T00:00:00"/>
    <s v="Text"/>
    <s v="Wrapped is here! Relive your top tracks 🎧"/>
    <n v="2601"/>
    <n v="336"/>
    <n v="260"/>
    <n v="32368"/>
    <n v="49028"/>
    <n v="120"/>
    <x v="1"/>
    <x v="0"/>
    <n v="9.8770390509144837E-2"/>
    <d v="2025-01-10T00:00:00"/>
    <n v="45698"/>
    <x v="0"/>
  </r>
  <r>
    <s v="SP090"/>
    <s v="Twitter"/>
    <d v="2024-07-22T00:00:00"/>
    <s v="Story"/>
    <s v="Wrapped is here! Relive your top tracks 🎧"/>
    <n v="3336"/>
    <n v="229"/>
    <n v="337"/>
    <n v="22117"/>
    <n v="26205"/>
    <n v="160"/>
    <x v="3"/>
    <x v="0"/>
    <n v="0.17642537414658407"/>
    <d v="2025-01-10T00:00:00"/>
    <n v="45698"/>
    <x v="0"/>
  </r>
  <r>
    <s v="SP090"/>
    <s v="Twitter"/>
    <d v="2024-07-22T00:00:00"/>
    <s v="Story"/>
    <s v="Wrapped is here! Relive your top tracks 🎧"/>
    <n v="3336"/>
    <n v="229"/>
    <n v="337"/>
    <n v="22117"/>
    <n v="26205"/>
    <n v="160"/>
    <x v="1"/>
    <x v="0"/>
    <n v="0.17642537414658407"/>
    <d v="2025-01-10T00:00:00"/>
    <n v="45698"/>
    <x v="0"/>
  </r>
  <r>
    <s v="SP091"/>
    <s v="Twitter"/>
    <d v="2025-04-27T00:00:00"/>
    <s v="Text"/>
    <s v="Explore the latest podcasts now."/>
    <n v="1165"/>
    <n v="294"/>
    <n v="163"/>
    <n v="20659"/>
    <n v="45926"/>
    <n v="111"/>
    <x v="0"/>
    <x v="1"/>
    <n v="7.8512996756861422E-2"/>
    <d v="2025-03-01T00:00:00"/>
    <n v="45747"/>
    <x v="0"/>
  </r>
  <r>
    <s v="SP092"/>
    <s v="YouTube"/>
    <d v="2024-03-25T00:00:00"/>
    <s v="Reel"/>
    <s v="Explore the latest podcasts now."/>
    <n v="1948"/>
    <n v="155"/>
    <n v="315"/>
    <n v="30321"/>
    <n v="57121"/>
    <n v="82"/>
    <x v="2"/>
    <x v="3"/>
    <n v="7.974671020085089E-2"/>
    <d v="2024-06-15T00:00:00"/>
    <n v="45488"/>
    <x v="0"/>
  </r>
  <r>
    <s v="SP092"/>
    <s v="YouTube"/>
    <d v="2024-03-25T00:00:00"/>
    <s v="Reel"/>
    <s v="Explore the latest podcasts now."/>
    <n v="1948"/>
    <n v="155"/>
    <n v="315"/>
    <n v="30321"/>
    <n v="57121"/>
    <n v="82"/>
    <x v="0"/>
    <x v="3"/>
    <n v="7.974671020085089E-2"/>
    <d v="2024-06-15T00:00:00"/>
    <n v="45488"/>
    <x v="0"/>
  </r>
  <r>
    <s v="SP093"/>
    <s v="Instagram"/>
    <d v="2024-02-29T00:00:00"/>
    <s v="Text"/>
    <s v="From pop to podcasts, it's all here."/>
    <n v="1100"/>
    <n v="229"/>
    <n v="312"/>
    <n v="25641"/>
    <n v="34601"/>
    <n v="169"/>
    <x v="2"/>
    <x v="1"/>
    <n v="6.3999063999063993E-2"/>
    <d v="2025-03-01T00:00:00"/>
    <n v="45747"/>
    <x v="0"/>
  </r>
  <r>
    <s v="SP094"/>
    <s v="Twitter"/>
    <d v="2024-11-13T00:00:00"/>
    <s v="Story"/>
    <s v="Top trending tracks updated daily!"/>
    <n v="4628"/>
    <n v="257"/>
    <n v="397"/>
    <n v="36686"/>
    <n v="54683"/>
    <n v="98"/>
    <x v="0"/>
    <x v="0"/>
    <n v="0.1439786294499264"/>
    <d v="2025-01-10T00:00:00"/>
    <n v="45698"/>
    <x v="0"/>
  </r>
  <r>
    <s v="SP094"/>
    <s v="Twitter"/>
    <d v="2024-11-13T00:00:00"/>
    <s v="Story"/>
    <s v="Top trending tracks updated daily!"/>
    <n v="4628"/>
    <n v="257"/>
    <n v="397"/>
    <n v="36686"/>
    <n v="54683"/>
    <n v="98"/>
    <x v="1"/>
    <x v="0"/>
    <n v="0.1439786294499264"/>
    <d v="2025-01-10T00:00:00"/>
    <n v="45698"/>
    <x v="0"/>
  </r>
  <r>
    <s v="SP095"/>
    <s v="Instagram"/>
    <d v="2024-03-22T00:00:00"/>
    <s v="Story"/>
    <s v="Discover fresh beats on Spotify!"/>
    <n v="2319"/>
    <n v="484"/>
    <n v="193"/>
    <n v="21202"/>
    <n v="18091"/>
    <n v="241"/>
    <x v="1"/>
    <x v="2"/>
    <n v="0.14130742382794076"/>
    <d v="2024-12-01T00:00:00"/>
    <n v="45657"/>
    <x v="0"/>
  </r>
  <r>
    <s v="SP096"/>
    <s v="Twitter"/>
    <d v="2024-03-16T00:00:00"/>
    <s v="Story"/>
    <s v="Wrapped is here! Relive your top tracks 🎧"/>
    <n v="2895"/>
    <n v="292"/>
    <n v="90"/>
    <n v="24223"/>
    <n v="54626"/>
    <n v="114"/>
    <x v="0"/>
    <x v="0"/>
    <n v="0.13528464682326713"/>
    <d v="2025-01-10T00:00:00"/>
    <n v="45698"/>
    <x v="0"/>
  </r>
  <r>
    <s v="SP096"/>
    <s v="Twitter"/>
    <d v="2024-03-16T00:00:00"/>
    <s v="Story"/>
    <s v="Wrapped is here! Relive your top tracks 🎧"/>
    <n v="2895"/>
    <n v="292"/>
    <n v="90"/>
    <n v="24223"/>
    <n v="54626"/>
    <n v="114"/>
    <x v="1"/>
    <x v="0"/>
    <n v="0.13528464682326713"/>
    <d v="2025-01-10T00:00:00"/>
    <n v="45698"/>
    <x v="0"/>
  </r>
  <r>
    <s v="SP097"/>
    <s v="Instagram"/>
    <d v="2024-01-26T00:00:00"/>
    <s v="Text"/>
    <s v="What's your vibe today? #SpotifyHits"/>
    <n v="3878"/>
    <n v="431"/>
    <n v="97"/>
    <n v="41763"/>
    <n v="29729"/>
    <n v="191"/>
    <x v="2"/>
    <x v="1"/>
    <n v="0.10550008380623997"/>
    <d v="2025-03-01T00:00:00"/>
    <n v="45747"/>
    <x v="0"/>
  </r>
  <r>
    <s v="SP098"/>
    <s v="Twitter"/>
    <d v="2024-03-15T00:00:00"/>
    <s v="Story"/>
    <s v="Get into the groove with our new drop!"/>
    <n v="4969"/>
    <n v="433"/>
    <n v="237"/>
    <n v="59552"/>
    <n v="23885"/>
    <n v="157"/>
    <x v="2"/>
    <x v="0"/>
    <n v="9.4690354648038683E-2"/>
    <d v="2025-01-10T00:00:00"/>
    <n v="45698"/>
    <x v="0"/>
  </r>
  <r>
    <s v="SP098"/>
    <s v="Twitter"/>
    <d v="2024-03-15T00:00:00"/>
    <s v="Story"/>
    <s v="Get into the groove with our new drop!"/>
    <n v="4969"/>
    <n v="433"/>
    <n v="237"/>
    <n v="59552"/>
    <n v="23885"/>
    <n v="157"/>
    <x v="3"/>
    <x v="0"/>
    <n v="9.4690354648038683E-2"/>
    <d v="2025-01-10T00:00:00"/>
    <n v="45698"/>
    <x v="0"/>
  </r>
  <r>
    <s v="SP099"/>
    <s v="Twitter"/>
    <d v="2024-10-15T00:00:00"/>
    <s v="Text"/>
    <s v="Wrapped is here! Relive your top tracks 🎧"/>
    <n v="1984"/>
    <n v="481"/>
    <n v="356"/>
    <n v="40681"/>
    <n v="63111"/>
    <n v="258"/>
    <x v="1"/>
    <x v="0"/>
    <n v="6.934441139598338E-2"/>
    <d v="2025-01-10T00:00:00"/>
    <n v="45698"/>
    <x v="0"/>
  </r>
  <r>
    <s v="SP100"/>
    <s v="Instagram"/>
    <d v="2024-07-21T00:00:00"/>
    <s v="Text"/>
    <s v="Discover fresh beats on Spotify!"/>
    <n v="3004"/>
    <n v="415"/>
    <n v="218"/>
    <n v="36090"/>
    <n v="37073"/>
    <n v="181"/>
    <x v="2"/>
    <x v="1"/>
    <n v="0.10077583818232197"/>
    <d v="2025-03-01T00:00:00"/>
    <n v="45747"/>
    <x v="0"/>
  </r>
  <r>
    <s v="SP101"/>
    <s v="Twitter"/>
    <d v="2024-10-12T00:00:00"/>
    <s v="Text"/>
    <s v="Get into the groove with our new drop!"/>
    <n v="3169"/>
    <n v="386"/>
    <n v="175"/>
    <n v="45012"/>
    <n v="38508"/>
    <n v="218"/>
    <x v="1"/>
    <x v="0"/>
    <n v="8.2866791077934779E-2"/>
    <d v="2025-01-10T00:00:00"/>
    <n v="45698"/>
    <x v="0"/>
  </r>
  <r>
    <s v="SP102"/>
    <s v="Twitter"/>
    <d v="2024-10-26T00:00:00"/>
    <s v="Text"/>
    <s v="Discover fresh beats on Spotify!"/>
    <n v="3036"/>
    <n v="293"/>
    <n v="115"/>
    <n v="23776"/>
    <n v="46386"/>
    <n v="282"/>
    <x v="1"/>
    <x v="0"/>
    <n v="0.14485195154777927"/>
    <d v="2025-01-10T00:00:00"/>
    <n v="45698"/>
    <x v="0"/>
  </r>
  <r>
    <s v="SP103"/>
    <s v="Instagram"/>
    <d v="2024-02-14T00:00:00"/>
    <s v="Text"/>
    <s v="Music that moves you-only on Spotify."/>
    <n v="1830"/>
    <n v="112"/>
    <n v="181"/>
    <n v="31870"/>
    <n v="55742"/>
    <n v="263"/>
    <x v="0"/>
    <x v="0"/>
    <n v="6.6614370881706936E-2"/>
    <d v="2025-01-10T00:00:00"/>
    <n v="45698"/>
    <x v="0"/>
  </r>
  <r>
    <s v="SP103"/>
    <s v="Instagram"/>
    <d v="2024-02-14T00:00:00"/>
    <s v="Text"/>
    <s v="Music that moves you-only on Spotify."/>
    <n v="1830"/>
    <n v="112"/>
    <n v="181"/>
    <n v="31870"/>
    <n v="55742"/>
    <n v="263"/>
    <x v="1"/>
    <x v="0"/>
    <n v="6.6614370881706936E-2"/>
    <d v="2025-01-10T00:00:00"/>
    <n v="45698"/>
    <x v="0"/>
  </r>
  <r>
    <s v="SP104"/>
    <s v="Twitter"/>
    <d v="2024-05-01T00:00:00"/>
    <s v="Story"/>
    <s v="What's your vibe today? #SpotifyHits"/>
    <n v="2587"/>
    <n v="447"/>
    <n v="183"/>
    <n v="36266"/>
    <n v="32877"/>
    <n v="132"/>
    <x v="2"/>
    <x v="0"/>
    <n v="8.8705674736667947E-2"/>
    <d v="2025-01-10T00:00:00"/>
    <n v="45698"/>
    <x v="0"/>
  </r>
  <r>
    <s v="SP104"/>
    <s v="Twitter"/>
    <d v="2024-05-01T00:00:00"/>
    <s v="Story"/>
    <s v="What's your vibe today? #SpotifyHits"/>
    <n v="2587"/>
    <n v="447"/>
    <n v="183"/>
    <n v="36266"/>
    <n v="32877"/>
    <n v="132"/>
    <x v="3"/>
    <x v="0"/>
    <n v="8.8705674736667947E-2"/>
    <d v="2025-01-10T00:00:00"/>
    <n v="45698"/>
    <x v="0"/>
  </r>
  <r>
    <s v="SP105"/>
    <s v="Twitter"/>
    <d v="2024-09-18T00:00:00"/>
    <s v="Text"/>
    <s v="Discover fresh beats on Spotify!"/>
    <n v="2878"/>
    <n v="265"/>
    <n v="91"/>
    <n v="52090"/>
    <n v="28924"/>
    <n v="133"/>
    <x v="1"/>
    <x v="0"/>
    <n v="6.2084853138798232E-2"/>
    <d v="2025-01-10T00:00:00"/>
    <n v="45698"/>
    <x v="0"/>
  </r>
  <r>
    <s v="SP106"/>
    <s v="Twitter"/>
    <d v="2025-01-20T00:00:00"/>
    <s v="Story"/>
    <s v="New music just dropped. Hit play!"/>
    <n v="4619"/>
    <n v="272"/>
    <n v="57"/>
    <n v="21334"/>
    <n v="46292"/>
    <n v="91"/>
    <x v="0"/>
    <x v="0"/>
    <n v="0.23193025217961938"/>
    <d v="2025-01-10T00:00:00"/>
    <n v="45698"/>
    <x v="1"/>
  </r>
  <r>
    <s v="SP106"/>
    <s v="Twitter"/>
    <d v="2025-01-20T00:00:00"/>
    <s v="Story"/>
    <s v="New music just dropped. Hit play!"/>
    <n v="4619"/>
    <n v="272"/>
    <n v="57"/>
    <n v="21334"/>
    <n v="46292"/>
    <n v="91"/>
    <x v="1"/>
    <x v="0"/>
    <n v="0.23193025217961938"/>
    <d v="2025-01-10T00:00:00"/>
    <n v="45698"/>
    <x v="1"/>
  </r>
  <r>
    <s v="SP107"/>
    <s v="Twitter"/>
    <d v="2025-01-13T00:00:00"/>
    <s v="Text"/>
    <s v="Music that moves you-only on Spotify."/>
    <n v="4090"/>
    <n v="209"/>
    <n v="278"/>
    <n v="52853"/>
    <n v="57084"/>
    <n v="102"/>
    <x v="0"/>
    <x v="1"/>
    <n v="8.6598679355949518E-2"/>
    <d v="2025-03-01T00:00:00"/>
    <n v="45747"/>
    <x v="0"/>
  </r>
  <r>
    <s v="SP108"/>
    <s v="YouTube"/>
    <d v="2024-09-07T00:00:00"/>
    <s v="Reel"/>
    <s v="Music that moves you-only on Spotify."/>
    <n v="3882"/>
    <n v="342"/>
    <n v="374"/>
    <n v="41991"/>
    <n v="48554"/>
    <n v="118"/>
    <x v="2"/>
    <x v="3"/>
    <n v="0.10949965468790931"/>
    <d v="2024-06-15T00:00:00"/>
    <n v="45488"/>
    <x v="0"/>
  </r>
  <r>
    <s v="SP108"/>
    <s v="YouTube"/>
    <d v="2024-09-07T00:00:00"/>
    <s v="Reel"/>
    <s v="Music that moves you-only on Spotify."/>
    <n v="3882"/>
    <n v="342"/>
    <n v="374"/>
    <n v="41991"/>
    <n v="48554"/>
    <n v="118"/>
    <x v="0"/>
    <x v="3"/>
    <n v="0.10949965468790931"/>
    <d v="2024-06-15T00:00:00"/>
    <n v="45488"/>
    <x v="0"/>
  </r>
  <r>
    <s v="SP109"/>
    <s v="Instagram"/>
    <d v="2024-11-21T00:00:00"/>
    <s v="Text"/>
    <s v="Music that moves you-only on Spotify."/>
    <n v="4581"/>
    <n v="181"/>
    <n v="112"/>
    <n v="35221"/>
    <n v="28797"/>
    <n v="164"/>
    <x v="0"/>
    <x v="0"/>
    <n v="0.13838335084182732"/>
    <d v="2025-01-10T00:00:00"/>
    <n v="45698"/>
    <x v="0"/>
  </r>
  <r>
    <s v="SP109"/>
    <s v="Instagram"/>
    <d v="2024-11-21T00:00:00"/>
    <s v="Text"/>
    <s v="Music that moves you-only on Spotify."/>
    <n v="4581"/>
    <n v="181"/>
    <n v="112"/>
    <n v="35221"/>
    <n v="28797"/>
    <n v="164"/>
    <x v="1"/>
    <x v="0"/>
    <n v="0.13838335084182732"/>
    <d v="2025-01-10T00:00:00"/>
    <n v="45698"/>
    <x v="0"/>
  </r>
  <r>
    <s v="SP110"/>
    <s v="Instagram"/>
    <d v="2024-06-26T00:00:00"/>
    <s v="Text"/>
    <s v="New music just dropped. Hit play!"/>
    <n v="3253"/>
    <n v="483"/>
    <n v="336"/>
    <n v="25397"/>
    <n v="51485"/>
    <n v="131"/>
    <x v="2"/>
    <x v="1"/>
    <n v="0.16033389770445328"/>
    <d v="2025-03-01T00:00:00"/>
    <n v="45747"/>
    <x v="0"/>
  </r>
  <r>
    <s v="SP111"/>
    <s v="YouTube"/>
    <d v="2024-07-20T00:00:00"/>
    <s v="Reel"/>
    <s v="Music that moves you-only on Spotify."/>
    <n v="4955"/>
    <n v="299"/>
    <n v="345"/>
    <n v="33644"/>
    <n v="43547"/>
    <n v="194"/>
    <x v="2"/>
    <x v="3"/>
    <n v="0.16641897515158721"/>
    <d v="2024-06-15T00:00:00"/>
    <n v="45488"/>
    <x v="0"/>
  </r>
  <r>
    <s v="SP111"/>
    <s v="YouTube"/>
    <d v="2024-07-20T00:00:00"/>
    <s v="Reel"/>
    <s v="Music that moves you-only on Spotify."/>
    <n v="4955"/>
    <n v="299"/>
    <n v="345"/>
    <n v="33644"/>
    <n v="43547"/>
    <n v="194"/>
    <x v="0"/>
    <x v="3"/>
    <n v="0.16641897515158721"/>
    <d v="2024-06-15T00:00:00"/>
    <n v="45488"/>
    <x v="0"/>
  </r>
  <r>
    <s v="SP112"/>
    <s v="Instagram"/>
    <d v="2025-02-16T00:00:00"/>
    <s v="Text"/>
    <s v="Your weekend playlist is waiting."/>
    <n v="1333"/>
    <n v="286"/>
    <n v="298"/>
    <n v="36174"/>
    <n v="34517"/>
    <n v="170"/>
    <x v="0"/>
    <x v="0"/>
    <n v="5.2993862995521647E-2"/>
    <d v="2025-01-10T00:00:00"/>
    <n v="45698"/>
    <x v="0"/>
  </r>
  <r>
    <s v="SP112"/>
    <s v="Instagram"/>
    <d v="2025-02-16T00:00:00"/>
    <s v="Text"/>
    <s v="Your weekend playlist is waiting."/>
    <n v="1333"/>
    <n v="286"/>
    <n v="298"/>
    <n v="36174"/>
    <n v="34517"/>
    <n v="170"/>
    <x v="1"/>
    <x v="0"/>
    <n v="5.2993862995521647E-2"/>
    <d v="2025-01-10T00:00:00"/>
    <n v="45698"/>
    <x v="0"/>
  </r>
  <r>
    <s v="SP113"/>
    <s v="Instagram"/>
    <d v="2024-09-09T00:00:00"/>
    <s v="Text"/>
    <s v="New music just dropped. Hit play!"/>
    <n v="1616"/>
    <n v="360"/>
    <n v="180"/>
    <n v="54342"/>
    <n v="18796"/>
    <n v="282"/>
    <x v="0"/>
    <x v="0"/>
    <n v="3.9674653122814763E-2"/>
    <d v="2025-01-10T00:00:00"/>
    <n v="45698"/>
    <x v="0"/>
  </r>
  <r>
    <s v="SP113"/>
    <s v="Instagram"/>
    <d v="2024-09-09T00:00:00"/>
    <s v="Text"/>
    <s v="New music just dropped. Hit play!"/>
    <n v="1616"/>
    <n v="360"/>
    <n v="180"/>
    <n v="54342"/>
    <n v="18796"/>
    <n v="282"/>
    <x v="1"/>
    <x v="0"/>
    <n v="3.9674653122814763E-2"/>
    <d v="2025-01-10T00:00:00"/>
    <n v="45698"/>
    <x v="0"/>
  </r>
  <r>
    <s v="SP114"/>
    <s v="Twitter"/>
    <d v="2024-07-16T00:00:00"/>
    <s v="Text"/>
    <s v="Top trending tracks updated daily!"/>
    <n v="1803"/>
    <n v="273"/>
    <n v="287"/>
    <n v="46176"/>
    <n v="25488"/>
    <n v="141"/>
    <x v="1"/>
    <x v="0"/>
    <n v="5.1173769923769923E-2"/>
    <d v="2025-01-10T00:00:00"/>
    <n v="45698"/>
    <x v="0"/>
  </r>
  <r>
    <s v="SP115"/>
    <s v="Instagram"/>
    <d v="2025-04-15T00:00:00"/>
    <s v="Text"/>
    <s v="Explore the latest podcasts now."/>
    <n v="4177"/>
    <n v="489"/>
    <n v="331"/>
    <n v="57451"/>
    <n v="73793"/>
    <n v="251"/>
    <x v="2"/>
    <x v="1"/>
    <n v="8.6978468608031198E-2"/>
    <d v="2025-03-01T00:00:00"/>
    <n v="45747"/>
    <x v="0"/>
  </r>
  <r>
    <s v="SP116"/>
    <s v="Instagram"/>
    <d v="2025-05-04T00:00:00"/>
    <s v="Story"/>
    <s v="New music just dropped. Hit play!"/>
    <n v="1311"/>
    <n v="181"/>
    <n v="361"/>
    <n v="37148"/>
    <n v="44875"/>
    <n v="245"/>
    <x v="1"/>
    <x v="2"/>
    <n v="4.9881554861634543E-2"/>
    <d v="2024-12-01T00:00:00"/>
    <n v="45657"/>
    <x v="0"/>
  </r>
  <r>
    <s v="SP117"/>
    <s v="Instagram"/>
    <d v="2024-02-18T00:00:00"/>
    <s v="Story"/>
    <s v="From pop to podcasts, it's all here."/>
    <n v="1516"/>
    <n v="215"/>
    <n v="332"/>
    <n v="58981"/>
    <n v="36118"/>
    <n v="211"/>
    <x v="1"/>
    <x v="2"/>
    <n v="3.4977365592309385E-2"/>
    <d v="2024-12-01T00:00:00"/>
    <n v="45657"/>
    <x v="0"/>
  </r>
  <r>
    <s v="SP118"/>
    <s v="Twitter"/>
    <d v="2024-05-16T00:00:00"/>
    <s v="Story"/>
    <s v="Music that moves you-only on Spotify."/>
    <n v="2023"/>
    <n v="124"/>
    <n v="99"/>
    <n v="54524"/>
    <n v="34790"/>
    <n v="195"/>
    <x v="2"/>
    <x v="0"/>
    <n v="4.1192869195216787E-2"/>
    <d v="2025-01-10T00:00:00"/>
    <n v="45698"/>
    <x v="0"/>
  </r>
  <r>
    <s v="SP118"/>
    <s v="Twitter"/>
    <d v="2024-05-16T00:00:00"/>
    <s v="Story"/>
    <s v="Music that moves you-only on Spotify."/>
    <n v="2023"/>
    <n v="124"/>
    <n v="99"/>
    <n v="54524"/>
    <n v="34790"/>
    <n v="195"/>
    <x v="3"/>
    <x v="0"/>
    <n v="4.1192869195216787E-2"/>
    <d v="2025-01-10T00:00:00"/>
    <n v="45698"/>
    <x v="0"/>
  </r>
  <r>
    <s v="SP119"/>
    <s v="Twitter"/>
    <d v="2025-05-29T00:00:00"/>
    <s v="Story"/>
    <s v="Music that moves you-only on Spotify."/>
    <n v="2134"/>
    <n v="322"/>
    <n v="114"/>
    <n v="44338"/>
    <n v="52165"/>
    <n v="176"/>
    <x v="3"/>
    <x v="0"/>
    <n v="5.7963823356939871E-2"/>
    <d v="2025-01-10T00:00:00"/>
    <n v="45698"/>
    <x v="0"/>
  </r>
  <r>
    <s v="SP119"/>
    <s v="Twitter"/>
    <d v="2025-05-29T00:00:00"/>
    <s v="Story"/>
    <s v="Music that moves you-only on Spotify."/>
    <n v="2134"/>
    <n v="322"/>
    <n v="114"/>
    <n v="44338"/>
    <n v="52165"/>
    <n v="176"/>
    <x v="1"/>
    <x v="0"/>
    <n v="5.7963823356939871E-2"/>
    <d v="2025-01-10T00:00:00"/>
    <n v="45698"/>
    <x v="0"/>
  </r>
  <r>
    <s v="SP120"/>
    <s v="Instagram"/>
    <d v="2025-01-17T00:00:00"/>
    <s v="Text"/>
    <s v="Top trending tracks updated daily!"/>
    <n v="2266"/>
    <n v="126"/>
    <n v="140"/>
    <n v="53759"/>
    <n v="46834"/>
    <n v="277"/>
    <x v="2"/>
    <x v="1"/>
    <n v="4.7099090384865788E-2"/>
    <d v="2025-03-01T00:00:00"/>
    <n v="45747"/>
    <x v="0"/>
  </r>
  <r>
    <s v="SP121"/>
    <s v="Instagram"/>
    <d v="2025-04-30T00:00:00"/>
    <s v="Story"/>
    <s v="New music just dropped. Hit play!"/>
    <n v="3916"/>
    <n v="459"/>
    <n v="229"/>
    <n v="48989"/>
    <n v="39768"/>
    <n v="200"/>
    <x v="1"/>
    <x v="2"/>
    <n v="9.3980281287635997E-2"/>
    <d v="2024-12-01T00:00:00"/>
    <n v="45657"/>
    <x v="0"/>
  </r>
  <r>
    <s v="SP122"/>
    <s v="Twitter"/>
    <d v="2024-02-24T00:00:00"/>
    <s v="Story"/>
    <s v="Music that moves you-only on Spotify."/>
    <n v="1022"/>
    <n v="463"/>
    <n v="360"/>
    <n v="51468"/>
    <n v="24279"/>
    <n v="230"/>
    <x v="2"/>
    <x v="0"/>
    <n v="3.5847516903707161E-2"/>
    <d v="2025-01-10T00:00:00"/>
    <n v="45698"/>
    <x v="0"/>
  </r>
  <r>
    <s v="SP122"/>
    <s v="Twitter"/>
    <d v="2024-02-24T00:00:00"/>
    <s v="Story"/>
    <s v="Music that moves you-only on Spotify."/>
    <n v="1022"/>
    <n v="463"/>
    <n v="360"/>
    <n v="51468"/>
    <n v="24279"/>
    <n v="230"/>
    <x v="3"/>
    <x v="0"/>
    <n v="3.5847516903707161E-2"/>
    <d v="2025-01-10T00:00:00"/>
    <n v="45698"/>
    <x v="0"/>
  </r>
  <r>
    <s v="SP123"/>
    <s v="YouTube"/>
    <d v="2024-05-12T00:00:00"/>
    <s v="Text"/>
    <s v="From pop to podcasts, it's all here."/>
    <n v="2911"/>
    <n v="467"/>
    <n v="94"/>
    <n v="59083"/>
    <n v="49762"/>
    <n v="236"/>
    <x v="2"/>
    <x v="1"/>
    <n v="5.8764788517847777E-2"/>
    <d v="2025-03-01T00:00:00"/>
    <n v="45747"/>
    <x v="0"/>
  </r>
  <r>
    <s v="SP123"/>
    <s v="YouTube"/>
    <d v="2024-05-12T00:00:00"/>
    <s v="Text"/>
    <s v="From pop to podcasts, it's all here."/>
    <n v="2911"/>
    <n v="467"/>
    <n v="94"/>
    <n v="59083"/>
    <n v="49762"/>
    <n v="236"/>
    <x v="4"/>
    <x v="1"/>
    <n v="5.8764788517847777E-2"/>
    <d v="2025-03-01T00:00:00"/>
    <n v="45747"/>
    <x v="0"/>
  </r>
  <r>
    <s v="SP124"/>
    <s v="Twitter"/>
    <d v="2024-05-09T00:00:00"/>
    <s v="Story"/>
    <s v="New music just dropped. Hit play!"/>
    <n v="3277"/>
    <n v="423"/>
    <n v="259"/>
    <n v="46328"/>
    <n v="44293"/>
    <n v="299"/>
    <x v="0"/>
    <x v="0"/>
    <n v="8.5455879813503707E-2"/>
    <d v="2025-01-10T00:00:00"/>
    <n v="45698"/>
    <x v="0"/>
  </r>
  <r>
    <s v="SP124"/>
    <s v="Twitter"/>
    <d v="2024-05-09T00:00:00"/>
    <s v="Story"/>
    <s v="New music just dropped. Hit play!"/>
    <n v="3277"/>
    <n v="423"/>
    <n v="259"/>
    <n v="46328"/>
    <n v="44293"/>
    <n v="299"/>
    <x v="1"/>
    <x v="0"/>
    <n v="8.5455879813503707E-2"/>
    <d v="2025-01-10T00:00:00"/>
    <n v="45698"/>
    <x v="0"/>
  </r>
  <r>
    <s v="SP125"/>
    <s v="Twitter"/>
    <d v="2024-11-06T00:00:00"/>
    <s v="Text"/>
    <s v="From pop to podcasts, it's all here."/>
    <n v="2956"/>
    <n v="381"/>
    <n v="345"/>
    <n v="33347"/>
    <n v="22558"/>
    <n v="173"/>
    <x v="1"/>
    <x v="0"/>
    <n v="0.11041472996071611"/>
    <d v="2025-01-10T00:00:00"/>
    <n v="45698"/>
    <x v="0"/>
  </r>
  <r>
    <s v="SP126"/>
    <s v="Twitter"/>
    <d v="2024-01-04T00:00:00"/>
    <s v="Story"/>
    <s v="What's your vibe today? #SpotifyHits"/>
    <n v="3208"/>
    <n v="476"/>
    <n v="277"/>
    <n v="56072"/>
    <n v="21061"/>
    <n v="113"/>
    <x v="3"/>
    <x v="0"/>
    <n v="7.064131830503638E-2"/>
    <d v="2025-01-10T00:00:00"/>
    <n v="45698"/>
    <x v="0"/>
  </r>
  <r>
    <s v="SP126"/>
    <s v="Twitter"/>
    <d v="2024-01-04T00:00:00"/>
    <s v="Story"/>
    <s v="What's your vibe today? #SpotifyHits"/>
    <n v="3208"/>
    <n v="476"/>
    <n v="277"/>
    <n v="56072"/>
    <n v="21061"/>
    <n v="113"/>
    <x v="1"/>
    <x v="0"/>
    <n v="7.064131830503638E-2"/>
    <d v="2025-01-10T00:00:00"/>
    <n v="45698"/>
    <x v="0"/>
  </r>
  <r>
    <s v="SP127"/>
    <s v="Twitter"/>
    <d v="2024-01-28T00:00:00"/>
    <s v="Text"/>
    <s v="Music that moves you-only on Spotify."/>
    <n v="1456"/>
    <n v="265"/>
    <n v="137"/>
    <n v="53485"/>
    <n v="59729"/>
    <n v="145"/>
    <x v="0"/>
    <x v="1"/>
    <n v="3.4738711788351875E-2"/>
    <d v="2025-03-01T00:00:00"/>
    <n v="45747"/>
    <x v="0"/>
  </r>
  <r>
    <s v="SP128"/>
    <s v="Instagram"/>
    <d v="2024-02-22T00:00:00"/>
    <s v="Text"/>
    <s v="New music just dropped. Hit play!"/>
    <n v="1902"/>
    <n v="394"/>
    <n v="279"/>
    <n v="24615"/>
    <n v="51330"/>
    <n v="176"/>
    <x v="0"/>
    <x v="0"/>
    <n v="0.10461100954702417"/>
    <d v="2025-01-10T00:00:00"/>
    <n v="45698"/>
    <x v="0"/>
  </r>
  <r>
    <s v="SP128"/>
    <s v="Instagram"/>
    <d v="2024-02-22T00:00:00"/>
    <s v="Text"/>
    <s v="New music just dropped. Hit play!"/>
    <n v="1902"/>
    <n v="394"/>
    <n v="279"/>
    <n v="24615"/>
    <n v="51330"/>
    <n v="176"/>
    <x v="1"/>
    <x v="0"/>
    <n v="0.10461100954702417"/>
    <d v="2025-01-10T00:00:00"/>
    <n v="45698"/>
    <x v="0"/>
  </r>
  <r>
    <s v="SP129"/>
    <s v="Twitter"/>
    <d v="2025-07-01T00:00:00"/>
    <s v="Story"/>
    <s v="Explore the latest podcasts now."/>
    <n v="3219"/>
    <n v="424"/>
    <n v="267"/>
    <n v="48879"/>
    <n v="37691"/>
    <n v="224"/>
    <x v="2"/>
    <x v="0"/>
    <n v="7.9993453221219743E-2"/>
    <d v="2025-01-10T00:00:00"/>
    <n v="45698"/>
    <x v="0"/>
  </r>
  <r>
    <s v="SP129"/>
    <s v="Twitter"/>
    <d v="2025-07-01T00:00:00"/>
    <s v="Story"/>
    <s v="Explore the latest podcasts now."/>
    <n v="3219"/>
    <n v="424"/>
    <n v="267"/>
    <n v="48879"/>
    <n v="37691"/>
    <n v="224"/>
    <x v="3"/>
    <x v="0"/>
    <n v="7.9993453221219743E-2"/>
    <d v="2025-01-10T00:00:00"/>
    <n v="45698"/>
    <x v="0"/>
  </r>
  <r>
    <s v="SP130"/>
    <s v="YouTube"/>
    <d v="2024-01-10T00:00:00"/>
    <s v="Text"/>
    <s v="Explore the latest podcasts now."/>
    <n v="1261"/>
    <n v="190"/>
    <n v="233"/>
    <n v="59888"/>
    <n v="51449"/>
    <n v="205"/>
    <x v="2"/>
    <x v="1"/>
    <n v="2.811915575741384E-2"/>
    <d v="2025-03-01T00:00:00"/>
    <n v="45747"/>
    <x v="0"/>
  </r>
  <r>
    <s v="SP130"/>
    <s v="YouTube"/>
    <d v="2024-01-10T00:00:00"/>
    <s v="Text"/>
    <s v="Explore the latest podcasts now."/>
    <n v="1261"/>
    <n v="190"/>
    <n v="233"/>
    <n v="59888"/>
    <n v="51449"/>
    <n v="205"/>
    <x v="4"/>
    <x v="1"/>
    <n v="2.811915575741384E-2"/>
    <d v="2025-03-01T00:00:00"/>
    <n v="45747"/>
    <x v="0"/>
  </r>
  <r>
    <s v="SP131"/>
    <s v="Twitter"/>
    <d v="2025-03-20T00:00:00"/>
    <s v="Text"/>
    <s v="Your weekend playlist is waiting."/>
    <n v="1564"/>
    <n v="362"/>
    <n v="371"/>
    <n v="42075"/>
    <n v="66659"/>
    <n v="205"/>
    <x v="0"/>
    <x v="1"/>
    <n v="5.4592988710635768E-2"/>
    <d v="2025-03-01T00:00:00"/>
    <n v="45747"/>
    <x v="1"/>
  </r>
  <r>
    <s v="SP132"/>
    <s v="Twitter"/>
    <d v="2024-09-28T00:00:00"/>
    <s v="Text"/>
    <s v="What's your vibe today? #SpotifyHits"/>
    <n v="4006"/>
    <n v="420"/>
    <n v="194"/>
    <n v="49964"/>
    <n v="20685"/>
    <n v="148"/>
    <x v="1"/>
    <x v="0"/>
    <n v="9.2466575934672959E-2"/>
    <d v="2025-01-10T00:00:00"/>
    <n v="45698"/>
    <x v="0"/>
  </r>
  <r>
    <s v="SP133"/>
    <s v="YouTube"/>
    <d v="2024-01-27T00:00:00"/>
    <s v="Text"/>
    <s v="Your weekend playlist is waiting."/>
    <n v="1976"/>
    <n v="262"/>
    <n v="218"/>
    <n v="51696"/>
    <n v="44846"/>
    <n v="139"/>
    <x v="2"/>
    <x v="1"/>
    <n v="4.7508511296812134E-2"/>
    <d v="2025-03-01T00:00:00"/>
    <n v="45747"/>
    <x v="0"/>
  </r>
  <r>
    <s v="SP133"/>
    <s v="YouTube"/>
    <d v="2024-01-27T00:00:00"/>
    <s v="Text"/>
    <s v="Your weekend playlist is waiting."/>
    <n v="1976"/>
    <n v="262"/>
    <n v="218"/>
    <n v="51696"/>
    <n v="44846"/>
    <n v="139"/>
    <x v="4"/>
    <x v="1"/>
    <n v="4.7508511296812134E-2"/>
    <d v="2025-03-01T00:00:00"/>
    <n v="45747"/>
    <x v="0"/>
  </r>
  <r>
    <s v="SP134"/>
    <s v="Twitter"/>
    <d v="2025-05-15T00:00:00"/>
    <s v="Text"/>
    <s v="New music just dropped. Hit play!"/>
    <n v="1583"/>
    <n v="433"/>
    <n v="249"/>
    <n v="30256"/>
    <n v="47066"/>
    <n v="196"/>
    <x v="1"/>
    <x v="0"/>
    <n v="7.4861184558434685E-2"/>
    <d v="2025-01-10T00:00:00"/>
    <n v="45698"/>
    <x v="0"/>
  </r>
  <r>
    <s v="SP135"/>
    <s v="Twitter"/>
    <d v="2024-10-04T00:00:00"/>
    <s v="Story"/>
    <s v="Explore the latest podcasts now."/>
    <n v="2870"/>
    <n v="380"/>
    <n v="393"/>
    <n v="37621"/>
    <n v="71794"/>
    <n v="127"/>
    <x v="3"/>
    <x v="0"/>
    <n v="9.6834214933149046E-2"/>
    <d v="2025-01-10T00:00:00"/>
    <n v="45698"/>
    <x v="0"/>
  </r>
  <r>
    <s v="SP135"/>
    <s v="Twitter"/>
    <d v="2024-10-04T00:00:00"/>
    <s v="Story"/>
    <s v="Explore the latest podcasts now."/>
    <n v="2870"/>
    <n v="380"/>
    <n v="393"/>
    <n v="37621"/>
    <n v="71794"/>
    <n v="127"/>
    <x v="1"/>
    <x v="0"/>
    <n v="9.6834214933149046E-2"/>
    <d v="2025-01-10T00:00:00"/>
    <n v="45698"/>
    <x v="0"/>
  </r>
  <r>
    <s v="SP136"/>
    <s v="Twitter"/>
    <d v="2024-11-19T00:00:00"/>
    <s v="Text"/>
    <s v="Top trending tracks updated daily!"/>
    <n v="3728"/>
    <n v="271"/>
    <n v="275"/>
    <n v="22827"/>
    <n v="37034"/>
    <n v="199"/>
    <x v="1"/>
    <x v="0"/>
    <n v="0.18723441538528934"/>
    <d v="2025-01-10T00:00:00"/>
    <n v="45698"/>
    <x v="0"/>
  </r>
  <r>
    <s v="SP137"/>
    <s v="Twitter"/>
    <d v="2024-04-05T00:00:00"/>
    <s v="Story"/>
    <s v="New music just dropped. Hit play!"/>
    <n v="4965"/>
    <n v="175"/>
    <n v="307"/>
    <n v="32793"/>
    <n v="43412"/>
    <n v="296"/>
    <x v="0"/>
    <x v="0"/>
    <n v="0.16610252187966945"/>
    <d v="2025-01-10T00:00:00"/>
    <n v="45698"/>
    <x v="0"/>
  </r>
  <r>
    <s v="SP137"/>
    <s v="Twitter"/>
    <d v="2024-04-05T00:00:00"/>
    <s v="Story"/>
    <s v="New music just dropped. Hit play!"/>
    <n v="4965"/>
    <n v="175"/>
    <n v="307"/>
    <n v="32793"/>
    <n v="43412"/>
    <n v="296"/>
    <x v="1"/>
    <x v="0"/>
    <n v="0.16610252187966945"/>
    <d v="2025-01-10T00:00:00"/>
    <n v="45698"/>
    <x v="0"/>
  </r>
  <r>
    <s v="SP138"/>
    <s v="Twitter"/>
    <d v="2024-11-28T00:00:00"/>
    <s v="Story"/>
    <s v="New music just dropped. Hit play!"/>
    <n v="1131"/>
    <n v="100"/>
    <n v="116"/>
    <n v="48437"/>
    <n v="72704"/>
    <n v="236"/>
    <x v="2"/>
    <x v="0"/>
    <n v="2.7809319322005904E-2"/>
    <d v="2025-01-10T00:00:00"/>
    <n v="45698"/>
    <x v="0"/>
  </r>
  <r>
    <s v="SP138"/>
    <s v="Twitter"/>
    <d v="2024-11-28T00:00:00"/>
    <s v="Story"/>
    <s v="New music just dropped. Hit play!"/>
    <n v="1131"/>
    <n v="100"/>
    <n v="116"/>
    <n v="48437"/>
    <n v="72704"/>
    <n v="236"/>
    <x v="3"/>
    <x v="0"/>
    <n v="2.7809319322005904E-2"/>
    <d v="2025-01-10T00:00:00"/>
    <n v="45698"/>
    <x v="0"/>
  </r>
  <r>
    <s v="SP139"/>
    <s v="Twitter"/>
    <d v="2025-03-09T00:00:00"/>
    <s v="Text"/>
    <s v="Your weekend playlist is waiting."/>
    <n v="2754"/>
    <n v="215"/>
    <n v="264"/>
    <n v="27762"/>
    <n v="70203"/>
    <n v="289"/>
    <x v="1"/>
    <x v="0"/>
    <n v="0.11645414595490239"/>
    <d v="2025-01-10T00:00:00"/>
    <n v="45698"/>
    <x v="0"/>
  </r>
  <r>
    <s v="SP140"/>
    <s v="Twitter"/>
    <d v="2024-08-27T00:00:00"/>
    <s v="Story"/>
    <s v="New music just dropped. Hit play!"/>
    <n v="1856"/>
    <n v="357"/>
    <n v="348"/>
    <n v="29428"/>
    <n v="70206"/>
    <n v="236"/>
    <x v="3"/>
    <x v="0"/>
    <n v="8.702596166915863E-2"/>
    <d v="2025-01-10T00:00:00"/>
    <n v="45698"/>
    <x v="0"/>
  </r>
  <r>
    <s v="SP140"/>
    <s v="Twitter"/>
    <d v="2024-08-27T00:00:00"/>
    <s v="Story"/>
    <s v="New music just dropped. Hit play!"/>
    <n v="1856"/>
    <n v="357"/>
    <n v="348"/>
    <n v="29428"/>
    <n v="70206"/>
    <n v="236"/>
    <x v="1"/>
    <x v="0"/>
    <n v="8.702596166915863E-2"/>
    <d v="2025-01-10T00:00:00"/>
    <n v="45698"/>
    <x v="0"/>
  </r>
  <r>
    <s v="SP141"/>
    <s v="YouTube"/>
    <d v="2024-10-01T00:00:00"/>
    <s v="Reel"/>
    <s v="Explore the latest podcasts now."/>
    <n v="3543"/>
    <n v="334"/>
    <n v="218"/>
    <n v="58007"/>
    <n v="24792"/>
    <n v="273"/>
    <x v="2"/>
    <x v="3"/>
    <n v="7.0594928198320889E-2"/>
    <d v="2024-06-15T00:00:00"/>
    <n v="45488"/>
    <x v="0"/>
  </r>
  <r>
    <s v="SP141"/>
    <s v="YouTube"/>
    <d v="2024-10-01T00:00:00"/>
    <s v="Reel"/>
    <s v="Explore the latest podcasts now."/>
    <n v="3543"/>
    <n v="334"/>
    <n v="218"/>
    <n v="58007"/>
    <n v="24792"/>
    <n v="273"/>
    <x v="0"/>
    <x v="3"/>
    <n v="7.0594928198320889E-2"/>
    <d v="2024-06-15T00:00:00"/>
    <n v="45488"/>
    <x v="0"/>
  </r>
  <r>
    <s v="SP142"/>
    <s v="Instagram"/>
    <d v="2024-12-21T00:00:00"/>
    <s v="Story"/>
    <s v="New music just dropped. Hit play!"/>
    <n v="4563"/>
    <n v="398"/>
    <n v="163"/>
    <n v="43679"/>
    <n v="48760"/>
    <n v="92"/>
    <x v="1"/>
    <x v="2"/>
    <n v="0.11731037798484398"/>
    <d v="2024-12-01T00:00:00"/>
    <n v="45657"/>
    <x v="1"/>
  </r>
  <r>
    <s v="SP143"/>
    <s v="Instagram"/>
    <d v="2024-06-17T00:00:00"/>
    <s v="Text"/>
    <s v="Discover fresh beats on Spotify!"/>
    <n v="4283"/>
    <n v="471"/>
    <n v="156"/>
    <n v="53004"/>
    <n v="25678"/>
    <n v="105"/>
    <x v="2"/>
    <x v="1"/>
    <n v="9.2634518149573616E-2"/>
    <d v="2025-03-01T00:00:00"/>
    <n v="45747"/>
    <x v="0"/>
  </r>
  <r>
    <s v="SP144"/>
    <s v="Instagram"/>
    <d v="2025-02-14T00:00:00"/>
    <s v="Text"/>
    <s v="Discover fresh beats on Spotify!"/>
    <n v="2329"/>
    <n v="373"/>
    <n v="291"/>
    <n v="49577"/>
    <n v="28002"/>
    <n v="82"/>
    <x v="0"/>
    <x v="0"/>
    <n v="6.0370736430199488E-2"/>
    <d v="2025-01-10T00:00:00"/>
    <n v="45698"/>
    <x v="0"/>
  </r>
  <r>
    <s v="SP144"/>
    <s v="Instagram"/>
    <d v="2025-02-14T00:00:00"/>
    <s v="Text"/>
    <s v="Discover fresh beats on Spotify!"/>
    <n v="2329"/>
    <n v="373"/>
    <n v="291"/>
    <n v="49577"/>
    <n v="28002"/>
    <n v="82"/>
    <x v="1"/>
    <x v="0"/>
    <n v="6.0370736430199488E-2"/>
    <d v="2025-01-10T00:00:00"/>
    <n v="45698"/>
    <x v="0"/>
  </r>
  <r>
    <s v="SP145"/>
    <s v="Twitter"/>
    <d v="2025-05-28T00:00:00"/>
    <s v="Story"/>
    <s v="Top trending tracks updated daily!"/>
    <n v="4287"/>
    <n v="273"/>
    <n v="122"/>
    <n v="40792"/>
    <n v="23878"/>
    <n v="277"/>
    <x v="3"/>
    <x v="0"/>
    <n v="0.11477740733477153"/>
    <d v="2025-01-10T00:00:00"/>
    <n v="45698"/>
    <x v="0"/>
  </r>
  <r>
    <s v="SP145"/>
    <s v="Twitter"/>
    <d v="2025-05-28T00:00:00"/>
    <s v="Story"/>
    <s v="Top trending tracks updated daily!"/>
    <n v="4287"/>
    <n v="273"/>
    <n v="122"/>
    <n v="40792"/>
    <n v="23878"/>
    <n v="277"/>
    <x v="1"/>
    <x v="0"/>
    <n v="0.11477740733477153"/>
    <d v="2025-01-10T00:00:00"/>
    <n v="45698"/>
    <x v="0"/>
  </r>
  <r>
    <s v="SP146"/>
    <s v="Instagram"/>
    <d v="2025-05-22T00:00:00"/>
    <s v="Text"/>
    <s v="Discover fresh beats on Spotify!"/>
    <n v="2633"/>
    <n v="318"/>
    <n v="380"/>
    <n v="40869"/>
    <n v="64474"/>
    <n v="245"/>
    <x v="2"/>
    <x v="1"/>
    <n v="8.1504318676747664E-2"/>
    <d v="2025-03-01T00:00:00"/>
    <n v="45747"/>
    <x v="0"/>
  </r>
  <r>
    <s v="SP147"/>
    <s v="Twitter"/>
    <d v="2024-01-21T00:00:00"/>
    <s v="Story"/>
    <s v="Discover fresh beats on Spotify!"/>
    <n v="2383"/>
    <n v="136"/>
    <n v="302"/>
    <n v="39187"/>
    <n v="22133"/>
    <n v="208"/>
    <x v="3"/>
    <x v="0"/>
    <n v="7.1988159338556151E-2"/>
    <d v="2025-01-10T00:00:00"/>
    <n v="45698"/>
    <x v="0"/>
  </r>
  <r>
    <s v="SP147"/>
    <s v="Twitter"/>
    <d v="2024-01-21T00:00:00"/>
    <s v="Story"/>
    <s v="Discover fresh beats on Spotify!"/>
    <n v="2383"/>
    <n v="136"/>
    <n v="302"/>
    <n v="39187"/>
    <n v="22133"/>
    <n v="208"/>
    <x v="1"/>
    <x v="0"/>
    <n v="7.1988159338556151E-2"/>
    <d v="2025-01-10T00:00:00"/>
    <n v="45698"/>
    <x v="0"/>
  </r>
  <r>
    <s v="SP148"/>
    <s v="Twitter"/>
    <d v="2025-02-08T00:00:00"/>
    <s v="Story"/>
    <s v="Your weekend playlist is waiting."/>
    <n v="4752"/>
    <n v="334"/>
    <n v="56"/>
    <n v="48017"/>
    <n v="55534"/>
    <n v="270"/>
    <x v="2"/>
    <x v="0"/>
    <n v="0.10708707332819627"/>
    <d v="2025-01-10T00:00:00"/>
    <n v="45698"/>
    <x v="1"/>
  </r>
  <r>
    <s v="SP148"/>
    <s v="Twitter"/>
    <d v="2025-02-08T00:00:00"/>
    <s v="Story"/>
    <s v="Your weekend playlist is waiting."/>
    <n v="4752"/>
    <n v="334"/>
    <n v="56"/>
    <n v="48017"/>
    <n v="55534"/>
    <n v="270"/>
    <x v="3"/>
    <x v="0"/>
    <n v="0.10708707332819627"/>
    <d v="2025-01-10T00:00:00"/>
    <n v="45698"/>
    <x v="1"/>
  </r>
  <r>
    <s v="SP149"/>
    <s v="Twitter"/>
    <d v="2025-04-13T00:00:00"/>
    <s v="Text"/>
    <s v="From pop to podcasts, it's all here."/>
    <n v="3890"/>
    <n v="408"/>
    <n v="338"/>
    <n v="56994"/>
    <n v="32621"/>
    <n v="286"/>
    <x v="0"/>
    <x v="1"/>
    <n v="8.1341895638137346E-2"/>
    <d v="2025-03-01T00:00:00"/>
    <n v="45747"/>
    <x v="0"/>
  </r>
  <r>
    <s v="SP150"/>
    <s v="Twitter"/>
    <d v="2024-05-30T00:00:00"/>
    <s v="Story"/>
    <s v="Your weekend playlist is waiting."/>
    <n v="2311"/>
    <n v="207"/>
    <n v="363"/>
    <n v="30349"/>
    <n v="32925"/>
    <n v="88"/>
    <x v="3"/>
    <x v="0"/>
    <n v="9.4928992718046723E-2"/>
    <d v="2025-01-10T00:00:00"/>
    <n v="45698"/>
    <x v="0"/>
  </r>
  <r>
    <s v="SP150"/>
    <s v="Twitter"/>
    <d v="2024-05-30T00:00:00"/>
    <s v="Story"/>
    <s v="Your weekend playlist is waiting."/>
    <n v="2311"/>
    <n v="207"/>
    <n v="363"/>
    <n v="30349"/>
    <n v="32925"/>
    <n v="88"/>
    <x v="1"/>
    <x v="0"/>
    <n v="9.4928992718046723E-2"/>
    <d v="2025-01-10T00:00:00"/>
    <n v="45698"/>
    <x v="0"/>
  </r>
  <r>
    <s v="SP151"/>
    <s v="Instagram"/>
    <d v="2024-08-12T00:00:00"/>
    <s v="Story"/>
    <s v="Discover fresh beats on Spotify!"/>
    <n v="2962"/>
    <n v="400"/>
    <n v="280"/>
    <n v="52508"/>
    <n v="58329"/>
    <n v="219"/>
    <x v="1"/>
    <x v="2"/>
    <n v="6.9360859297630834E-2"/>
    <d v="2024-12-01T00:00:00"/>
    <n v="45657"/>
    <x v="0"/>
  </r>
  <r>
    <s v="SP152"/>
    <s v="Instagram"/>
    <d v="2024-09-27T00:00:00"/>
    <s v="Text"/>
    <s v="Discover fresh beats on Spotify!"/>
    <n v="3118"/>
    <n v="116"/>
    <n v="195"/>
    <n v="37100"/>
    <n v="62629"/>
    <n v="272"/>
    <x v="2"/>
    <x v="1"/>
    <n v="9.2425876010781671E-2"/>
    <d v="2025-03-01T00:00:00"/>
    <n v="45747"/>
    <x v="0"/>
  </r>
  <r>
    <s v="SP153"/>
    <s v="Twitter"/>
    <d v="2025-06-11T00:00:00"/>
    <s v="Story"/>
    <s v="Explore the latest podcasts now."/>
    <n v="3805"/>
    <n v="453"/>
    <n v="63"/>
    <n v="52395"/>
    <n v="72934"/>
    <n v="87"/>
    <x v="2"/>
    <x v="0"/>
    <n v="8.2469701307376658E-2"/>
    <d v="2025-01-10T00:00:00"/>
    <n v="45698"/>
    <x v="0"/>
  </r>
  <r>
    <s v="SP153"/>
    <s v="Twitter"/>
    <d v="2025-06-11T00:00:00"/>
    <s v="Story"/>
    <s v="Explore the latest podcasts now."/>
    <n v="3805"/>
    <n v="453"/>
    <n v="63"/>
    <n v="52395"/>
    <n v="72934"/>
    <n v="87"/>
    <x v="3"/>
    <x v="0"/>
    <n v="8.2469701307376658E-2"/>
    <d v="2025-01-10T00:00:00"/>
    <n v="45698"/>
    <x v="0"/>
  </r>
  <r>
    <s v="SP154"/>
    <s v="Instagram"/>
    <d v="2024-11-19T00:00:00"/>
    <s v="Text"/>
    <s v="What's your vibe today? #SpotifyHits"/>
    <n v="2525"/>
    <n v="272"/>
    <n v="294"/>
    <n v="51875"/>
    <n v="24732"/>
    <n v="92"/>
    <x v="2"/>
    <x v="1"/>
    <n v="5.9585542168674697E-2"/>
    <d v="2025-03-01T00:00:00"/>
    <n v="45747"/>
    <x v="0"/>
  </r>
  <r>
    <s v="SP155"/>
    <s v="Instagram"/>
    <d v="2024-04-25T00:00:00"/>
    <s v="Text"/>
    <s v="Music that moves you-only on Spotify."/>
    <n v="3563"/>
    <n v="483"/>
    <n v="227"/>
    <n v="41085"/>
    <n v="26393"/>
    <n v="236"/>
    <x v="0"/>
    <x v="0"/>
    <n v="0.10400389436534015"/>
    <d v="2025-01-10T00:00:00"/>
    <n v="45698"/>
    <x v="0"/>
  </r>
  <r>
    <s v="SP155"/>
    <s v="Instagram"/>
    <d v="2024-04-25T00:00:00"/>
    <s v="Text"/>
    <s v="Music that moves you-only on Spotify."/>
    <n v="3563"/>
    <n v="483"/>
    <n v="227"/>
    <n v="41085"/>
    <n v="26393"/>
    <n v="236"/>
    <x v="1"/>
    <x v="0"/>
    <n v="0.10400389436534015"/>
    <d v="2025-01-10T00:00:00"/>
    <n v="45698"/>
    <x v="0"/>
  </r>
  <r>
    <s v="SP156"/>
    <s v="YouTube"/>
    <d v="2024-09-03T00:00:00"/>
    <s v="Reel"/>
    <s v="What's your vibe today? #SpotifyHits"/>
    <n v="1437"/>
    <n v="494"/>
    <n v="129"/>
    <n v="53048"/>
    <n v="44090"/>
    <n v="230"/>
    <x v="2"/>
    <x v="3"/>
    <n v="3.8832755240536872E-2"/>
    <d v="2024-06-15T00:00:00"/>
    <n v="45488"/>
    <x v="0"/>
  </r>
  <r>
    <s v="SP156"/>
    <s v="YouTube"/>
    <d v="2024-09-03T00:00:00"/>
    <s v="Reel"/>
    <s v="What's your vibe today? #SpotifyHits"/>
    <n v="1437"/>
    <n v="494"/>
    <n v="129"/>
    <n v="53048"/>
    <n v="44090"/>
    <n v="230"/>
    <x v="0"/>
    <x v="3"/>
    <n v="3.8832755240536872E-2"/>
    <d v="2024-06-15T00:00:00"/>
    <n v="45488"/>
    <x v="0"/>
  </r>
  <r>
    <s v="SP157"/>
    <s v="YouTube"/>
    <d v="2025-03-02T00:00:00"/>
    <s v="Text"/>
    <s v="From pop to podcasts, it's all here."/>
    <n v="4425"/>
    <n v="185"/>
    <n v="162"/>
    <n v="24610"/>
    <n v="21342"/>
    <n v="158"/>
    <x v="2"/>
    <x v="1"/>
    <n v="0.19390491670052823"/>
    <d v="2025-03-01T00:00:00"/>
    <n v="45747"/>
    <x v="1"/>
  </r>
  <r>
    <s v="SP157"/>
    <s v="YouTube"/>
    <d v="2025-03-02T00:00:00"/>
    <s v="Text"/>
    <s v="From pop to podcasts, it's all here."/>
    <n v="4425"/>
    <n v="185"/>
    <n v="162"/>
    <n v="24610"/>
    <n v="21342"/>
    <n v="158"/>
    <x v="4"/>
    <x v="1"/>
    <n v="0.19390491670052823"/>
    <d v="2025-03-01T00:00:00"/>
    <n v="45747"/>
    <x v="1"/>
  </r>
  <r>
    <s v="SP158"/>
    <s v="Twitter"/>
    <d v="2025-03-21T00:00:00"/>
    <s v="Story"/>
    <s v="New music just dropped. Hit play!"/>
    <n v="4609"/>
    <n v="427"/>
    <n v="395"/>
    <n v="33698"/>
    <n v="29259"/>
    <n v="216"/>
    <x v="2"/>
    <x v="0"/>
    <n v="0.16116683482699271"/>
    <d v="2025-01-10T00:00:00"/>
    <n v="45698"/>
    <x v="0"/>
  </r>
  <r>
    <s v="SP158"/>
    <s v="Twitter"/>
    <d v="2025-03-21T00:00:00"/>
    <s v="Story"/>
    <s v="New music just dropped. Hit play!"/>
    <n v="4609"/>
    <n v="427"/>
    <n v="395"/>
    <n v="33698"/>
    <n v="29259"/>
    <n v="216"/>
    <x v="3"/>
    <x v="0"/>
    <n v="0.16116683482699271"/>
    <d v="2025-01-10T00:00:00"/>
    <n v="45698"/>
    <x v="0"/>
  </r>
  <r>
    <s v="SP159"/>
    <s v="Instagram"/>
    <d v="2024-04-12T00:00:00"/>
    <s v="Story"/>
    <s v="Get into the groove with our new drop!"/>
    <n v="1558"/>
    <n v="352"/>
    <n v="202"/>
    <n v="25405"/>
    <n v="69941"/>
    <n v="219"/>
    <x v="1"/>
    <x v="2"/>
    <n v="8.3133241487896081E-2"/>
    <d v="2024-12-01T00:00:00"/>
    <n v="45657"/>
    <x v="0"/>
  </r>
  <r>
    <s v="SP160"/>
    <s v="YouTube"/>
    <d v="2024-02-08T00:00:00"/>
    <s v="Reel"/>
    <s v="Top trending tracks updated daily!"/>
    <n v="1889"/>
    <n v="298"/>
    <n v="122"/>
    <n v="46225"/>
    <n v="74305"/>
    <n v="293"/>
    <x v="2"/>
    <x v="3"/>
    <n v="4.9951325040562468E-2"/>
    <d v="2024-06-15T00:00:00"/>
    <n v="45488"/>
    <x v="0"/>
  </r>
  <r>
    <s v="SP160"/>
    <s v="YouTube"/>
    <d v="2024-02-08T00:00:00"/>
    <s v="Reel"/>
    <s v="Top trending tracks updated daily!"/>
    <n v="1889"/>
    <n v="298"/>
    <n v="122"/>
    <n v="46225"/>
    <n v="74305"/>
    <n v="293"/>
    <x v="0"/>
    <x v="3"/>
    <n v="4.9951325040562468E-2"/>
    <d v="2024-06-15T00:00:00"/>
    <n v="45488"/>
    <x v="0"/>
  </r>
  <r>
    <s v="SP161"/>
    <s v="Instagram"/>
    <d v="2025-05-26T00:00:00"/>
    <s v="Text"/>
    <s v="Discover fresh beats on Spotify!"/>
    <n v="3086"/>
    <n v="148"/>
    <n v="310"/>
    <n v="22824"/>
    <n v="58103"/>
    <n v="275"/>
    <x v="2"/>
    <x v="1"/>
    <n v="0.1552751489660007"/>
    <d v="2025-03-01T00:00:00"/>
    <n v="45747"/>
    <x v="0"/>
  </r>
  <r>
    <s v="SP162"/>
    <s v="Instagram"/>
    <d v="2024-11-14T00:00:00"/>
    <s v="Text"/>
    <s v="Music that moves you-only on Spotify."/>
    <n v="2422"/>
    <n v="318"/>
    <n v="118"/>
    <n v="25386"/>
    <n v="20873"/>
    <n v="100"/>
    <x v="0"/>
    <x v="0"/>
    <n v="0.11258173796580792"/>
    <d v="2025-01-10T00:00:00"/>
    <n v="45698"/>
    <x v="0"/>
  </r>
  <r>
    <s v="SP162"/>
    <s v="Instagram"/>
    <d v="2024-11-14T00:00:00"/>
    <s v="Text"/>
    <s v="Music that moves you-only on Spotify."/>
    <n v="2422"/>
    <n v="318"/>
    <n v="118"/>
    <n v="25386"/>
    <n v="20873"/>
    <n v="100"/>
    <x v="1"/>
    <x v="0"/>
    <n v="0.11258173796580792"/>
    <d v="2025-01-10T00:00:00"/>
    <n v="45698"/>
    <x v="0"/>
  </r>
  <r>
    <s v="SP163"/>
    <s v="YouTube"/>
    <d v="2024-08-09T00:00:00"/>
    <s v="Reel"/>
    <s v="From pop to podcasts, it's all here."/>
    <n v="3414"/>
    <n v="154"/>
    <n v="204"/>
    <n v="34146"/>
    <n v="44633"/>
    <n v="256"/>
    <x v="2"/>
    <x v="3"/>
    <n v="0.11046681895390383"/>
    <d v="2024-06-15T00:00:00"/>
    <n v="45488"/>
    <x v="0"/>
  </r>
  <r>
    <s v="SP163"/>
    <s v="YouTube"/>
    <d v="2024-08-09T00:00:00"/>
    <s v="Reel"/>
    <s v="From pop to podcasts, it's all here."/>
    <n v="3414"/>
    <n v="154"/>
    <n v="204"/>
    <n v="34146"/>
    <n v="44633"/>
    <n v="256"/>
    <x v="0"/>
    <x v="3"/>
    <n v="0.11046681895390383"/>
    <d v="2024-06-15T00:00:00"/>
    <n v="45488"/>
    <x v="0"/>
  </r>
  <r>
    <s v="SP164"/>
    <s v="Instagram"/>
    <d v="2025-06-27T00:00:00"/>
    <s v="Story"/>
    <s v="What's your vibe today? #SpotifyHits"/>
    <n v="1342"/>
    <n v="332"/>
    <n v="163"/>
    <n v="51712"/>
    <n v="57922"/>
    <n v="168"/>
    <x v="1"/>
    <x v="2"/>
    <n v="3.5523669554455448E-2"/>
    <d v="2024-12-01T00:00:00"/>
    <n v="45657"/>
    <x v="0"/>
  </r>
  <r>
    <s v="SP165"/>
    <s v="Instagram"/>
    <d v="2024-05-08T00:00:00"/>
    <s v="Story"/>
    <s v="Music that moves you-only on Spotify."/>
    <n v="2414"/>
    <n v="220"/>
    <n v="280"/>
    <n v="27355"/>
    <n v="50562"/>
    <n v="258"/>
    <x v="1"/>
    <x v="2"/>
    <n v="0.10652531529884847"/>
    <d v="2024-12-01T00:00:00"/>
    <n v="45657"/>
    <x v="0"/>
  </r>
  <r>
    <s v="SP166"/>
    <s v="Instagram"/>
    <d v="2024-04-05T00:00:00"/>
    <s v="Text"/>
    <s v="New music just dropped. Hit play!"/>
    <n v="4383"/>
    <n v="352"/>
    <n v="176"/>
    <n v="53239"/>
    <n v="34168"/>
    <n v="288"/>
    <x v="2"/>
    <x v="1"/>
    <n v="9.2244407295403744E-2"/>
    <d v="2025-03-01T00:00:00"/>
    <n v="45747"/>
    <x v="0"/>
  </r>
  <r>
    <s v="SP167"/>
    <s v="YouTube"/>
    <d v="2025-01-27T00:00:00"/>
    <s v="Text"/>
    <s v="Wrapped is here! Relive your top tracks 🎧"/>
    <n v="4294"/>
    <n v="423"/>
    <n v="93"/>
    <n v="29828"/>
    <n v="73144"/>
    <n v="298"/>
    <x v="2"/>
    <x v="1"/>
    <n v="0.1612578785034196"/>
    <d v="2025-03-01T00:00:00"/>
    <n v="45747"/>
    <x v="0"/>
  </r>
  <r>
    <s v="SP167"/>
    <s v="YouTube"/>
    <d v="2025-01-27T00:00:00"/>
    <s v="Text"/>
    <s v="Wrapped is here! Relive your top tracks 🎧"/>
    <n v="4294"/>
    <n v="423"/>
    <n v="93"/>
    <n v="29828"/>
    <n v="73144"/>
    <n v="298"/>
    <x v="4"/>
    <x v="1"/>
    <n v="0.1612578785034196"/>
    <d v="2025-03-01T00:00:00"/>
    <n v="45747"/>
    <x v="0"/>
  </r>
  <r>
    <s v="SP168"/>
    <s v="Instagram"/>
    <d v="2024-04-03T00:00:00"/>
    <s v="Text"/>
    <s v="Top trending tracks updated daily!"/>
    <n v="2762"/>
    <n v="339"/>
    <n v="323"/>
    <n v="33757"/>
    <n v="68511"/>
    <n v="121"/>
    <x v="0"/>
    <x v="0"/>
    <n v="0.10143081434961637"/>
    <d v="2025-01-10T00:00:00"/>
    <n v="45698"/>
    <x v="0"/>
  </r>
  <r>
    <s v="SP168"/>
    <s v="Instagram"/>
    <d v="2024-04-03T00:00:00"/>
    <s v="Text"/>
    <s v="Top trending tracks updated daily!"/>
    <n v="2762"/>
    <n v="339"/>
    <n v="323"/>
    <n v="33757"/>
    <n v="68511"/>
    <n v="121"/>
    <x v="1"/>
    <x v="0"/>
    <n v="0.10143081434961637"/>
    <d v="2025-01-10T00:00:00"/>
    <n v="45698"/>
    <x v="0"/>
  </r>
  <r>
    <s v="SP169"/>
    <s v="YouTube"/>
    <d v="2025-01-03T00:00:00"/>
    <s v="Text"/>
    <s v="New music just dropped. Hit play!"/>
    <n v="3782"/>
    <n v="484"/>
    <n v="144"/>
    <n v="52172"/>
    <n v="59386"/>
    <n v="175"/>
    <x v="2"/>
    <x v="1"/>
    <n v="8.4528099363643333E-2"/>
    <d v="2025-03-01T00:00:00"/>
    <n v="45747"/>
    <x v="0"/>
  </r>
  <r>
    <s v="SP169"/>
    <s v="YouTube"/>
    <d v="2025-01-03T00:00:00"/>
    <s v="Text"/>
    <s v="New music just dropped. Hit play!"/>
    <n v="3782"/>
    <n v="484"/>
    <n v="144"/>
    <n v="52172"/>
    <n v="59386"/>
    <n v="175"/>
    <x v="4"/>
    <x v="1"/>
    <n v="8.4528099363643333E-2"/>
    <d v="2025-03-01T00:00:00"/>
    <n v="45747"/>
    <x v="0"/>
  </r>
  <r>
    <s v="SP170"/>
    <s v="Twitter"/>
    <d v="2024-11-23T00:00:00"/>
    <s v="Text"/>
    <s v="New music just dropped. Hit play!"/>
    <n v="4318"/>
    <n v="371"/>
    <n v="329"/>
    <n v="32347"/>
    <n v="68956"/>
    <n v="259"/>
    <x v="0"/>
    <x v="1"/>
    <n v="0.15513030574705536"/>
    <d v="2025-03-01T00:00:00"/>
    <n v="45747"/>
    <x v="0"/>
  </r>
  <r>
    <s v="SP171"/>
    <s v="Instagram"/>
    <d v="2024-09-01T00:00:00"/>
    <s v="Story"/>
    <s v="Wrapped is here! Relive your top tracks 🎧"/>
    <n v="2335"/>
    <n v="150"/>
    <n v="75"/>
    <n v="26114"/>
    <n v="57549"/>
    <n v="135"/>
    <x v="1"/>
    <x v="2"/>
    <n v="9.8031707130274953E-2"/>
    <d v="2024-12-01T00:00:00"/>
    <n v="45657"/>
    <x v="0"/>
  </r>
  <r>
    <s v="SP172"/>
    <s v="YouTube"/>
    <d v="2024-04-18T00:00:00"/>
    <s v="Text"/>
    <s v="Explore the latest podcasts now."/>
    <n v="4023"/>
    <n v="293"/>
    <n v="91"/>
    <n v="26795"/>
    <n v="28924"/>
    <n v="278"/>
    <x v="2"/>
    <x v="1"/>
    <n v="0.16447098339242397"/>
    <d v="2025-03-01T00:00:00"/>
    <n v="45747"/>
    <x v="0"/>
  </r>
  <r>
    <s v="SP172"/>
    <s v="YouTube"/>
    <d v="2024-04-18T00:00:00"/>
    <s v="Text"/>
    <s v="Explore the latest podcasts now."/>
    <n v="4023"/>
    <n v="293"/>
    <n v="91"/>
    <n v="26795"/>
    <n v="28924"/>
    <n v="278"/>
    <x v="4"/>
    <x v="1"/>
    <n v="0.16447098339242397"/>
    <d v="2025-03-01T00:00:00"/>
    <n v="45747"/>
    <x v="0"/>
  </r>
  <r>
    <s v="SP173"/>
    <s v="Instagram"/>
    <d v="2024-06-04T00:00:00"/>
    <s v="Text"/>
    <s v="Get into the groove with our new drop!"/>
    <n v="3948"/>
    <n v="151"/>
    <n v="249"/>
    <n v="43147"/>
    <n v="63136"/>
    <n v="230"/>
    <x v="2"/>
    <x v="1"/>
    <n v="0.10077178019329269"/>
    <d v="2025-03-01T00:00:00"/>
    <n v="45747"/>
    <x v="0"/>
  </r>
  <r>
    <s v="SP174"/>
    <s v="YouTube"/>
    <d v="2025-04-02T00:00:00"/>
    <s v="Text"/>
    <s v="Wrapped is here! Relive your top tracks 🎧"/>
    <n v="4598"/>
    <n v="455"/>
    <n v="378"/>
    <n v="52952"/>
    <n v="58504"/>
    <n v="269"/>
    <x v="2"/>
    <x v="1"/>
    <n v="0.10256458679558846"/>
    <d v="2025-03-01T00:00:00"/>
    <n v="45747"/>
    <x v="0"/>
  </r>
  <r>
    <s v="SP174"/>
    <s v="YouTube"/>
    <d v="2025-04-02T00:00:00"/>
    <s v="Text"/>
    <s v="Wrapped is here! Relive your top tracks 🎧"/>
    <n v="4598"/>
    <n v="455"/>
    <n v="378"/>
    <n v="52952"/>
    <n v="58504"/>
    <n v="269"/>
    <x v="4"/>
    <x v="1"/>
    <n v="0.10256458679558846"/>
    <d v="2025-03-01T00:00:00"/>
    <n v="45747"/>
    <x v="0"/>
  </r>
  <r>
    <s v="SP175"/>
    <s v="Twitter"/>
    <d v="2025-04-01T00:00:00"/>
    <s v="Story"/>
    <s v="Music that moves you-only on Spotify."/>
    <n v="2665"/>
    <n v="143"/>
    <n v="315"/>
    <n v="54808"/>
    <n v="29818"/>
    <n v="98"/>
    <x v="2"/>
    <x v="0"/>
    <n v="5.6980732739746021E-2"/>
    <d v="2025-01-10T00:00:00"/>
    <n v="45698"/>
    <x v="0"/>
  </r>
  <r>
    <s v="SP175"/>
    <s v="Twitter"/>
    <d v="2025-04-01T00:00:00"/>
    <s v="Story"/>
    <s v="Music that moves you-only on Spotify."/>
    <n v="2665"/>
    <n v="143"/>
    <n v="315"/>
    <n v="54808"/>
    <n v="29818"/>
    <n v="98"/>
    <x v="3"/>
    <x v="0"/>
    <n v="5.6980732739746021E-2"/>
    <d v="2025-01-10T00:00:00"/>
    <n v="45698"/>
    <x v="0"/>
  </r>
  <r>
    <s v="SP176"/>
    <s v="Instagram"/>
    <d v="2024-07-02T00:00:00"/>
    <s v="Text"/>
    <s v="Top trending tracks updated daily!"/>
    <n v="3469"/>
    <n v="371"/>
    <n v="76"/>
    <n v="46493"/>
    <n v="26906"/>
    <n v="150"/>
    <x v="0"/>
    <x v="0"/>
    <n v="8.4227733207149463E-2"/>
    <d v="2025-01-10T00:00:00"/>
    <n v="45698"/>
    <x v="0"/>
  </r>
  <r>
    <s v="SP176"/>
    <s v="Instagram"/>
    <d v="2024-07-02T00:00:00"/>
    <s v="Text"/>
    <s v="Top trending tracks updated daily!"/>
    <n v="3469"/>
    <n v="371"/>
    <n v="76"/>
    <n v="46493"/>
    <n v="26906"/>
    <n v="150"/>
    <x v="1"/>
    <x v="0"/>
    <n v="8.4227733207149463E-2"/>
    <d v="2025-01-10T00:00:00"/>
    <n v="45698"/>
    <x v="0"/>
  </r>
  <r>
    <s v="SP177"/>
    <s v="Twitter"/>
    <d v="2024-11-10T00:00:00"/>
    <s v="Text"/>
    <s v="Explore the latest podcasts now."/>
    <n v="4823"/>
    <n v="489"/>
    <n v="302"/>
    <n v="32470"/>
    <n v="31861"/>
    <n v="178"/>
    <x v="0"/>
    <x v="1"/>
    <n v="0.1728980597474592"/>
    <d v="2025-03-01T00:00:00"/>
    <n v="45747"/>
    <x v="0"/>
  </r>
  <r>
    <s v="SP178"/>
    <s v="Instagram"/>
    <d v="2024-12-14T00:00:00"/>
    <s v="Story"/>
    <s v="From pop to podcasts, it's all here."/>
    <n v="3812"/>
    <n v="321"/>
    <n v="289"/>
    <n v="59838"/>
    <n v="36337"/>
    <n v="161"/>
    <x v="1"/>
    <x v="2"/>
    <n v="7.3899528727564417E-2"/>
    <d v="2024-12-01T00:00:00"/>
    <n v="45657"/>
    <x v="1"/>
  </r>
  <r>
    <s v="SP179"/>
    <s v="Twitter"/>
    <d v="2024-11-19T00:00:00"/>
    <s v="Text"/>
    <s v="Explore the latest podcasts now."/>
    <n v="2387"/>
    <n v="353"/>
    <n v="78"/>
    <n v="39745"/>
    <n v="69226"/>
    <n v="208"/>
    <x v="0"/>
    <x v="1"/>
    <n v="7.090200025160398E-2"/>
    <d v="2025-03-01T00:00:00"/>
    <n v="45747"/>
    <x v="0"/>
  </r>
  <r>
    <s v="SP180"/>
    <s v="Twitter"/>
    <d v="2025-04-30T00:00:00"/>
    <s v="Story"/>
    <s v="Wrapped is here! Relive your top tracks 🎧"/>
    <n v="3929"/>
    <n v="275"/>
    <n v="330"/>
    <n v="58329"/>
    <n v="33196"/>
    <n v="85"/>
    <x v="3"/>
    <x v="0"/>
    <n v="7.7731488624869283E-2"/>
    <d v="2025-01-10T00:00:00"/>
    <n v="45698"/>
    <x v="0"/>
  </r>
  <r>
    <s v="SP180"/>
    <s v="Twitter"/>
    <d v="2025-04-30T00:00:00"/>
    <s v="Story"/>
    <s v="Wrapped is here! Relive your top tracks 🎧"/>
    <n v="3929"/>
    <n v="275"/>
    <n v="330"/>
    <n v="58329"/>
    <n v="33196"/>
    <n v="85"/>
    <x v="1"/>
    <x v="0"/>
    <n v="7.7731488624869283E-2"/>
    <d v="2025-01-10T00:00:00"/>
    <n v="45698"/>
    <x v="0"/>
  </r>
  <r>
    <s v="SP181"/>
    <s v="Twitter"/>
    <d v="2024-03-19T00:00:00"/>
    <s v="Text"/>
    <s v="From pop to podcasts, it's all here."/>
    <n v="2191"/>
    <n v="288"/>
    <n v="83"/>
    <n v="59606"/>
    <n v="24765"/>
    <n v="281"/>
    <x v="0"/>
    <x v="1"/>
    <n v="4.2982250109049422E-2"/>
    <d v="2025-03-01T00:00:00"/>
    <n v="45747"/>
    <x v="0"/>
  </r>
  <r>
    <s v="SP182"/>
    <s v="Instagram"/>
    <d v="2024-03-19T00:00:00"/>
    <s v="Text"/>
    <s v="From pop to podcasts, it's all here."/>
    <n v="2878"/>
    <n v="278"/>
    <n v="255"/>
    <n v="47235"/>
    <n v="57922"/>
    <n v="112"/>
    <x v="0"/>
    <x v="0"/>
    <n v="7.2213401079707848E-2"/>
    <d v="2025-01-10T00:00:00"/>
    <n v="45698"/>
    <x v="0"/>
  </r>
  <r>
    <s v="SP182"/>
    <s v="Instagram"/>
    <d v="2024-03-19T00:00:00"/>
    <s v="Text"/>
    <s v="From pop to podcasts, it's all here."/>
    <n v="2878"/>
    <n v="278"/>
    <n v="255"/>
    <n v="47235"/>
    <n v="57922"/>
    <n v="112"/>
    <x v="1"/>
    <x v="0"/>
    <n v="7.2213401079707848E-2"/>
    <d v="2025-01-10T00:00:00"/>
    <n v="45698"/>
    <x v="0"/>
  </r>
  <r>
    <s v="SP183"/>
    <s v="Twitter"/>
    <d v="2024-07-23T00:00:00"/>
    <s v="Text"/>
    <s v="Top trending tracks updated daily!"/>
    <n v="3204"/>
    <n v="398"/>
    <n v="85"/>
    <n v="22020"/>
    <n v="58353"/>
    <n v="286"/>
    <x v="0"/>
    <x v="1"/>
    <n v="0.16743869209809265"/>
    <d v="2025-03-01T00:00:00"/>
    <n v="45747"/>
    <x v="0"/>
  </r>
  <r>
    <s v="SP184"/>
    <s v="Twitter"/>
    <d v="2024-07-13T00:00:00"/>
    <s v="Story"/>
    <s v="Get into the groove with our new drop!"/>
    <n v="2408"/>
    <n v="323"/>
    <n v="251"/>
    <n v="47599"/>
    <n v="35543"/>
    <n v="287"/>
    <x v="3"/>
    <x v="0"/>
    <n v="6.2648374965860634E-2"/>
    <d v="2025-01-10T00:00:00"/>
    <n v="45698"/>
    <x v="0"/>
  </r>
  <r>
    <s v="SP184"/>
    <s v="Twitter"/>
    <d v="2024-07-13T00:00:00"/>
    <s v="Story"/>
    <s v="Get into the groove with our new drop!"/>
    <n v="2408"/>
    <n v="323"/>
    <n v="251"/>
    <n v="47599"/>
    <n v="35543"/>
    <n v="287"/>
    <x v="1"/>
    <x v="0"/>
    <n v="6.2648374965860634E-2"/>
    <d v="2025-01-10T00:00:00"/>
    <n v="45698"/>
    <x v="0"/>
  </r>
  <r>
    <s v="SP185"/>
    <s v="YouTube"/>
    <d v="2025-04-22T00:00:00"/>
    <s v="Reel"/>
    <s v="New music just dropped. Hit play!"/>
    <n v="2733"/>
    <n v="297"/>
    <n v="235"/>
    <n v="37980"/>
    <n v="33058"/>
    <n v="219"/>
    <x v="2"/>
    <x v="3"/>
    <n v="8.5966298051606105E-2"/>
    <d v="2024-06-15T00:00:00"/>
    <n v="45488"/>
    <x v="0"/>
  </r>
  <r>
    <s v="SP185"/>
    <s v="YouTube"/>
    <d v="2025-04-22T00:00:00"/>
    <s v="Reel"/>
    <s v="New music just dropped. Hit play!"/>
    <n v="2733"/>
    <n v="297"/>
    <n v="235"/>
    <n v="37980"/>
    <n v="33058"/>
    <n v="219"/>
    <x v="0"/>
    <x v="3"/>
    <n v="8.5966298051606105E-2"/>
    <d v="2024-06-15T00:00:00"/>
    <n v="45488"/>
    <x v="0"/>
  </r>
  <r>
    <s v="SP186"/>
    <s v="Twitter"/>
    <d v="2024-06-16T00:00:00"/>
    <s v="Story"/>
    <s v="Explore the latest podcasts now."/>
    <n v="4618"/>
    <n v="312"/>
    <n v="254"/>
    <n v="22571"/>
    <n v="29453"/>
    <n v="197"/>
    <x v="3"/>
    <x v="0"/>
    <n v="0.22967524699836073"/>
    <d v="2025-01-10T00:00:00"/>
    <n v="45698"/>
    <x v="0"/>
  </r>
  <r>
    <s v="SP186"/>
    <s v="Twitter"/>
    <d v="2024-06-16T00:00:00"/>
    <s v="Story"/>
    <s v="Explore the latest podcasts now."/>
    <n v="4618"/>
    <n v="312"/>
    <n v="254"/>
    <n v="22571"/>
    <n v="29453"/>
    <n v="197"/>
    <x v="1"/>
    <x v="0"/>
    <n v="0.22967524699836073"/>
    <d v="2025-01-10T00:00:00"/>
    <n v="45698"/>
    <x v="0"/>
  </r>
  <r>
    <s v="SP187"/>
    <s v="YouTube"/>
    <d v="2025-05-18T00:00:00"/>
    <s v="Reel"/>
    <s v="Wrapped is here! Relive your top tracks 🎧"/>
    <n v="4210"/>
    <n v="319"/>
    <n v="350"/>
    <n v="37762"/>
    <n v="55162"/>
    <n v="204"/>
    <x v="2"/>
    <x v="3"/>
    <n v="0.12920396165457337"/>
    <d v="2024-06-15T00:00:00"/>
    <n v="45488"/>
    <x v="0"/>
  </r>
  <r>
    <s v="SP187"/>
    <s v="YouTube"/>
    <d v="2025-05-18T00:00:00"/>
    <s v="Reel"/>
    <s v="Wrapped is here! Relive your top tracks 🎧"/>
    <n v="4210"/>
    <n v="319"/>
    <n v="350"/>
    <n v="37762"/>
    <n v="55162"/>
    <n v="204"/>
    <x v="0"/>
    <x v="3"/>
    <n v="0.12920396165457337"/>
    <d v="2024-06-15T00:00:00"/>
    <n v="45488"/>
    <x v="0"/>
  </r>
  <r>
    <s v="SP188"/>
    <s v="Instagram"/>
    <d v="2025-06-06T00:00:00"/>
    <s v="Text"/>
    <s v="Wrapped is here! Relive your top tracks 🎧"/>
    <n v="3987"/>
    <n v="171"/>
    <n v="274"/>
    <n v="45122"/>
    <n v="65431"/>
    <n v="168"/>
    <x v="2"/>
    <x v="1"/>
    <n v="9.8222596516111871E-2"/>
    <d v="2025-03-01T00:00:00"/>
    <n v="45747"/>
    <x v="0"/>
  </r>
  <r>
    <s v="SP189"/>
    <s v="YouTube"/>
    <d v="2025-02-20T00:00:00"/>
    <s v="Reel"/>
    <s v="Get into the groove with our new drop!"/>
    <n v="4957"/>
    <n v="262"/>
    <n v="365"/>
    <n v="49199"/>
    <n v="40314"/>
    <n v="216"/>
    <x v="2"/>
    <x v="3"/>
    <n v="0.11349824183418362"/>
    <d v="2024-06-15T00:00:00"/>
    <n v="45488"/>
    <x v="0"/>
  </r>
  <r>
    <s v="SP189"/>
    <s v="YouTube"/>
    <d v="2025-02-20T00:00:00"/>
    <s v="Reel"/>
    <s v="Get into the groove with our new drop!"/>
    <n v="4957"/>
    <n v="262"/>
    <n v="365"/>
    <n v="49199"/>
    <n v="40314"/>
    <n v="216"/>
    <x v="0"/>
    <x v="3"/>
    <n v="0.11349824183418362"/>
    <d v="2024-06-15T00:00:00"/>
    <n v="45488"/>
    <x v="0"/>
  </r>
  <r>
    <s v="SP190"/>
    <s v="Instagram"/>
    <d v="2025-01-16T00:00:00"/>
    <s v="Text"/>
    <s v="Music that moves you-only on Spotify."/>
    <n v="2605"/>
    <n v="282"/>
    <n v="148"/>
    <n v="32201"/>
    <n v="49583"/>
    <n v="241"/>
    <x v="0"/>
    <x v="0"/>
    <n v="9.4251731312692155E-2"/>
    <d v="2025-01-10T00:00:00"/>
    <n v="45698"/>
    <x v="1"/>
  </r>
  <r>
    <s v="SP190"/>
    <s v="Instagram"/>
    <d v="2025-01-16T00:00:00"/>
    <s v="Text"/>
    <s v="Music that moves you-only on Spotify."/>
    <n v="2605"/>
    <n v="282"/>
    <n v="148"/>
    <n v="32201"/>
    <n v="49583"/>
    <n v="241"/>
    <x v="1"/>
    <x v="0"/>
    <n v="9.4251731312692155E-2"/>
    <d v="2025-01-10T00:00:00"/>
    <n v="45698"/>
    <x v="1"/>
  </r>
  <r>
    <s v="SP191"/>
    <s v="YouTube"/>
    <d v="2024-02-24T00:00:00"/>
    <s v="Reel"/>
    <s v="Discover fresh beats on Spotify!"/>
    <n v="4221"/>
    <n v="307"/>
    <n v="58"/>
    <n v="45080"/>
    <n v="37214"/>
    <n v="240"/>
    <x v="2"/>
    <x v="3"/>
    <n v="0.10173025732031943"/>
    <d v="2024-06-15T00:00:00"/>
    <n v="45488"/>
    <x v="0"/>
  </r>
  <r>
    <s v="SP191"/>
    <s v="YouTube"/>
    <d v="2024-02-24T00:00:00"/>
    <s v="Reel"/>
    <s v="Discover fresh beats on Spotify!"/>
    <n v="4221"/>
    <n v="307"/>
    <n v="58"/>
    <n v="45080"/>
    <n v="37214"/>
    <n v="240"/>
    <x v="0"/>
    <x v="3"/>
    <n v="0.10173025732031943"/>
    <d v="2024-06-15T00:00:00"/>
    <n v="45488"/>
    <x v="0"/>
  </r>
  <r>
    <s v="SP192"/>
    <s v="Twitter"/>
    <d v="2024-09-16T00:00:00"/>
    <s v="Story"/>
    <s v="What's your vibe today? #SpotifyHits"/>
    <n v="4422"/>
    <n v="434"/>
    <n v="156"/>
    <n v="56165"/>
    <n v="52431"/>
    <n v="173"/>
    <x v="2"/>
    <x v="0"/>
    <n v="8.9237069349238848E-2"/>
    <d v="2025-01-10T00:00:00"/>
    <n v="45698"/>
    <x v="0"/>
  </r>
  <r>
    <s v="SP192"/>
    <s v="Twitter"/>
    <d v="2024-09-16T00:00:00"/>
    <s v="Story"/>
    <s v="What's your vibe today? #SpotifyHits"/>
    <n v="4422"/>
    <n v="434"/>
    <n v="156"/>
    <n v="56165"/>
    <n v="52431"/>
    <n v="173"/>
    <x v="3"/>
    <x v="0"/>
    <n v="8.9237069349238848E-2"/>
    <d v="2025-01-10T00:00:00"/>
    <n v="45698"/>
    <x v="0"/>
  </r>
  <r>
    <s v="SP193"/>
    <s v="YouTube"/>
    <d v="2024-06-04T00:00:00"/>
    <s v="Reel"/>
    <s v="Wrapped is here! Relive your top tracks 🎧"/>
    <n v="1211"/>
    <n v="431"/>
    <n v="83"/>
    <n v="26532"/>
    <n v="47305"/>
    <n v="232"/>
    <x v="2"/>
    <x v="3"/>
    <n v="6.5015829941203071E-2"/>
    <d v="2024-06-15T00:00:00"/>
    <n v="45488"/>
    <x v="0"/>
  </r>
  <r>
    <s v="SP193"/>
    <s v="YouTube"/>
    <d v="2024-06-04T00:00:00"/>
    <s v="Reel"/>
    <s v="Wrapped is here! Relive your top tracks 🎧"/>
    <n v="1211"/>
    <n v="431"/>
    <n v="83"/>
    <n v="26532"/>
    <n v="47305"/>
    <n v="232"/>
    <x v="0"/>
    <x v="3"/>
    <n v="6.5015829941203071E-2"/>
    <d v="2024-06-15T00:00:00"/>
    <n v="45488"/>
    <x v="0"/>
  </r>
  <r>
    <s v="SP194"/>
    <s v="Twitter"/>
    <d v="2024-05-10T00:00:00"/>
    <s v="Story"/>
    <s v="Explore the latest podcasts now."/>
    <n v="2784"/>
    <n v="111"/>
    <n v="399"/>
    <n v="58366"/>
    <n v="69512"/>
    <n v="269"/>
    <x v="3"/>
    <x v="0"/>
    <n v="5.6436966727204191E-2"/>
    <d v="2025-01-10T00:00:00"/>
    <n v="45698"/>
    <x v="0"/>
  </r>
  <r>
    <s v="SP194"/>
    <s v="Twitter"/>
    <d v="2024-05-10T00:00:00"/>
    <s v="Story"/>
    <s v="Explore the latest podcasts now."/>
    <n v="2784"/>
    <n v="111"/>
    <n v="399"/>
    <n v="58366"/>
    <n v="69512"/>
    <n v="269"/>
    <x v="1"/>
    <x v="0"/>
    <n v="5.6436966727204191E-2"/>
    <d v="2025-01-10T00:00:00"/>
    <n v="45698"/>
    <x v="0"/>
  </r>
  <r>
    <s v="SP195"/>
    <s v="YouTube"/>
    <d v="2024-01-14T00:00:00"/>
    <s v="Text"/>
    <s v="New music just dropped. Hit play!"/>
    <n v="3634"/>
    <n v="280"/>
    <n v="399"/>
    <n v="40256"/>
    <n v="52605"/>
    <n v="213"/>
    <x v="2"/>
    <x v="1"/>
    <n v="0.10713930842607314"/>
    <d v="2025-03-01T00:00:00"/>
    <n v="45747"/>
    <x v="0"/>
  </r>
  <r>
    <s v="SP195"/>
    <s v="YouTube"/>
    <d v="2024-01-14T00:00:00"/>
    <s v="Text"/>
    <s v="New music just dropped. Hit play!"/>
    <n v="3634"/>
    <n v="280"/>
    <n v="399"/>
    <n v="40256"/>
    <n v="52605"/>
    <n v="213"/>
    <x v="4"/>
    <x v="1"/>
    <n v="0.10713930842607314"/>
    <d v="2025-03-01T00:00:00"/>
    <n v="45747"/>
    <x v="0"/>
  </r>
  <r>
    <s v="SP196"/>
    <s v="Instagram"/>
    <d v="2025-01-12T00:00:00"/>
    <s v="Text"/>
    <s v="From pop to podcasts, it's all here."/>
    <n v="1771"/>
    <n v="487"/>
    <n v="272"/>
    <n v="48810"/>
    <n v="48084"/>
    <n v="272"/>
    <x v="0"/>
    <x v="0"/>
    <n v="5.1833640647408315E-2"/>
    <d v="2025-01-10T00:00:00"/>
    <n v="45698"/>
    <x v="1"/>
  </r>
  <r>
    <s v="SP196"/>
    <s v="Instagram"/>
    <d v="2025-01-12T00:00:00"/>
    <s v="Text"/>
    <s v="From pop to podcasts, it's all here."/>
    <n v="1771"/>
    <n v="487"/>
    <n v="272"/>
    <n v="48810"/>
    <n v="48084"/>
    <n v="272"/>
    <x v="1"/>
    <x v="0"/>
    <n v="5.1833640647408315E-2"/>
    <d v="2025-01-10T00:00:00"/>
    <n v="45698"/>
    <x v="1"/>
  </r>
  <r>
    <s v="SP197"/>
    <s v="YouTube"/>
    <d v="2024-12-08T00:00:00"/>
    <s v="Text"/>
    <s v="Top trending tracks updated daily!"/>
    <n v="1424"/>
    <n v="396"/>
    <n v="312"/>
    <n v="59517"/>
    <n v="46102"/>
    <n v="239"/>
    <x v="2"/>
    <x v="1"/>
    <n v="3.5821698002251455E-2"/>
    <d v="2025-03-01T00:00:00"/>
    <n v="45747"/>
    <x v="0"/>
  </r>
  <r>
    <s v="SP197"/>
    <s v="YouTube"/>
    <d v="2024-12-08T00:00:00"/>
    <s v="Text"/>
    <s v="Top trending tracks updated daily!"/>
    <n v="1424"/>
    <n v="396"/>
    <n v="312"/>
    <n v="59517"/>
    <n v="46102"/>
    <n v="239"/>
    <x v="4"/>
    <x v="1"/>
    <n v="3.5821698002251455E-2"/>
    <d v="2025-03-01T00:00:00"/>
    <n v="45747"/>
    <x v="0"/>
  </r>
  <r>
    <s v="SP198"/>
    <s v="Twitter"/>
    <d v="2025-02-01T00:00:00"/>
    <s v="Story"/>
    <s v="Top trending tracks updated daily!"/>
    <n v="1079"/>
    <n v="265"/>
    <n v="190"/>
    <n v="43786"/>
    <n v="72428"/>
    <n v="222"/>
    <x v="0"/>
    <x v="0"/>
    <n v="3.5034029141734799E-2"/>
    <d v="2025-01-10T00:00:00"/>
    <n v="45698"/>
    <x v="1"/>
  </r>
  <r>
    <s v="SP198"/>
    <s v="Twitter"/>
    <d v="2025-02-01T00:00:00"/>
    <s v="Story"/>
    <s v="Top trending tracks updated daily!"/>
    <n v="1079"/>
    <n v="265"/>
    <n v="190"/>
    <n v="43786"/>
    <n v="72428"/>
    <n v="222"/>
    <x v="1"/>
    <x v="0"/>
    <n v="3.5034029141734799E-2"/>
    <d v="2025-01-10T00:00:00"/>
    <n v="45698"/>
    <x v="1"/>
  </r>
  <r>
    <s v="SP199"/>
    <s v="Twitter"/>
    <d v="2024-07-11T00:00:00"/>
    <s v="Story"/>
    <s v="Get into the groove with our new drop!"/>
    <n v="4247"/>
    <n v="179"/>
    <n v="175"/>
    <n v="32991"/>
    <n v="70120"/>
    <n v="276"/>
    <x v="0"/>
    <x v="0"/>
    <n v="0.13946227759085811"/>
    <d v="2025-01-10T00:00:00"/>
    <n v="45698"/>
    <x v="0"/>
  </r>
  <r>
    <s v="SP199"/>
    <s v="Twitter"/>
    <d v="2024-07-11T00:00:00"/>
    <s v="Story"/>
    <s v="Get into the groove with our new drop!"/>
    <n v="4247"/>
    <n v="179"/>
    <n v="175"/>
    <n v="32991"/>
    <n v="70120"/>
    <n v="276"/>
    <x v="1"/>
    <x v="0"/>
    <n v="0.13946227759085811"/>
    <d v="2025-01-10T00:00:00"/>
    <n v="45698"/>
    <x v="0"/>
  </r>
  <r>
    <s v="SP200"/>
    <s v="Twitter"/>
    <d v="2024-03-18T00:00:00"/>
    <s v="Text"/>
    <s v="New music just dropped. Hit play!"/>
    <n v="2033"/>
    <n v="420"/>
    <n v="94"/>
    <n v="56290"/>
    <n v="57391"/>
    <n v="196"/>
    <x v="1"/>
    <x v="0"/>
    <n v="4.5247823769763724E-2"/>
    <d v="2025-01-10T00:00:00"/>
    <n v="45698"/>
    <x v="0"/>
  </r>
  <r>
    <s v="SP201"/>
    <s v="Twitter"/>
    <d v="2024-09-12T00:00:00"/>
    <s v="Story"/>
    <s v="Wrapped is here! Relive your top tracks 🎧"/>
    <n v="1839"/>
    <n v="223"/>
    <n v="171"/>
    <n v="35459"/>
    <n v="69988"/>
    <n v="114"/>
    <x v="3"/>
    <x v="0"/>
    <n v="6.2974139146620034E-2"/>
    <d v="2025-01-10T00:00:00"/>
    <n v="45698"/>
    <x v="0"/>
  </r>
  <r>
    <s v="SP201"/>
    <s v="Twitter"/>
    <d v="2024-09-12T00:00:00"/>
    <s v="Story"/>
    <s v="Wrapped is here! Relive your top tracks 🎧"/>
    <n v="1839"/>
    <n v="223"/>
    <n v="171"/>
    <n v="35459"/>
    <n v="69988"/>
    <n v="114"/>
    <x v="1"/>
    <x v="0"/>
    <n v="6.2974139146620034E-2"/>
    <d v="2025-01-10T00:00:00"/>
    <n v="45698"/>
    <x v="0"/>
  </r>
  <r>
    <s v="SP202"/>
    <s v="Twitter"/>
    <d v="2024-01-11T00:00:00"/>
    <s v="Story"/>
    <s v="Wrapped is here! Relive your top tracks 🎧"/>
    <n v="2340"/>
    <n v="141"/>
    <n v="206"/>
    <n v="24916"/>
    <n v="30582"/>
    <n v="157"/>
    <x v="0"/>
    <x v="0"/>
    <n v="0.10784235029699792"/>
    <d v="2025-01-10T00:00:00"/>
    <n v="45698"/>
    <x v="0"/>
  </r>
  <r>
    <s v="SP202"/>
    <s v="Twitter"/>
    <d v="2024-01-11T00:00:00"/>
    <s v="Story"/>
    <s v="Wrapped is here! Relive your top tracks 🎧"/>
    <n v="2340"/>
    <n v="141"/>
    <n v="206"/>
    <n v="24916"/>
    <n v="30582"/>
    <n v="157"/>
    <x v="1"/>
    <x v="0"/>
    <n v="0.10784235029699792"/>
    <d v="2025-01-10T00:00:00"/>
    <n v="45698"/>
    <x v="0"/>
  </r>
  <r>
    <s v="SP203"/>
    <s v="Instagram"/>
    <d v="2024-10-06T00:00:00"/>
    <s v="Text"/>
    <s v="Top trending tracks updated daily!"/>
    <n v="2080"/>
    <n v="389"/>
    <n v="92"/>
    <n v="30971"/>
    <n v="25347"/>
    <n v="111"/>
    <x v="2"/>
    <x v="1"/>
    <n v="8.2690258629040073E-2"/>
    <d v="2025-03-01T00:00:00"/>
    <n v="45747"/>
    <x v="0"/>
  </r>
  <r>
    <s v="SP204"/>
    <s v="Twitter"/>
    <d v="2024-12-30T00:00:00"/>
    <s v="Text"/>
    <s v="Get into the groove with our new drop!"/>
    <n v="4214"/>
    <n v="286"/>
    <n v="127"/>
    <n v="47293"/>
    <n v="27184"/>
    <n v="232"/>
    <x v="1"/>
    <x v="0"/>
    <n v="9.7836889180216949E-2"/>
    <d v="2025-01-10T00:00:00"/>
    <n v="45698"/>
    <x v="0"/>
  </r>
  <r>
    <s v="SP205"/>
    <s v="Twitter"/>
    <d v="2025-04-16T00:00:00"/>
    <s v="Text"/>
    <s v="Wrapped is here! Relive your top tracks 🎧"/>
    <n v="3792"/>
    <n v="315"/>
    <n v="120"/>
    <n v="54592"/>
    <n v="67886"/>
    <n v="117"/>
    <x v="0"/>
    <x v="1"/>
    <n v="7.7428927315357568E-2"/>
    <d v="2025-03-01T00:00:00"/>
    <n v="45747"/>
    <x v="0"/>
  </r>
  <r>
    <s v="SP206"/>
    <s v="Twitter"/>
    <d v="2024-08-21T00:00:00"/>
    <s v="Story"/>
    <s v="Explore the latest podcasts now."/>
    <n v="3989"/>
    <n v="476"/>
    <n v="128"/>
    <n v="57569"/>
    <n v="40193"/>
    <n v="222"/>
    <x v="2"/>
    <x v="0"/>
    <n v="7.9782521843353188E-2"/>
    <d v="2025-01-10T00:00:00"/>
    <n v="45698"/>
    <x v="0"/>
  </r>
  <r>
    <s v="SP206"/>
    <s v="Twitter"/>
    <d v="2024-08-21T00:00:00"/>
    <s v="Story"/>
    <s v="Explore the latest podcasts now."/>
    <n v="3989"/>
    <n v="476"/>
    <n v="128"/>
    <n v="57569"/>
    <n v="40193"/>
    <n v="222"/>
    <x v="3"/>
    <x v="0"/>
    <n v="7.9782521843353188E-2"/>
    <d v="2025-01-10T00:00:00"/>
    <n v="45698"/>
    <x v="0"/>
  </r>
  <r>
    <s v="SP207"/>
    <s v="Twitter"/>
    <d v="2024-04-05T00:00:00"/>
    <s v="Story"/>
    <s v="Wrapped is here! Relive your top tracks 🎧"/>
    <n v="2857"/>
    <n v="443"/>
    <n v="359"/>
    <n v="51519"/>
    <n v="28256"/>
    <n v="155"/>
    <x v="0"/>
    <x v="0"/>
    <n v="7.1022341272152026E-2"/>
    <d v="2025-01-10T00:00:00"/>
    <n v="45698"/>
    <x v="0"/>
  </r>
  <r>
    <s v="SP207"/>
    <s v="Twitter"/>
    <d v="2024-04-05T00:00:00"/>
    <s v="Story"/>
    <s v="Wrapped is here! Relive your top tracks 🎧"/>
    <n v="2857"/>
    <n v="443"/>
    <n v="359"/>
    <n v="51519"/>
    <n v="28256"/>
    <n v="155"/>
    <x v="1"/>
    <x v="0"/>
    <n v="7.1022341272152026E-2"/>
    <d v="2025-01-10T00:00:00"/>
    <n v="45698"/>
    <x v="0"/>
  </r>
  <r>
    <s v="SP208"/>
    <s v="Twitter"/>
    <d v="2025-04-07T00:00:00"/>
    <s v="Text"/>
    <s v="From pop to podcasts, it's all here."/>
    <n v="1403"/>
    <n v="385"/>
    <n v="344"/>
    <n v="54223"/>
    <n v="72595"/>
    <n v="239"/>
    <x v="0"/>
    <x v="1"/>
    <n v="3.9319108127547353E-2"/>
    <d v="2025-03-01T00:00:00"/>
    <n v="45747"/>
    <x v="0"/>
  </r>
  <r>
    <s v="SP209"/>
    <s v="Twitter"/>
    <d v="2024-07-19T00:00:00"/>
    <s v="Story"/>
    <s v="What's your vibe today? #SpotifyHits"/>
    <n v="3071"/>
    <n v="126"/>
    <n v="200"/>
    <n v="44013"/>
    <n v="44679"/>
    <n v="118"/>
    <x v="2"/>
    <x v="0"/>
    <n v="7.7181741758116915E-2"/>
    <d v="2025-01-10T00:00:00"/>
    <n v="45698"/>
    <x v="0"/>
  </r>
  <r>
    <s v="SP209"/>
    <s v="Twitter"/>
    <d v="2024-07-19T00:00:00"/>
    <s v="Story"/>
    <s v="What's your vibe today? #SpotifyHits"/>
    <n v="3071"/>
    <n v="126"/>
    <n v="200"/>
    <n v="44013"/>
    <n v="44679"/>
    <n v="118"/>
    <x v="3"/>
    <x v="0"/>
    <n v="7.7181741758116915E-2"/>
    <d v="2025-01-10T00:00:00"/>
    <n v="45698"/>
    <x v="0"/>
  </r>
  <r>
    <s v="SP210"/>
    <s v="Twitter"/>
    <d v="2025-05-03T00:00:00"/>
    <s v="Story"/>
    <s v="Top trending tracks updated daily!"/>
    <n v="1010"/>
    <n v="361"/>
    <n v="240"/>
    <n v="47229"/>
    <n v="72573"/>
    <n v="275"/>
    <x v="0"/>
    <x v="0"/>
    <n v="3.4110398272247981E-2"/>
    <d v="2025-01-10T00:00:00"/>
    <n v="45698"/>
    <x v="0"/>
  </r>
  <r>
    <s v="SP210"/>
    <s v="Twitter"/>
    <d v="2025-05-03T00:00:00"/>
    <s v="Story"/>
    <s v="Top trending tracks updated daily!"/>
    <n v="1010"/>
    <n v="361"/>
    <n v="240"/>
    <n v="47229"/>
    <n v="72573"/>
    <n v="275"/>
    <x v="1"/>
    <x v="0"/>
    <n v="3.4110398272247981E-2"/>
    <d v="2025-01-10T00:00:00"/>
    <n v="45698"/>
    <x v="0"/>
  </r>
  <r>
    <s v="SP211"/>
    <s v="Twitter"/>
    <d v="2024-04-14T00:00:00"/>
    <s v="Story"/>
    <s v="Discover fresh beats on Spotify!"/>
    <n v="1295"/>
    <n v="153"/>
    <n v="81"/>
    <n v="48350"/>
    <n v="61033"/>
    <n v="232"/>
    <x v="2"/>
    <x v="0"/>
    <n v="3.1623578076525334E-2"/>
    <d v="2025-01-10T00:00:00"/>
    <n v="45698"/>
    <x v="0"/>
  </r>
  <r>
    <s v="SP211"/>
    <s v="Twitter"/>
    <d v="2024-04-14T00:00:00"/>
    <s v="Story"/>
    <s v="Discover fresh beats on Spotify!"/>
    <n v="1295"/>
    <n v="153"/>
    <n v="81"/>
    <n v="48350"/>
    <n v="61033"/>
    <n v="232"/>
    <x v="3"/>
    <x v="0"/>
    <n v="3.1623578076525334E-2"/>
    <d v="2025-01-10T00:00:00"/>
    <n v="45698"/>
    <x v="0"/>
  </r>
  <r>
    <s v="SP212"/>
    <s v="Twitter"/>
    <d v="2025-06-19T00:00:00"/>
    <s v="Story"/>
    <s v="What's your vibe today? #SpotifyHits"/>
    <n v="1433"/>
    <n v="452"/>
    <n v="305"/>
    <n v="54541"/>
    <n v="63700"/>
    <n v="296"/>
    <x v="2"/>
    <x v="0"/>
    <n v="4.0153279184466734E-2"/>
    <d v="2025-01-10T00:00:00"/>
    <n v="45698"/>
    <x v="0"/>
  </r>
  <r>
    <s v="SP212"/>
    <s v="Twitter"/>
    <d v="2025-06-19T00:00:00"/>
    <s v="Story"/>
    <s v="What's your vibe today? #SpotifyHits"/>
    <n v="1433"/>
    <n v="452"/>
    <n v="305"/>
    <n v="54541"/>
    <n v="63700"/>
    <n v="296"/>
    <x v="3"/>
    <x v="0"/>
    <n v="4.0153279184466734E-2"/>
    <d v="2025-01-10T00:00:00"/>
    <n v="45698"/>
    <x v="0"/>
  </r>
  <r>
    <s v="SP213"/>
    <s v="Instagram"/>
    <d v="2025-06-24T00:00:00"/>
    <s v="Story"/>
    <s v="Get into the groove with our new drop!"/>
    <n v="4902"/>
    <n v="422"/>
    <n v="376"/>
    <n v="31674"/>
    <n v="53225"/>
    <n v="147"/>
    <x v="1"/>
    <x v="2"/>
    <n v="0.17995832544042431"/>
    <d v="2024-12-01T00:00:00"/>
    <n v="45657"/>
    <x v="0"/>
  </r>
  <r>
    <s v="SP214"/>
    <s v="Twitter"/>
    <d v="2024-10-09T00:00:00"/>
    <s v="Text"/>
    <s v="Wrapped is here! Relive your top tracks 🎧"/>
    <n v="2659"/>
    <n v="167"/>
    <n v="73"/>
    <n v="23090"/>
    <n v="25872"/>
    <n v="293"/>
    <x v="0"/>
    <x v="1"/>
    <n v="0.12555218709398008"/>
    <d v="2025-03-01T00:00:00"/>
    <n v="45747"/>
    <x v="0"/>
  </r>
  <r>
    <s v="SP215"/>
    <s v="YouTube"/>
    <d v="2025-01-15T00:00:00"/>
    <s v="Text"/>
    <s v="Your weekend playlist is waiting."/>
    <n v="2599"/>
    <n v="324"/>
    <n v="182"/>
    <n v="37525"/>
    <n v="37216"/>
    <n v="186"/>
    <x v="2"/>
    <x v="1"/>
    <n v="8.2744836775483013E-2"/>
    <d v="2025-03-01T00:00:00"/>
    <n v="45747"/>
    <x v="0"/>
  </r>
  <r>
    <s v="SP215"/>
    <s v="YouTube"/>
    <d v="2025-01-15T00:00:00"/>
    <s v="Text"/>
    <s v="Your weekend playlist is waiting."/>
    <n v="2599"/>
    <n v="324"/>
    <n v="182"/>
    <n v="37525"/>
    <n v="37216"/>
    <n v="186"/>
    <x v="4"/>
    <x v="1"/>
    <n v="8.2744836775483013E-2"/>
    <d v="2025-03-01T00:00:00"/>
    <n v="45747"/>
    <x v="0"/>
  </r>
  <r>
    <s v="SP216"/>
    <s v="Twitter"/>
    <d v="2025-01-12T00:00:00"/>
    <s v="Text"/>
    <s v="Music that moves you-only on Spotify."/>
    <n v="1765"/>
    <n v="285"/>
    <n v="100"/>
    <n v="41313"/>
    <n v="56575"/>
    <n v="174"/>
    <x v="0"/>
    <x v="1"/>
    <n v="5.2041730205988429E-2"/>
    <d v="2025-03-01T00:00:00"/>
    <n v="45747"/>
    <x v="0"/>
  </r>
  <r>
    <s v="SP217"/>
    <s v="Instagram"/>
    <d v="2025-05-31T00:00:00"/>
    <s v="Text"/>
    <s v="What's your vibe today? #SpotifyHits"/>
    <n v="2169"/>
    <n v="240"/>
    <n v="57"/>
    <n v="26109"/>
    <n v="46667"/>
    <n v="133"/>
    <x v="0"/>
    <x v="0"/>
    <n v="9.4450189589796618E-2"/>
    <d v="2025-01-10T00:00:00"/>
    <n v="45698"/>
    <x v="0"/>
  </r>
  <r>
    <s v="SP217"/>
    <s v="Instagram"/>
    <d v="2025-05-31T00:00:00"/>
    <s v="Text"/>
    <s v="What's your vibe today? #SpotifyHits"/>
    <n v="2169"/>
    <n v="240"/>
    <n v="57"/>
    <n v="26109"/>
    <n v="46667"/>
    <n v="133"/>
    <x v="1"/>
    <x v="0"/>
    <n v="9.4450189589796618E-2"/>
    <d v="2025-01-10T00:00:00"/>
    <n v="45698"/>
    <x v="0"/>
  </r>
  <r>
    <s v="SP218"/>
    <s v="Twitter"/>
    <d v="2024-10-14T00:00:00"/>
    <s v="Story"/>
    <s v="Explore the latest podcasts now."/>
    <n v="4303"/>
    <n v="306"/>
    <n v="302"/>
    <n v="39575"/>
    <n v="33762"/>
    <n v="265"/>
    <x v="2"/>
    <x v="0"/>
    <n v="0.12409349336702463"/>
    <d v="2025-01-10T00:00:00"/>
    <n v="45698"/>
    <x v="0"/>
  </r>
  <r>
    <s v="SP218"/>
    <s v="Twitter"/>
    <d v="2024-10-14T00:00:00"/>
    <s v="Story"/>
    <s v="Explore the latest podcasts now."/>
    <n v="4303"/>
    <n v="306"/>
    <n v="302"/>
    <n v="39575"/>
    <n v="33762"/>
    <n v="265"/>
    <x v="3"/>
    <x v="0"/>
    <n v="0.12409349336702463"/>
    <d v="2025-01-10T00:00:00"/>
    <n v="45698"/>
    <x v="0"/>
  </r>
  <r>
    <s v="SP219"/>
    <s v="Twitter"/>
    <d v="2024-02-10T00:00:00"/>
    <s v="Text"/>
    <s v="From pop to podcasts, it's all here."/>
    <n v="1519"/>
    <n v="456"/>
    <n v="379"/>
    <n v="51611"/>
    <n v="45880"/>
    <n v="176"/>
    <x v="0"/>
    <x v="1"/>
    <n v="4.5610431884675749E-2"/>
    <d v="2025-03-01T00:00:00"/>
    <n v="45747"/>
    <x v="0"/>
  </r>
  <r>
    <s v="SP220"/>
    <s v="YouTube"/>
    <d v="2024-12-10T00:00:00"/>
    <s v="Text"/>
    <s v="What's your vibe today? #SpotifyHits"/>
    <n v="2569"/>
    <n v="140"/>
    <n v="375"/>
    <n v="38372"/>
    <n v="22102"/>
    <n v="255"/>
    <x v="2"/>
    <x v="1"/>
    <n v="8.0371103929948923E-2"/>
    <d v="2025-03-01T00:00:00"/>
    <n v="45747"/>
    <x v="0"/>
  </r>
  <r>
    <s v="SP220"/>
    <s v="YouTube"/>
    <d v="2024-12-10T00:00:00"/>
    <s v="Text"/>
    <s v="What's your vibe today? #SpotifyHits"/>
    <n v="2569"/>
    <n v="140"/>
    <n v="375"/>
    <n v="38372"/>
    <n v="22102"/>
    <n v="255"/>
    <x v="4"/>
    <x v="1"/>
    <n v="8.0371103929948923E-2"/>
    <d v="2025-03-01T00:00:00"/>
    <n v="45747"/>
    <x v="0"/>
  </r>
  <r>
    <s v="SP221"/>
    <s v="Twitter"/>
    <d v="2025-05-09T00:00:00"/>
    <s v="Story"/>
    <s v="Music that moves you-only on Spotify."/>
    <n v="2778"/>
    <n v="241"/>
    <n v="317"/>
    <n v="26247"/>
    <n v="20677"/>
    <n v="282"/>
    <x v="3"/>
    <x v="0"/>
    <n v="0.1271002400274317"/>
    <d v="2025-01-10T00:00:00"/>
    <n v="45698"/>
    <x v="0"/>
  </r>
  <r>
    <s v="SP221"/>
    <s v="Twitter"/>
    <d v="2025-05-09T00:00:00"/>
    <s v="Story"/>
    <s v="Music that moves you-only on Spotify."/>
    <n v="2778"/>
    <n v="241"/>
    <n v="317"/>
    <n v="26247"/>
    <n v="20677"/>
    <n v="282"/>
    <x v="1"/>
    <x v="0"/>
    <n v="0.1271002400274317"/>
    <d v="2025-01-10T00:00:00"/>
    <n v="45698"/>
    <x v="0"/>
  </r>
  <r>
    <s v="SP222"/>
    <s v="Twitter"/>
    <d v="2025-06-21T00:00:00"/>
    <s v="Text"/>
    <s v="Explore the latest podcasts now."/>
    <n v="3611"/>
    <n v="127"/>
    <n v="139"/>
    <n v="44768"/>
    <n v="29435"/>
    <n v="178"/>
    <x v="1"/>
    <x v="0"/>
    <n v="8.6602037169406718E-2"/>
    <d v="2025-01-10T00:00:00"/>
    <n v="45698"/>
    <x v="0"/>
  </r>
  <r>
    <s v="SP223"/>
    <s v="Twitter"/>
    <d v="2024-06-19T00:00:00"/>
    <s v="Text"/>
    <s v="What's your vibe today? #SpotifyHits"/>
    <n v="1224"/>
    <n v="168"/>
    <n v="199"/>
    <n v="54232"/>
    <n v="52844"/>
    <n v="271"/>
    <x v="0"/>
    <x v="1"/>
    <n v="2.9336922849977874E-2"/>
    <d v="2025-03-01T00:00:00"/>
    <n v="45747"/>
    <x v="0"/>
  </r>
  <r>
    <s v="SP224"/>
    <s v="Twitter"/>
    <d v="2024-12-10T00:00:00"/>
    <s v="Text"/>
    <s v="From pop to podcasts, it's all here."/>
    <n v="4673"/>
    <n v="270"/>
    <n v="93"/>
    <n v="45260"/>
    <n v="57513"/>
    <n v="103"/>
    <x v="1"/>
    <x v="0"/>
    <n v="0.11126822801590809"/>
    <d v="2025-01-10T00:00:00"/>
    <n v="45698"/>
    <x v="0"/>
  </r>
  <r>
    <s v="SP225"/>
    <s v="YouTube"/>
    <d v="2024-02-01T00:00:00"/>
    <s v="Text"/>
    <s v="Wrapped is here! Relive your top tracks 🎧"/>
    <n v="1432"/>
    <n v="437"/>
    <n v="267"/>
    <n v="40634"/>
    <n v="54511"/>
    <n v="197"/>
    <x v="2"/>
    <x v="1"/>
    <n v="5.2566815966924252E-2"/>
    <d v="2025-03-01T00:00:00"/>
    <n v="45747"/>
    <x v="0"/>
  </r>
  <r>
    <s v="SP225"/>
    <s v="YouTube"/>
    <d v="2024-02-01T00:00:00"/>
    <s v="Text"/>
    <s v="Wrapped is here! Relive your top tracks 🎧"/>
    <n v="1432"/>
    <n v="437"/>
    <n v="267"/>
    <n v="40634"/>
    <n v="54511"/>
    <n v="197"/>
    <x v="4"/>
    <x v="1"/>
    <n v="5.2566815966924252E-2"/>
    <d v="2025-03-01T00:00:00"/>
    <n v="45747"/>
    <x v="0"/>
  </r>
  <r>
    <s v="SP226"/>
    <s v="Twitter"/>
    <d v="2024-01-17T00:00:00"/>
    <s v="Story"/>
    <s v="New music just dropped. Hit play!"/>
    <n v="2174"/>
    <n v="499"/>
    <n v="212"/>
    <n v="54938"/>
    <n v="27190"/>
    <n v="265"/>
    <x v="3"/>
    <x v="0"/>
    <n v="5.2513742764570971E-2"/>
    <d v="2025-01-10T00:00:00"/>
    <n v="45698"/>
    <x v="0"/>
  </r>
  <r>
    <s v="SP226"/>
    <s v="Twitter"/>
    <d v="2024-01-17T00:00:00"/>
    <s v="Story"/>
    <s v="New music just dropped. Hit play!"/>
    <n v="2174"/>
    <n v="499"/>
    <n v="212"/>
    <n v="54938"/>
    <n v="27190"/>
    <n v="265"/>
    <x v="1"/>
    <x v="0"/>
    <n v="5.2513742764570971E-2"/>
    <d v="2025-01-10T00:00:00"/>
    <n v="45698"/>
    <x v="0"/>
  </r>
  <r>
    <s v="SP227"/>
    <s v="YouTube"/>
    <d v="2025-03-22T00:00:00"/>
    <s v="Text"/>
    <s v="Music that moves you-only on Spotify."/>
    <n v="4308"/>
    <n v="171"/>
    <n v="106"/>
    <n v="36955"/>
    <n v="23949"/>
    <n v="294"/>
    <x v="2"/>
    <x v="1"/>
    <n v="0.12406981463942633"/>
    <d v="2025-03-01T00:00:00"/>
    <n v="45747"/>
    <x v="1"/>
  </r>
  <r>
    <s v="SP227"/>
    <s v="YouTube"/>
    <d v="2025-03-22T00:00:00"/>
    <s v="Text"/>
    <s v="Music that moves you-only on Spotify."/>
    <n v="4308"/>
    <n v="171"/>
    <n v="106"/>
    <n v="36955"/>
    <n v="23949"/>
    <n v="294"/>
    <x v="4"/>
    <x v="1"/>
    <n v="0.12406981463942633"/>
    <d v="2025-03-01T00:00:00"/>
    <n v="45747"/>
    <x v="1"/>
  </r>
  <r>
    <s v="SP228"/>
    <s v="YouTube"/>
    <d v="2024-05-30T00:00:00"/>
    <s v="Reel"/>
    <s v="What's your vibe today? #SpotifyHits"/>
    <n v="1060"/>
    <n v="442"/>
    <n v="319"/>
    <n v="57194"/>
    <n v="24258"/>
    <n v="101"/>
    <x v="2"/>
    <x v="3"/>
    <n v="3.1839004091338254E-2"/>
    <d v="2024-06-15T00:00:00"/>
    <n v="45488"/>
    <x v="0"/>
  </r>
  <r>
    <s v="SP228"/>
    <s v="YouTube"/>
    <d v="2024-05-30T00:00:00"/>
    <s v="Reel"/>
    <s v="What's your vibe today? #SpotifyHits"/>
    <n v="1060"/>
    <n v="442"/>
    <n v="319"/>
    <n v="57194"/>
    <n v="24258"/>
    <n v="101"/>
    <x v="0"/>
    <x v="3"/>
    <n v="3.1839004091338254E-2"/>
    <d v="2024-06-15T00:00:00"/>
    <n v="45488"/>
    <x v="0"/>
  </r>
  <r>
    <s v="SP229"/>
    <s v="YouTube"/>
    <d v="2024-02-24T00:00:00"/>
    <s v="Text"/>
    <s v="Music that moves you-only on Spotify."/>
    <n v="4653"/>
    <n v="226"/>
    <n v="349"/>
    <n v="56876"/>
    <n v="28452"/>
    <n v="257"/>
    <x v="2"/>
    <x v="1"/>
    <n v="9.191926295801392E-2"/>
    <d v="2025-03-01T00:00:00"/>
    <n v="45747"/>
    <x v="0"/>
  </r>
  <r>
    <s v="SP229"/>
    <s v="YouTube"/>
    <d v="2024-02-24T00:00:00"/>
    <s v="Text"/>
    <s v="Music that moves you-only on Spotify."/>
    <n v="4653"/>
    <n v="226"/>
    <n v="349"/>
    <n v="56876"/>
    <n v="28452"/>
    <n v="257"/>
    <x v="4"/>
    <x v="1"/>
    <n v="9.191926295801392E-2"/>
    <d v="2025-03-01T00:00:00"/>
    <n v="45747"/>
    <x v="0"/>
  </r>
  <r>
    <s v="SP230"/>
    <s v="YouTube"/>
    <d v="2025-05-14T00:00:00"/>
    <s v="Text"/>
    <s v="Discover fresh beats on Spotify!"/>
    <n v="1701"/>
    <n v="272"/>
    <n v="385"/>
    <n v="47496"/>
    <n v="40832"/>
    <n v="246"/>
    <x v="2"/>
    <x v="1"/>
    <n v="4.9646286003031836E-2"/>
    <d v="2025-03-01T00:00:00"/>
    <n v="45747"/>
    <x v="0"/>
  </r>
  <r>
    <s v="SP230"/>
    <s v="YouTube"/>
    <d v="2025-05-14T00:00:00"/>
    <s v="Text"/>
    <s v="Discover fresh beats on Spotify!"/>
    <n v="1701"/>
    <n v="272"/>
    <n v="385"/>
    <n v="47496"/>
    <n v="40832"/>
    <n v="246"/>
    <x v="4"/>
    <x v="1"/>
    <n v="4.9646286003031836E-2"/>
    <d v="2025-03-01T00:00:00"/>
    <n v="45747"/>
    <x v="0"/>
  </r>
  <r>
    <s v="SP231"/>
    <s v="Instagram"/>
    <d v="2024-03-28T00:00:00"/>
    <s v="Text"/>
    <s v="What's your vibe today? #SpotifyHits"/>
    <n v="1673"/>
    <n v="280"/>
    <n v="67"/>
    <n v="29847"/>
    <n v="48016"/>
    <n v="213"/>
    <x v="0"/>
    <x v="0"/>
    <n v="6.76784936509532E-2"/>
    <d v="2025-01-10T00:00:00"/>
    <n v="45698"/>
    <x v="0"/>
  </r>
  <r>
    <s v="SP231"/>
    <s v="Instagram"/>
    <d v="2024-03-28T00:00:00"/>
    <s v="Text"/>
    <s v="What's your vibe today? #SpotifyHits"/>
    <n v="1673"/>
    <n v="280"/>
    <n v="67"/>
    <n v="29847"/>
    <n v="48016"/>
    <n v="213"/>
    <x v="1"/>
    <x v="0"/>
    <n v="6.76784936509532E-2"/>
    <d v="2025-01-10T00:00:00"/>
    <n v="45698"/>
    <x v="0"/>
  </r>
  <r>
    <s v="SP232"/>
    <s v="YouTube"/>
    <d v="2025-03-07T00:00:00"/>
    <s v="Text"/>
    <s v="Top trending tracks updated daily!"/>
    <n v="4310"/>
    <n v="284"/>
    <n v="306"/>
    <n v="44606"/>
    <n v="42604"/>
    <n v="290"/>
    <x v="2"/>
    <x v="1"/>
    <n v="0.10985069273191947"/>
    <d v="2025-03-01T00:00:00"/>
    <n v="45747"/>
    <x v="1"/>
  </r>
  <r>
    <s v="SP232"/>
    <s v="YouTube"/>
    <d v="2025-03-07T00:00:00"/>
    <s v="Text"/>
    <s v="Top trending tracks updated daily!"/>
    <n v="4310"/>
    <n v="284"/>
    <n v="306"/>
    <n v="44606"/>
    <n v="42604"/>
    <n v="290"/>
    <x v="4"/>
    <x v="1"/>
    <n v="0.10985069273191947"/>
    <d v="2025-03-01T00:00:00"/>
    <n v="45747"/>
    <x v="1"/>
  </r>
  <r>
    <s v="SP233"/>
    <s v="Twitter"/>
    <d v="2024-10-20T00:00:00"/>
    <s v="Text"/>
    <s v="From pop to podcasts, it's all here."/>
    <n v="2752"/>
    <n v="309"/>
    <n v="91"/>
    <n v="39038"/>
    <n v="28095"/>
    <n v="277"/>
    <x v="1"/>
    <x v="0"/>
    <n v="8.0741841282852611E-2"/>
    <d v="2025-01-10T00:00:00"/>
    <n v="45698"/>
    <x v="0"/>
  </r>
  <r>
    <s v="SP234"/>
    <s v="Twitter"/>
    <d v="2024-02-02T00:00:00"/>
    <s v="Text"/>
    <s v="From pop to podcasts, it's all here."/>
    <n v="3818"/>
    <n v="115"/>
    <n v="286"/>
    <n v="25127"/>
    <n v="22277"/>
    <n v="263"/>
    <x v="1"/>
    <x v="0"/>
    <n v="0.16790703227603773"/>
    <d v="2025-01-10T00:00:00"/>
    <n v="45698"/>
    <x v="0"/>
  </r>
  <r>
    <s v="SP235"/>
    <s v="YouTube"/>
    <d v="2024-09-07T00:00:00"/>
    <s v="Text"/>
    <s v="Your weekend playlist is waiting."/>
    <n v="2101"/>
    <n v="411"/>
    <n v="190"/>
    <n v="41791"/>
    <n v="57090"/>
    <n v="172"/>
    <x v="2"/>
    <x v="1"/>
    <n v="6.4655069273288512E-2"/>
    <d v="2025-03-01T00:00:00"/>
    <n v="45747"/>
    <x v="0"/>
  </r>
  <r>
    <s v="SP235"/>
    <s v="YouTube"/>
    <d v="2024-09-07T00:00:00"/>
    <s v="Text"/>
    <s v="Your weekend playlist is waiting."/>
    <n v="2101"/>
    <n v="411"/>
    <n v="190"/>
    <n v="41791"/>
    <n v="57090"/>
    <n v="172"/>
    <x v="4"/>
    <x v="1"/>
    <n v="6.4655069273288512E-2"/>
    <d v="2025-03-01T00:00:00"/>
    <n v="45747"/>
    <x v="0"/>
  </r>
  <r>
    <s v="SP236"/>
    <s v="Instagram"/>
    <d v="2024-12-20T00:00:00"/>
    <s v="Text"/>
    <s v="Discover fresh beats on Spotify!"/>
    <n v="2519"/>
    <n v="202"/>
    <n v="239"/>
    <n v="36245"/>
    <n v="48606"/>
    <n v="145"/>
    <x v="2"/>
    <x v="1"/>
    <n v="8.1666436749896543E-2"/>
    <d v="2025-03-01T00:00:00"/>
    <n v="45747"/>
    <x v="0"/>
  </r>
  <r>
    <s v="SP237"/>
    <s v="YouTube"/>
    <d v="2024-01-14T00:00:00"/>
    <s v="Text"/>
    <s v="What's your vibe today? #SpotifyHits"/>
    <n v="4502"/>
    <n v="238"/>
    <n v="386"/>
    <n v="39198"/>
    <n v="25050"/>
    <n v="297"/>
    <x v="2"/>
    <x v="1"/>
    <n v="0.13077197816215114"/>
    <d v="2025-03-01T00:00:00"/>
    <n v="45747"/>
    <x v="0"/>
  </r>
  <r>
    <s v="SP237"/>
    <s v="YouTube"/>
    <d v="2024-01-14T00:00:00"/>
    <s v="Text"/>
    <s v="What's your vibe today? #SpotifyHits"/>
    <n v="4502"/>
    <n v="238"/>
    <n v="386"/>
    <n v="39198"/>
    <n v="25050"/>
    <n v="297"/>
    <x v="4"/>
    <x v="1"/>
    <n v="0.13077197816215114"/>
    <d v="2025-03-01T00:00:00"/>
    <n v="45747"/>
    <x v="0"/>
  </r>
  <r>
    <s v="SP238"/>
    <s v="Instagram"/>
    <d v="2025-06-15T00:00:00"/>
    <s v="Text"/>
    <s v="Explore the latest podcasts now."/>
    <n v="2478"/>
    <n v="427"/>
    <n v="242"/>
    <n v="59272"/>
    <n v="37833"/>
    <n v="214"/>
    <x v="0"/>
    <x v="0"/>
    <n v="5.3094209744904843E-2"/>
    <d v="2025-01-10T00:00:00"/>
    <n v="45698"/>
    <x v="0"/>
  </r>
  <r>
    <s v="SP238"/>
    <s v="Instagram"/>
    <d v="2025-06-15T00:00:00"/>
    <s v="Text"/>
    <s v="Explore the latest podcasts now."/>
    <n v="2478"/>
    <n v="427"/>
    <n v="242"/>
    <n v="59272"/>
    <n v="37833"/>
    <n v="214"/>
    <x v="1"/>
    <x v="0"/>
    <n v="5.3094209744904843E-2"/>
    <d v="2025-01-10T00:00:00"/>
    <n v="45698"/>
    <x v="0"/>
  </r>
  <r>
    <s v="SP239"/>
    <s v="Twitter"/>
    <d v="2024-12-13T00:00:00"/>
    <s v="Story"/>
    <s v="New music just dropped. Hit play!"/>
    <n v="4984"/>
    <n v="300"/>
    <n v="338"/>
    <n v="32900"/>
    <n v="31691"/>
    <n v="160"/>
    <x v="3"/>
    <x v="0"/>
    <n v="0.17088145896656534"/>
    <d v="2025-01-10T00:00:00"/>
    <n v="45698"/>
    <x v="0"/>
  </r>
  <r>
    <s v="SP239"/>
    <s v="Twitter"/>
    <d v="2024-12-13T00:00:00"/>
    <s v="Story"/>
    <s v="New music just dropped. Hit play!"/>
    <n v="4984"/>
    <n v="300"/>
    <n v="338"/>
    <n v="32900"/>
    <n v="31691"/>
    <n v="160"/>
    <x v="1"/>
    <x v="0"/>
    <n v="0.17088145896656534"/>
    <d v="2025-01-10T00:00:00"/>
    <n v="45698"/>
    <x v="0"/>
  </r>
  <r>
    <s v="SP240"/>
    <s v="YouTube"/>
    <d v="2024-08-29T00:00:00"/>
    <s v="Text"/>
    <s v="Wrapped is here! Relive your top tracks 🎧"/>
    <n v="4774"/>
    <n v="389"/>
    <n v="358"/>
    <n v="52346"/>
    <n v="30518"/>
    <n v="277"/>
    <x v="2"/>
    <x v="1"/>
    <n v="0.10547128720437092"/>
    <d v="2025-03-01T00:00:00"/>
    <n v="45747"/>
    <x v="0"/>
  </r>
  <r>
    <s v="SP240"/>
    <s v="YouTube"/>
    <d v="2024-08-29T00:00:00"/>
    <s v="Text"/>
    <s v="Wrapped is here! Relive your top tracks 🎧"/>
    <n v="4774"/>
    <n v="389"/>
    <n v="358"/>
    <n v="52346"/>
    <n v="30518"/>
    <n v="277"/>
    <x v="4"/>
    <x v="1"/>
    <n v="0.10547128720437092"/>
    <d v="2025-03-01T00:00:00"/>
    <n v="45747"/>
    <x v="0"/>
  </r>
  <r>
    <s v="SP241"/>
    <s v="Twitter"/>
    <d v="2024-09-15T00:00:00"/>
    <s v="Text"/>
    <s v="Get into the groove with our new drop!"/>
    <n v="2145"/>
    <n v="340"/>
    <n v="85"/>
    <n v="53323"/>
    <n v="49938"/>
    <n v="104"/>
    <x v="1"/>
    <x v="0"/>
    <n v="4.819683813738912E-2"/>
    <d v="2025-01-10T00:00:00"/>
    <n v="45698"/>
    <x v="0"/>
  </r>
  <r>
    <s v="SP242"/>
    <s v="Twitter"/>
    <d v="2025-04-12T00:00:00"/>
    <s v="Story"/>
    <s v="From pop to podcasts, it's all here."/>
    <n v="4315"/>
    <n v="208"/>
    <n v="273"/>
    <n v="35780"/>
    <n v="44349"/>
    <n v="133"/>
    <x v="2"/>
    <x v="0"/>
    <n v="0.13404136389044158"/>
    <d v="2025-01-10T00:00:00"/>
    <n v="45698"/>
    <x v="0"/>
  </r>
  <r>
    <s v="SP242"/>
    <s v="Twitter"/>
    <d v="2025-04-12T00:00:00"/>
    <s v="Story"/>
    <s v="From pop to podcasts, it's all here."/>
    <n v="4315"/>
    <n v="208"/>
    <n v="273"/>
    <n v="35780"/>
    <n v="44349"/>
    <n v="133"/>
    <x v="3"/>
    <x v="0"/>
    <n v="0.13404136389044158"/>
    <d v="2025-01-10T00:00:00"/>
    <n v="45698"/>
    <x v="0"/>
  </r>
  <r>
    <s v="SP243"/>
    <s v="Twitter"/>
    <d v="2024-12-10T00:00:00"/>
    <s v="Story"/>
    <s v="Wrapped is here! Relive your top tracks 🎧"/>
    <n v="2267"/>
    <n v="230"/>
    <n v="243"/>
    <n v="27904"/>
    <n v="69771"/>
    <n v="255"/>
    <x v="2"/>
    <x v="0"/>
    <n v="9.8193807339449546E-2"/>
    <d v="2025-01-10T00:00:00"/>
    <n v="45698"/>
    <x v="0"/>
  </r>
  <r>
    <s v="SP243"/>
    <s v="Twitter"/>
    <d v="2024-12-10T00:00:00"/>
    <s v="Story"/>
    <s v="Wrapped is here! Relive your top tracks 🎧"/>
    <n v="2267"/>
    <n v="230"/>
    <n v="243"/>
    <n v="27904"/>
    <n v="69771"/>
    <n v="255"/>
    <x v="3"/>
    <x v="0"/>
    <n v="9.8193807339449546E-2"/>
    <d v="2025-01-10T00:00:00"/>
    <n v="45698"/>
    <x v="0"/>
  </r>
  <r>
    <s v="SP244"/>
    <s v="YouTube"/>
    <d v="2025-06-08T00:00:00"/>
    <s v="Text"/>
    <s v="Music that moves you-only on Spotify."/>
    <n v="4375"/>
    <n v="303"/>
    <n v="294"/>
    <n v="57468"/>
    <n v="53397"/>
    <n v="159"/>
    <x v="2"/>
    <x v="1"/>
    <n v="8.6517714206166912E-2"/>
    <d v="2025-03-01T00:00:00"/>
    <n v="45747"/>
    <x v="0"/>
  </r>
  <r>
    <s v="SP244"/>
    <s v="YouTube"/>
    <d v="2025-06-08T00:00:00"/>
    <s v="Text"/>
    <s v="Music that moves you-only on Spotify."/>
    <n v="4375"/>
    <n v="303"/>
    <n v="294"/>
    <n v="57468"/>
    <n v="53397"/>
    <n v="159"/>
    <x v="4"/>
    <x v="1"/>
    <n v="8.6517714206166912E-2"/>
    <d v="2025-03-01T00:00:00"/>
    <n v="45747"/>
    <x v="0"/>
  </r>
  <r>
    <s v="SP245"/>
    <s v="Twitter"/>
    <d v="2025-01-09T00:00:00"/>
    <s v="Story"/>
    <s v="Your weekend playlist is waiting."/>
    <n v="3817"/>
    <n v="284"/>
    <n v="204"/>
    <n v="46434"/>
    <n v="53396"/>
    <n v="104"/>
    <x v="3"/>
    <x v="0"/>
    <n v="9.2712236723090841E-2"/>
    <d v="2025-01-10T00:00:00"/>
    <n v="45698"/>
    <x v="0"/>
  </r>
  <r>
    <s v="SP245"/>
    <s v="Twitter"/>
    <d v="2025-01-09T00:00:00"/>
    <s v="Story"/>
    <s v="Your weekend playlist is waiting."/>
    <n v="3817"/>
    <n v="284"/>
    <n v="204"/>
    <n v="46434"/>
    <n v="53396"/>
    <n v="104"/>
    <x v="1"/>
    <x v="0"/>
    <n v="9.2712236723090841E-2"/>
    <d v="2025-01-10T00:00:00"/>
    <n v="45698"/>
    <x v="0"/>
  </r>
  <r>
    <s v="SP246"/>
    <s v="Twitter"/>
    <d v="2024-07-08T00:00:00"/>
    <s v="Story"/>
    <s v="Top trending tracks updated daily!"/>
    <n v="2981"/>
    <n v="258"/>
    <n v="168"/>
    <n v="20677"/>
    <n v="68290"/>
    <n v="130"/>
    <x v="0"/>
    <x v="0"/>
    <n v="0.16477245248343569"/>
    <d v="2025-01-10T00:00:00"/>
    <n v="45698"/>
    <x v="0"/>
  </r>
  <r>
    <s v="SP246"/>
    <s v="Twitter"/>
    <d v="2024-07-08T00:00:00"/>
    <s v="Story"/>
    <s v="Top trending tracks updated daily!"/>
    <n v="2981"/>
    <n v="258"/>
    <n v="168"/>
    <n v="20677"/>
    <n v="68290"/>
    <n v="130"/>
    <x v="1"/>
    <x v="0"/>
    <n v="0.16477245248343569"/>
    <d v="2025-01-10T00:00:00"/>
    <n v="45698"/>
    <x v="0"/>
  </r>
  <r>
    <s v="SP247"/>
    <s v="Twitter"/>
    <d v="2024-09-16T00:00:00"/>
    <s v="Story"/>
    <s v="Your weekend playlist is waiting."/>
    <n v="3300"/>
    <n v="354"/>
    <n v="397"/>
    <n v="56773"/>
    <n v="72110"/>
    <n v="163"/>
    <x v="2"/>
    <x v="0"/>
    <n v="7.1354340971940891E-2"/>
    <d v="2025-01-10T00:00:00"/>
    <n v="45698"/>
    <x v="0"/>
  </r>
  <r>
    <s v="SP247"/>
    <s v="Twitter"/>
    <d v="2024-09-16T00:00:00"/>
    <s v="Story"/>
    <s v="Your weekend playlist is waiting."/>
    <n v="3300"/>
    <n v="354"/>
    <n v="397"/>
    <n v="56773"/>
    <n v="72110"/>
    <n v="163"/>
    <x v="3"/>
    <x v="0"/>
    <n v="7.1354340971940891E-2"/>
    <d v="2025-01-10T00:00:00"/>
    <n v="45698"/>
    <x v="0"/>
  </r>
  <r>
    <s v="SP248"/>
    <s v="YouTube"/>
    <d v="2024-06-14T00:00:00"/>
    <s v="Reel"/>
    <s v="Wrapped is here! Relive your top tracks 🎧"/>
    <n v="4722"/>
    <n v="310"/>
    <n v="344"/>
    <n v="27911"/>
    <n v="19000"/>
    <n v="225"/>
    <x v="2"/>
    <x v="3"/>
    <n v="0.19261223173659131"/>
    <d v="2024-06-15T00:00:00"/>
    <n v="45488"/>
    <x v="0"/>
  </r>
  <r>
    <s v="SP248"/>
    <s v="YouTube"/>
    <d v="2024-06-14T00:00:00"/>
    <s v="Reel"/>
    <s v="Wrapped is here! Relive your top tracks 🎧"/>
    <n v="4722"/>
    <n v="310"/>
    <n v="344"/>
    <n v="27911"/>
    <n v="19000"/>
    <n v="225"/>
    <x v="0"/>
    <x v="3"/>
    <n v="0.19261223173659131"/>
    <d v="2024-06-15T00:00:00"/>
    <n v="45488"/>
    <x v="0"/>
  </r>
  <r>
    <s v="SP249"/>
    <s v="Instagram"/>
    <d v="2024-03-06T00:00:00"/>
    <s v="Text"/>
    <s v="What's your vibe today? #SpotifyHits"/>
    <n v="3529"/>
    <n v="263"/>
    <n v="107"/>
    <n v="26570"/>
    <n v="19367"/>
    <n v="96"/>
    <x v="2"/>
    <x v="1"/>
    <n v="0.14674444862627023"/>
    <d v="2025-03-01T00:00:00"/>
    <n v="45747"/>
    <x v="0"/>
  </r>
  <r>
    <s v="SP250"/>
    <s v="Twitter"/>
    <d v="2025-05-15T00:00:00"/>
    <s v="Text"/>
    <s v="Your weekend playlist is waiting."/>
    <n v="4782"/>
    <n v="210"/>
    <n v="311"/>
    <n v="29793"/>
    <n v="37543"/>
    <n v="145"/>
    <x v="1"/>
    <x v="0"/>
    <n v="0.17799483100057059"/>
    <d v="2025-01-10T00:00:00"/>
    <n v="45698"/>
    <x v="0"/>
  </r>
  <r>
    <s v="SP251"/>
    <s v="Twitter"/>
    <d v="2024-07-07T00:00:00"/>
    <s v="Text"/>
    <s v="What's your vibe today? #SpotifyHits"/>
    <n v="1848"/>
    <n v="417"/>
    <n v="294"/>
    <n v="57819"/>
    <n v="19798"/>
    <n v="262"/>
    <x v="0"/>
    <x v="1"/>
    <n v="4.4258807658382193E-2"/>
    <d v="2025-03-01T00:00:00"/>
    <n v="45747"/>
    <x v="0"/>
  </r>
  <r>
    <s v="SP252"/>
    <s v="YouTube"/>
    <d v="2024-10-26T00:00:00"/>
    <s v="Text"/>
    <s v="New music just dropped. Hit play!"/>
    <n v="4676"/>
    <n v="211"/>
    <n v="55"/>
    <n v="45917"/>
    <n v="73503"/>
    <n v="248"/>
    <x v="2"/>
    <x v="1"/>
    <n v="0.10762898272970794"/>
    <d v="2025-03-01T00:00:00"/>
    <n v="45747"/>
    <x v="0"/>
  </r>
  <r>
    <s v="SP252"/>
    <s v="YouTube"/>
    <d v="2024-10-26T00:00:00"/>
    <s v="Text"/>
    <s v="New music just dropped. Hit play!"/>
    <n v="4676"/>
    <n v="211"/>
    <n v="55"/>
    <n v="45917"/>
    <n v="73503"/>
    <n v="248"/>
    <x v="4"/>
    <x v="1"/>
    <n v="0.10762898272970794"/>
    <d v="2025-03-01T00:00:00"/>
    <n v="45747"/>
    <x v="0"/>
  </r>
  <r>
    <s v="SP253"/>
    <s v="YouTube"/>
    <d v="2024-08-08T00:00:00"/>
    <s v="Text"/>
    <s v="From pop to podcasts, it's all here."/>
    <n v="1994"/>
    <n v="197"/>
    <n v="290"/>
    <n v="49500"/>
    <n v="23343"/>
    <n v="160"/>
    <x v="2"/>
    <x v="1"/>
    <n v="5.0121212121212122E-2"/>
    <d v="2025-03-01T00:00:00"/>
    <n v="45747"/>
    <x v="0"/>
  </r>
  <r>
    <s v="SP253"/>
    <s v="YouTube"/>
    <d v="2024-08-08T00:00:00"/>
    <s v="Text"/>
    <s v="From pop to podcasts, it's all here."/>
    <n v="1994"/>
    <n v="197"/>
    <n v="290"/>
    <n v="49500"/>
    <n v="23343"/>
    <n v="160"/>
    <x v="4"/>
    <x v="1"/>
    <n v="5.0121212121212122E-2"/>
    <d v="2025-03-01T00:00:00"/>
    <n v="45747"/>
    <x v="0"/>
  </r>
  <r>
    <s v="SP254"/>
    <s v="Twitter"/>
    <d v="2025-02-03T00:00:00"/>
    <s v="Text"/>
    <s v="What's your vibe today? #SpotifyHits"/>
    <n v="4995"/>
    <n v="231"/>
    <n v="94"/>
    <n v="34431"/>
    <n v="32560"/>
    <n v="262"/>
    <x v="1"/>
    <x v="0"/>
    <n v="0.15451192239551567"/>
    <d v="2025-01-10T00:00:00"/>
    <n v="45698"/>
    <x v="1"/>
  </r>
  <r>
    <s v="SP255"/>
    <s v="Twitter"/>
    <d v="2024-04-03T00:00:00"/>
    <s v="Story"/>
    <s v="Top trending tracks updated daily!"/>
    <n v="2291"/>
    <n v="146"/>
    <n v="399"/>
    <n v="49319"/>
    <n v="28056"/>
    <n v="90"/>
    <x v="2"/>
    <x v="0"/>
    <n v="5.7503193495407452E-2"/>
    <d v="2025-01-10T00:00:00"/>
    <n v="45698"/>
    <x v="0"/>
  </r>
  <r>
    <s v="SP255"/>
    <s v="Twitter"/>
    <d v="2024-04-03T00:00:00"/>
    <s v="Story"/>
    <s v="Top trending tracks updated daily!"/>
    <n v="2291"/>
    <n v="146"/>
    <n v="399"/>
    <n v="49319"/>
    <n v="28056"/>
    <n v="90"/>
    <x v="3"/>
    <x v="0"/>
    <n v="5.7503193495407452E-2"/>
    <d v="2025-01-10T00:00:00"/>
    <n v="45698"/>
    <x v="0"/>
  </r>
  <r>
    <s v="SP256"/>
    <s v="Twitter"/>
    <d v="2024-07-08T00:00:00"/>
    <s v="Story"/>
    <s v="Wrapped is here! Relive your top tracks 🎧"/>
    <n v="2304"/>
    <n v="289"/>
    <n v="161"/>
    <n v="52645"/>
    <n v="66262"/>
    <n v="146"/>
    <x v="3"/>
    <x v="0"/>
    <n v="5.2312660271630736E-2"/>
    <d v="2025-01-10T00:00:00"/>
    <n v="45698"/>
    <x v="0"/>
  </r>
  <r>
    <s v="SP256"/>
    <s v="Twitter"/>
    <d v="2024-07-08T00:00:00"/>
    <s v="Story"/>
    <s v="Wrapped is here! Relive your top tracks 🎧"/>
    <n v="2304"/>
    <n v="289"/>
    <n v="161"/>
    <n v="52645"/>
    <n v="66262"/>
    <n v="146"/>
    <x v="1"/>
    <x v="0"/>
    <n v="5.2312660271630736E-2"/>
    <d v="2025-01-10T00:00:00"/>
    <n v="45698"/>
    <x v="0"/>
  </r>
  <r>
    <s v="SP257"/>
    <s v="Twitter"/>
    <d v="2024-06-08T00:00:00"/>
    <s v="Story"/>
    <s v="Top trending tracks updated daily!"/>
    <n v="3413"/>
    <n v="326"/>
    <n v="86"/>
    <n v="44680"/>
    <n v="52719"/>
    <n v="272"/>
    <x v="2"/>
    <x v="0"/>
    <n v="8.5608773500447627E-2"/>
    <d v="2025-01-10T00:00:00"/>
    <n v="45698"/>
    <x v="0"/>
  </r>
  <r>
    <s v="SP257"/>
    <s v="Twitter"/>
    <d v="2024-06-08T00:00:00"/>
    <s v="Story"/>
    <s v="Top trending tracks updated daily!"/>
    <n v="3413"/>
    <n v="326"/>
    <n v="86"/>
    <n v="44680"/>
    <n v="52719"/>
    <n v="272"/>
    <x v="3"/>
    <x v="0"/>
    <n v="8.5608773500447627E-2"/>
    <d v="2025-01-10T00:00:00"/>
    <n v="45698"/>
    <x v="0"/>
  </r>
  <r>
    <s v="SP258"/>
    <s v="YouTube"/>
    <d v="2025-03-20T00:00:00"/>
    <s v="Reel"/>
    <s v="From pop to podcasts, it's all here."/>
    <n v="1453"/>
    <n v="156"/>
    <n v="178"/>
    <n v="52980"/>
    <n v="57180"/>
    <n v="286"/>
    <x v="2"/>
    <x v="3"/>
    <n v="3.3729709324273313E-2"/>
    <d v="2024-06-15T00:00:00"/>
    <n v="45488"/>
    <x v="0"/>
  </r>
  <r>
    <s v="SP258"/>
    <s v="YouTube"/>
    <d v="2025-03-20T00:00:00"/>
    <s v="Reel"/>
    <s v="From pop to podcasts, it's all here."/>
    <n v="1453"/>
    <n v="156"/>
    <n v="178"/>
    <n v="52980"/>
    <n v="57180"/>
    <n v="286"/>
    <x v="0"/>
    <x v="3"/>
    <n v="3.3729709324273313E-2"/>
    <d v="2024-06-15T00:00:00"/>
    <n v="45488"/>
    <x v="0"/>
  </r>
  <r>
    <s v="SP259"/>
    <s v="Twitter"/>
    <d v="2025-01-19T00:00:00"/>
    <s v="Story"/>
    <s v="Music that moves you-only on Spotify."/>
    <n v="1651"/>
    <n v="480"/>
    <n v="282"/>
    <n v="32140"/>
    <n v="70560"/>
    <n v="138"/>
    <x v="0"/>
    <x v="0"/>
    <n v="7.5077784691972627E-2"/>
    <d v="2025-01-10T00:00:00"/>
    <n v="45698"/>
    <x v="1"/>
  </r>
  <r>
    <s v="SP259"/>
    <s v="Twitter"/>
    <d v="2025-01-19T00:00:00"/>
    <s v="Story"/>
    <s v="Music that moves you-only on Spotify."/>
    <n v="1651"/>
    <n v="480"/>
    <n v="282"/>
    <n v="32140"/>
    <n v="70560"/>
    <n v="138"/>
    <x v="1"/>
    <x v="0"/>
    <n v="7.5077784691972627E-2"/>
    <d v="2025-01-10T00:00:00"/>
    <n v="45698"/>
    <x v="1"/>
  </r>
  <r>
    <s v="SP260"/>
    <s v="Twitter"/>
    <d v="2025-01-05T00:00:00"/>
    <s v="Story"/>
    <s v="Explore the latest podcasts now."/>
    <n v="3341"/>
    <n v="154"/>
    <n v="123"/>
    <n v="43369"/>
    <n v="49035"/>
    <n v="128"/>
    <x v="3"/>
    <x v="0"/>
    <n v="8.3423643616408028E-2"/>
    <d v="2025-01-10T00:00:00"/>
    <n v="45698"/>
    <x v="0"/>
  </r>
  <r>
    <s v="SP260"/>
    <s v="Twitter"/>
    <d v="2025-01-05T00:00:00"/>
    <s v="Story"/>
    <s v="Explore the latest podcasts now."/>
    <n v="3341"/>
    <n v="154"/>
    <n v="123"/>
    <n v="43369"/>
    <n v="49035"/>
    <n v="128"/>
    <x v="1"/>
    <x v="0"/>
    <n v="8.3423643616408028E-2"/>
    <d v="2025-01-10T00:00:00"/>
    <n v="45698"/>
    <x v="0"/>
  </r>
  <r>
    <s v="SP261"/>
    <s v="Twitter"/>
    <d v="2024-11-16T00:00:00"/>
    <s v="Text"/>
    <s v="From pop to podcasts, it's all here."/>
    <n v="2972"/>
    <n v="263"/>
    <n v="308"/>
    <n v="51740"/>
    <n v="28214"/>
    <n v="190"/>
    <x v="0"/>
    <x v="1"/>
    <n v="6.8477000386548123E-2"/>
    <d v="2025-03-01T00:00:00"/>
    <n v="45747"/>
    <x v="0"/>
  </r>
  <r>
    <s v="SP262"/>
    <s v="Twitter"/>
    <d v="2024-11-30T00:00:00"/>
    <s v="Story"/>
    <s v="Explore the latest podcasts now."/>
    <n v="4963"/>
    <n v="255"/>
    <n v="193"/>
    <n v="44386"/>
    <n v="28415"/>
    <n v="174"/>
    <x v="3"/>
    <x v="0"/>
    <n v="0.12190780876853062"/>
    <d v="2025-01-10T00:00:00"/>
    <n v="45698"/>
    <x v="0"/>
  </r>
  <r>
    <s v="SP262"/>
    <s v="Twitter"/>
    <d v="2024-11-30T00:00:00"/>
    <s v="Story"/>
    <s v="Explore the latest podcasts now."/>
    <n v="4963"/>
    <n v="255"/>
    <n v="193"/>
    <n v="44386"/>
    <n v="28415"/>
    <n v="174"/>
    <x v="1"/>
    <x v="0"/>
    <n v="0.12190780876853062"/>
    <d v="2025-01-10T00:00:00"/>
    <n v="45698"/>
    <x v="0"/>
  </r>
  <r>
    <s v="SP263"/>
    <s v="YouTube"/>
    <d v="2024-03-27T00:00:00"/>
    <s v="Text"/>
    <s v="Music that moves you-only on Spotify."/>
    <n v="2399"/>
    <n v="191"/>
    <n v="221"/>
    <n v="51603"/>
    <n v="40033"/>
    <n v="173"/>
    <x v="2"/>
    <x v="1"/>
    <n v="5.4473577117609438E-2"/>
    <d v="2025-03-01T00:00:00"/>
    <n v="45747"/>
    <x v="0"/>
  </r>
  <r>
    <s v="SP263"/>
    <s v="YouTube"/>
    <d v="2024-03-27T00:00:00"/>
    <s v="Text"/>
    <s v="Music that moves you-only on Spotify."/>
    <n v="2399"/>
    <n v="191"/>
    <n v="221"/>
    <n v="51603"/>
    <n v="40033"/>
    <n v="173"/>
    <x v="4"/>
    <x v="1"/>
    <n v="5.4473577117609438E-2"/>
    <d v="2025-03-01T00:00:00"/>
    <n v="45747"/>
    <x v="0"/>
  </r>
  <r>
    <s v="SP264"/>
    <s v="YouTube"/>
    <d v="2025-05-31T00:00:00"/>
    <s v="Reel"/>
    <s v="Get into the groove with our new drop!"/>
    <n v="2162"/>
    <n v="318"/>
    <n v="83"/>
    <n v="46719"/>
    <n v="20482"/>
    <n v="185"/>
    <x v="2"/>
    <x v="3"/>
    <n v="5.4859907104176028E-2"/>
    <d v="2024-06-15T00:00:00"/>
    <n v="45488"/>
    <x v="0"/>
  </r>
  <r>
    <s v="SP264"/>
    <s v="YouTube"/>
    <d v="2025-05-31T00:00:00"/>
    <s v="Reel"/>
    <s v="Get into the groove with our new drop!"/>
    <n v="2162"/>
    <n v="318"/>
    <n v="83"/>
    <n v="46719"/>
    <n v="20482"/>
    <n v="185"/>
    <x v="0"/>
    <x v="3"/>
    <n v="5.4859907104176028E-2"/>
    <d v="2024-06-15T00:00:00"/>
    <n v="45488"/>
    <x v="0"/>
  </r>
  <r>
    <s v="SP265"/>
    <s v="Twitter"/>
    <d v="2025-06-17T00:00:00"/>
    <s v="Story"/>
    <s v="Explore the latest podcasts now."/>
    <n v="4341"/>
    <n v="141"/>
    <n v="63"/>
    <n v="50081"/>
    <n v="27507"/>
    <n v="221"/>
    <x v="2"/>
    <x v="0"/>
    <n v="9.0752980172121162E-2"/>
    <d v="2025-01-10T00:00:00"/>
    <n v="45698"/>
    <x v="0"/>
  </r>
  <r>
    <s v="SP265"/>
    <s v="Twitter"/>
    <d v="2025-06-17T00:00:00"/>
    <s v="Story"/>
    <s v="Explore the latest podcasts now."/>
    <n v="4341"/>
    <n v="141"/>
    <n v="63"/>
    <n v="50081"/>
    <n v="27507"/>
    <n v="221"/>
    <x v="3"/>
    <x v="0"/>
    <n v="9.0752980172121162E-2"/>
    <d v="2025-01-10T00:00:00"/>
    <n v="45698"/>
    <x v="0"/>
  </r>
  <r>
    <s v="SP266"/>
    <s v="Instagram"/>
    <d v="2024-05-30T00:00:00"/>
    <s v="Story"/>
    <s v="Get into the groove with our new drop!"/>
    <n v="2448"/>
    <n v="464"/>
    <n v="98"/>
    <n v="25737"/>
    <n v="48545"/>
    <n v="246"/>
    <x v="1"/>
    <x v="2"/>
    <n v="0.11695224773672146"/>
    <d v="2024-12-01T00:00:00"/>
    <n v="45657"/>
    <x v="0"/>
  </r>
  <r>
    <s v="SP267"/>
    <s v="YouTube"/>
    <d v="2024-11-08T00:00:00"/>
    <s v="Text"/>
    <s v="Top trending tracks updated daily!"/>
    <n v="2471"/>
    <n v="166"/>
    <n v="320"/>
    <n v="48254"/>
    <n v="46900"/>
    <n v="111"/>
    <x v="2"/>
    <x v="1"/>
    <n v="6.1279893894806647E-2"/>
    <d v="2025-03-01T00:00:00"/>
    <n v="45747"/>
    <x v="0"/>
  </r>
  <r>
    <s v="SP267"/>
    <s v="YouTube"/>
    <d v="2024-11-08T00:00:00"/>
    <s v="Text"/>
    <s v="Top trending tracks updated daily!"/>
    <n v="2471"/>
    <n v="166"/>
    <n v="320"/>
    <n v="48254"/>
    <n v="46900"/>
    <n v="111"/>
    <x v="4"/>
    <x v="1"/>
    <n v="6.1279893894806647E-2"/>
    <d v="2025-03-01T00:00:00"/>
    <n v="45747"/>
    <x v="0"/>
  </r>
  <r>
    <s v="SP268"/>
    <s v="YouTube"/>
    <d v="2024-03-17T00:00:00"/>
    <s v="Reel"/>
    <s v="Explore the latest podcasts now."/>
    <n v="2692"/>
    <n v="446"/>
    <n v="216"/>
    <n v="45818"/>
    <n v="62723"/>
    <n v="85"/>
    <x v="2"/>
    <x v="3"/>
    <n v="7.3202671439172376E-2"/>
    <d v="2024-06-15T00:00:00"/>
    <n v="45488"/>
    <x v="0"/>
  </r>
  <r>
    <s v="SP268"/>
    <s v="YouTube"/>
    <d v="2024-03-17T00:00:00"/>
    <s v="Reel"/>
    <s v="Explore the latest podcasts now."/>
    <n v="2692"/>
    <n v="446"/>
    <n v="216"/>
    <n v="45818"/>
    <n v="62723"/>
    <n v="85"/>
    <x v="0"/>
    <x v="3"/>
    <n v="7.3202671439172376E-2"/>
    <d v="2024-06-15T00:00:00"/>
    <n v="45488"/>
    <x v="0"/>
  </r>
  <r>
    <s v="SP269"/>
    <s v="YouTube"/>
    <d v="2024-06-21T00:00:00"/>
    <s v="Reel"/>
    <s v="Music that moves you-only on Spotify."/>
    <n v="4621"/>
    <n v="374"/>
    <n v="298"/>
    <n v="56979"/>
    <n v="24098"/>
    <n v="205"/>
    <x v="2"/>
    <x v="3"/>
    <n v="9.2893873181347508E-2"/>
    <d v="2024-06-15T00:00:00"/>
    <n v="45488"/>
    <x v="1"/>
  </r>
  <r>
    <s v="SP269"/>
    <s v="YouTube"/>
    <d v="2024-06-21T00:00:00"/>
    <s v="Reel"/>
    <s v="Music that moves you-only on Spotify."/>
    <n v="4621"/>
    <n v="374"/>
    <n v="298"/>
    <n v="56979"/>
    <n v="24098"/>
    <n v="205"/>
    <x v="0"/>
    <x v="3"/>
    <n v="9.2893873181347508E-2"/>
    <d v="2024-06-15T00:00:00"/>
    <n v="45488"/>
    <x v="1"/>
  </r>
  <r>
    <s v="SP270"/>
    <s v="Twitter"/>
    <d v="2024-11-13T00:00:00"/>
    <s v="Story"/>
    <s v="New music just dropped. Hit play!"/>
    <n v="1409"/>
    <n v="466"/>
    <n v="105"/>
    <n v="58923"/>
    <n v="38753"/>
    <n v="265"/>
    <x v="2"/>
    <x v="0"/>
    <n v="3.3603177027646251E-2"/>
    <d v="2025-01-10T00:00:00"/>
    <n v="45698"/>
    <x v="0"/>
  </r>
  <r>
    <s v="SP270"/>
    <s v="Twitter"/>
    <d v="2024-11-13T00:00:00"/>
    <s v="Story"/>
    <s v="New music just dropped. Hit play!"/>
    <n v="1409"/>
    <n v="466"/>
    <n v="105"/>
    <n v="58923"/>
    <n v="38753"/>
    <n v="265"/>
    <x v="3"/>
    <x v="0"/>
    <n v="3.3603177027646251E-2"/>
    <d v="2025-01-10T00:00:00"/>
    <n v="45698"/>
    <x v="0"/>
  </r>
  <r>
    <s v="SP271"/>
    <s v="Twitter"/>
    <d v="2025-02-05T00:00:00"/>
    <s v="Story"/>
    <s v="Discover fresh beats on Spotify!"/>
    <n v="3029"/>
    <n v="440"/>
    <n v="66"/>
    <n v="23815"/>
    <n v="47895"/>
    <n v="210"/>
    <x v="2"/>
    <x v="0"/>
    <n v="0.14843585975225698"/>
    <d v="2025-01-10T00:00:00"/>
    <n v="45698"/>
    <x v="1"/>
  </r>
  <r>
    <s v="SP271"/>
    <s v="Twitter"/>
    <d v="2025-02-05T00:00:00"/>
    <s v="Story"/>
    <s v="Discover fresh beats on Spotify!"/>
    <n v="3029"/>
    <n v="440"/>
    <n v="66"/>
    <n v="23815"/>
    <n v="47895"/>
    <n v="210"/>
    <x v="3"/>
    <x v="0"/>
    <n v="0.14843585975225698"/>
    <d v="2025-01-10T00:00:00"/>
    <n v="45698"/>
    <x v="1"/>
  </r>
  <r>
    <s v="SP272"/>
    <s v="Twitter"/>
    <d v="2024-11-07T00:00:00"/>
    <s v="Text"/>
    <s v="Explore the latest podcasts now."/>
    <n v="2229"/>
    <n v="395"/>
    <n v="328"/>
    <n v="56921"/>
    <n v="37176"/>
    <n v="126"/>
    <x v="0"/>
    <x v="1"/>
    <n v="5.1861351697967357E-2"/>
    <d v="2025-03-01T00:00:00"/>
    <n v="45747"/>
    <x v="0"/>
  </r>
  <r>
    <s v="SP273"/>
    <s v="Twitter"/>
    <d v="2024-02-12T00:00:00"/>
    <s v="Text"/>
    <s v="Explore the latest podcasts now."/>
    <n v="2691"/>
    <n v="486"/>
    <n v="206"/>
    <n v="51133"/>
    <n v="44583"/>
    <n v="276"/>
    <x v="1"/>
    <x v="0"/>
    <n v="6.6160796354604659E-2"/>
    <d v="2025-01-10T00:00:00"/>
    <n v="45698"/>
    <x v="0"/>
  </r>
  <r>
    <s v="SP274"/>
    <s v="Instagram"/>
    <d v="2024-10-08T00:00:00"/>
    <s v="Text"/>
    <s v="Explore the latest podcasts now."/>
    <n v="2110"/>
    <n v="384"/>
    <n v="236"/>
    <n v="49965"/>
    <n v="61555"/>
    <n v="195"/>
    <x v="2"/>
    <x v="1"/>
    <n v="5.4638246772740921E-2"/>
    <d v="2025-03-01T00:00:00"/>
    <n v="45747"/>
    <x v="0"/>
  </r>
  <r>
    <s v="SP275"/>
    <s v="Instagram"/>
    <d v="2024-02-19T00:00:00"/>
    <s v="Text"/>
    <s v="Wrapped is here! Relive your top tracks 🎧"/>
    <n v="4752"/>
    <n v="449"/>
    <n v="309"/>
    <n v="58530"/>
    <n v="26630"/>
    <n v="234"/>
    <x v="2"/>
    <x v="1"/>
    <n v="9.4139757389372969E-2"/>
    <d v="2025-03-01T00:00:00"/>
    <n v="45747"/>
    <x v="0"/>
  </r>
  <r>
    <s v="SP276"/>
    <s v="Twitter"/>
    <d v="2025-03-04T00:00:00"/>
    <s v="Text"/>
    <s v="Discover fresh beats on Spotify!"/>
    <n v="2177"/>
    <n v="258"/>
    <n v="292"/>
    <n v="47276"/>
    <n v="51324"/>
    <n v="143"/>
    <x v="1"/>
    <x v="0"/>
    <n v="5.7682545054573146E-2"/>
    <d v="2025-01-10T00:00:00"/>
    <n v="45698"/>
    <x v="0"/>
  </r>
  <r>
    <s v="SP277"/>
    <s v="Instagram"/>
    <d v="2025-02-03T00:00:00"/>
    <s v="Story"/>
    <s v="New music just dropped. Hit play!"/>
    <n v="1205"/>
    <n v="486"/>
    <n v="269"/>
    <n v="23341"/>
    <n v="42411"/>
    <n v="184"/>
    <x v="1"/>
    <x v="2"/>
    <n v="8.3972409065592737E-2"/>
    <d v="2024-12-01T00:00:00"/>
    <n v="45657"/>
    <x v="0"/>
  </r>
  <r>
    <s v="SP278"/>
    <s v="Instagram"/>
    <d v="2024-12-02T00:00:00"/>
    <s v="Text"/>
    <s v="Top trending tracks updated daily!"/>
    <n v="3194"/>
    <n v="292"/>
    <n v="245"/>
    <n v="56371"/>
    <n v="65597"/>
    <n v="163"/>
    <x v="0"/>
    <x v="0"/>
    <n v="6.6186514342481059E-2"/>
    <d v="2025-01-10T00:00:00"/>
    <n v="45698"/>
    <x v="0"/>
  </r>
  <r>
    <s v="SP278"/>
    <s v="Instagram"/>
    <d v="2024-12-02T00:00:00"/>
    <s v="Text"/>
    <s v="Top trending tracks updated daily!"/>
    <n v="3194"/>
    <n v="292"/>
    <n v="245"/>
    <n v="56371"/>
    <n v="65597"/>
    <n v="163"/>
    <x v="1"/>
    <x v="0"/>
    <n v="6.6186514342481059E-2"/>
    <d v="2025-01-10T00:00:00"/>
    <n v="45698"/>
    <x v="0"/>
  </r>
  <r>
    <s v="SP279"/>
    <s v="Twitter"/>
    <d v="2025-01-19T00:00:00"/>
    <s v="Story"/>
    <s v="New music just dropped. Hit play!"/>
    <n v="3507"/>
    <n v="295"/>
    <n v="371"/>
    <n v="20410"/>
    <n v="53965"/>
    <n v="212"/>
    <x v="0"/>
    <x v="0"/>
    <n v="0.20445859872611466"/>
    <d v="2025-01-10T00:00:00"/>
    <n v="45698"/>
    <x v="1"/>
  </r>
  <r>
    <s v="SP279"/>
    <s v="Twitter"/>
    <d v="2025-01-19T00:00:00"/>
    <s v="Story"/>
    <s v="New music just dropped. Hit play!"/>
    <n v="3507"/>
    <n v="295"/>
    <n v="371"/>
    <n v="20410"/>
    <n v="53965"/>
    <n v="212"/>
    <x v="1"/>
    <x v="0"/>
    <n v="0.20445859872611466"/>
    <d v="2025-01-10T00:00:00"/>
    <n v="45698"/>
    <x v="1"/>
  </r>
  <r>
    <s v="SP280"/>
    <s v="Twitter"/>
    <d v="2024-09-28T00:00:00"/>
    <s v="Story"/>
    <s v="Wrapped is here! Relive your top tracks 🎧"/>
    <n v="4471"/>
    <n v="317"/>
    <n v="249"/>
    <n v="44862"/>
    <n v="33365"/>
    <n v="184"/>
    <x v="2"/>
    <x v="0"/>
    <n v="0.1122776514644911"/>
    <d v="2025-01-10T00:00:00"/>
    <n v="45698"/>
    <x v="0"/>
  </r>
  <r>
    <s v="SP280"/>
    <s v="Twitter"/>
    <d v="2024-09-28T00:00:00"/>
    <s v="Story"/>
    <s v="Wrapped is here! Relive your top tracks 🎧"/>
    <n v="4471"/>
    <n v="317"/>
    <n v="249"/>
    <n v="44862"/>
    <n v="33365"/>
    <n v="184"/>
    <x v="3"/>
    <x v="0"/>
    <n v="0.1122776514644911"/>
    <d v="2025-01-10T00:00:00"/>
    <n v="45698"/>
    <x v="0"/>
  </r>
  <r>
    <s v="SP281"/>
    <s v="Instagram"/>
    <d v="2024-01-07T00:00:00"/>
    <s v="Text"/>
    <s v="Top trending tracks updated daily!"/>
    <n v="4931"/>
    <n v="469"/>
    <n v="193"/>
    <n v="56701"/>
    <n v="69437"/>
    <n v="291"/>
    <x v="0"/>
    <x v="0"/>
    <n v="9.8640235621946709E-2"/>
    <d v="2025-01-10T00:00:00"/>
    <n v="45698"/>
    <x v="0"/>
  </r>
  <r>
    <s v="SP281"/>
    <s v="Instagram"/>
    <d v="2024-01-07T00:00:00"/>
    <s v="Text"/>
    <s v="Top trending tracks updated daily!"/>
    <n v="4931"/>
    <n v="469"/>
    <n v="193"/>
    <n v="56701"/>
    <n v="69437"/>
    <n v="291"/>
    <x v="1"/>
    <x v="0"/>
    <n v="9.8640235621946709E-2"/>
    <d v="2025-01-10T00:00:00"/>
    <n v="45698"/>
    <x v="0"/>
  </r>
  <r>
    <s v="SP282"/>
    <s v="Twitter"/>
    <d v="2024-02-21T00:00:00"/>
    <s v="Story"/>
    <s v="Get into the groove with our new drop!"/>
    <n v="2604"/>
    <n v="439"/>
    <n v="148"/>
    <n v="58468"/>
    <n v="39629"/>
    <n v="163"/>
    <x v="3"/>
    <x v="0"/>
    <n v="5.4576862557296296E-2"/>
    <d v="2025-01-10T00:00:00"/>
    <n v="45698"/>
    <x v="0"/>
  </r>
  <r>
    <s v="SP282"/>
    <s v="Twitter"/>
    <d v="2024-02-21T00:00:00"/>
    <s v="Story"/>
    <s v="Get into the groove with our new drop!"/>
    <n v="2604"/>
    <n v="439"/>
    <n v="148"/>
    <n v="58468"/>
    <n v="39629"/>
    <n v="163"/>
    <x v="1"/>
    <x v="0"/>
    <n v="5.4576862557296296E-2"/>
    <d v="2025-01-10T00:00:00"/>
    <n v="45698"/>
    <x v="0"/>
  </r>
  <r>
    <s v="SP283"/>
    <s v="Instagram"/>
    <d v="2024-08-27T00:00:00"/>
    <s v="Text"/>
    <s v="Music that moves you-only on Spotify."/>
    <n v="4197"/>
    <n v="359"/>
    <n v="280"/>
    <n v="56048"/>
    <n v="70930"/>
    <n v="295"/>
    <x v="2"/>
    <x v="1"/>
    <n v="8.628318584070796E-2"/>
    <d v="2025-03-01T00:00:00"/>
    <n v="45747"/>
    <x v="0"/>
  </r>
  <r>
    <s v="SP284"/>
    <s v="Instagram"/>
    <d v="2024-10-24T00:00:00"/>
    <s v="Story"/>
    <s v="Top trending tracks updated daily!"/>
    <n v="1914"/>
    <n v="255"/>
    <n v="156"/>
    <n v="27660"/>
    <n v="47776"/>
    <n v="111"/>
    <x v="1"/>
    <x v="2"/>
    <n v="8.4056399132321047E-2"/>
    <d v="2024-12-01T00:00:00"/>
    <n v="45657"/>
    <x v="0"/>
  </r>
  <r>
    <s v="SP285"/>
    <s v="YouTube"/>
    <d v="2025-01-29T00:00:00"/>
    <s v="Text"/>
    <s v="New music just dropped. Hit play!"/>
    <n v="1334"/>
    <n v="357"/>
    <n v="257"/>
    <n v="56910"/>
    <n v="70606"/>
    <n v="228"/>
    <x v="2"/>
    <x v="1"/>
    <n v="3.4229485151994379E-2"/>
    <d v="2025-03-01T00:00:00"/>
    <n v="45747"/>
    <x v="0"/>
  </r>
  <r>
    <s v="SP285"/>
    <s v="YouTube"/>
    <d v="2025-01-29T00:00:00"/>
    <s v="Text"/>
    <s v="New music just dropped. Hit play!"/>
    <n v="1334"/>
    <n v="357"/>
    <n v="257"/>
    <n v="56910"/>
    <n v="70606"/>
    <n v="228"/>
    <x v="4"/>
    <x v="1"/>
    <n v="3.4229485151994379E-2"/>
    <d v="2025-03-01T00:00:00"/>
    <n v="45747"/>
    <x v="0"/>
  </r>
  <r>
    <s v="SP286"/>
    <s v="Instagram"/>
    <d v="2024-05-01T00:00:00"/>
    <s v="Text"/>
    <s v="Get into the groove with our new drop!"/>
    <n v="3359"/>
    <n v="137"/>
    <n v="387"/>
    <n v="33861"/>
    <n v="47257"/>
    <n v="198"/>
    <x v="2"/>
    <x v="1"/>
    <n v="0.11467469950680724"/>
    <d v="2025-03-01T00:00:00"/>
    <n v="45747"/>
    <x v="0"/>
  </r>
  <r>
    <s v="SP287"/>
    <s v="YouTube"/>
    <d v="2024-06-25T00:00:00"/>
    <s v="Text"/>
    <s v="Your weekend playlist is waiting."/>
    <n v="2172"/>
    <n v="338"/>
    <n v="70"/>
    <n v="30515"/>
    <n v="57853"/>
    <n v="156"/>
    <x v="2"/>
    <x v="1"/>
    <n v="8.4548582664263475E-2"/>
    <d v="2025-03-01T00:00:00"/>
    <n v="45747"/>
    <x v="0"/>
  </r>
  <r>
    <s v="SP287"/>
    <s v="YouTube"/>
    <d v="2024-06-25T00:00:00"/>
    <s v="Text"/>
    <s v="Your weekend playlist is waiting."/>
    <n v="2172"/>
    <n v="338"/>
    <n v="70"/>
    <n v="30515"/>
    <n v="57853"/>
    <n v="156"/>
    <x v="4"/>
    <x v="1"/>
    <n v="8.4548582664263475E-2"/>
    <d v="2025-03-01T00:00:00"/>
    <n v="45747"/>
    <x v="0"/>
  </r>
  <r>
    <s v="SP288"/>
    <s v="Twitter"/>
    <d v="2024-08-09T00:00:00"/>
    <s v="Story"/>
    <s v="From pop to podcasts, it's all here."/>
    <n v="4877"/>
    <n v="442"/>
    <n v="236"/>
    <n v="52673"/>
    <n v="48241"/>
    <n v="114"/>
    <x v="2"/>
    <x v="0"/>
    <n v="0.10546200140489435"/>
    <d v="2025-01-10T00:00:00"/>
    <n v="45698"/>
    <x v="0"/>
  </r>
  <r>
    <s v="SP288"/>
    <s v="Twitter"/>
    <d v="2024-08-09T00:00:00"/>
    <s v="Story"/>
    <s v="From pop to podcasts, it's all here."/>
    <n v="4877"/>
    <n v="442"/>
    <n v="236"/>
    <n v="52673"/>
    <n v="48241"/>
    <n v="114"/>
    <x v="3"/>
    <x v="0"/>
    <n v="0.10546200140489435"/>
    <d v="2025-01-10T00:00:00"/>
    <n v="45698"/>
    <x v="0"/>
  </r>
  <r>
    <s v="SP289"/>
    <s v="Instagram"/>
    <d v="2025-01-21T00:00:00"/>
    <s v="Story"/>
    <s v="New music just dropped. Hit play!"/>
    <n v="4918"/>
    <n v="440"/>
    <n v="149"/>
    <n v="53269"/>
    <n v="64370"/>
    <n v="269"/>
    <x v="1"/>
    <x v="2"/>
    <n v="0.10338095327488783"/>
    <d v="2024-12-01T00:00:00"/>
    <n v="45657"/>
    <x v="0"/>
  </r>
  <r>
    <s v="SP290"/>
    <s v="Twitter"/>
    <d v="2024-08-13T00:00:00"/>
    <s v="Text"/>
    <s v="Explore the latest podcasts now."/>
    <n v="3418"/>
    <n v="107"/>
    <n v="221"/>
    <n v="23927"/>
    <n v="26182"/>
    <n v="155"/>
    <x v="0"/>
    <x v="1"/>
    <n v="0.1565595352530614"/>
    <d v="2025-03-01T00:00:00"/>
    <n v="45747"/>
    <x v="0"/>
  </r>
  <r>
    <s v="SP291"/>
    <s v="Instagram"/>
    <d v="2024-06-29T00:00:00"/>
    <s v="Text"/>
    <s v="Your weekend playlist is waiting."/>
    <n v="2088"/>
    <n v="490"/>
    <n v="124"/>
    <n v="46544"/>
    <n v="69346"/>
    <n v="178"/>
    <x v="0"/>
    <x v="0"/>
    <n v="5.8052595393606049E-2"/>
    <d v="2025-01-10T00:00:00"/>
    <n v="45698"/>
    <x v="0"/>
  </r>
  <r>
    <s v="SP291"/>
    <s v="Instagram"/>
    <d v="2024-06-29T00:00:00"/>
    <s v="Text"/>
    <s v="Your weekend playlist is waiting."/>
    <n v="2088"/>
    <n v="490"/>
    <n v="124"/>
    <n v="46544"/>
    <n v="69346"/>
    <n v="178"/>
    <x v="1"/>
    <x v="0"/>
    <n v="5.8052595393606049E-2"/>
    <d v="2025-01-10T00:00:00"/>
    <n v="45698"/>
    <x v="0"/>
  </r>
  <r>
    <s v="SP292"/>
    <s v="Twitter"/>
    <d v="2024-11-03T00:00:00"/>
    <s v="Story"/>
    <s v="Explore the latest podcasts now."/>
    <n v="3061"/>
    <n v="320"/>
    <n v="76"/>
    <n v="26640"/>
    <n v="24306"/>
    <n v="112"/>
    <x v="3"/>
    <x v="0"/>
    <n v="0.12976726726726726"/>
    <d v="2025-01-10T00:00:00"/>
    <n v="45698"/>
    <x v="0"/>
  </r>
  <r>
    <s v="SP292"/>
    <s v="Twitter"/>
    <d v="2024-11-03T00:00:00"/>
    <s v="Story"/>
    <s v="Explore the latest podcasts now."/>
    <n v="3061"/>
    <n v="320"/>
    <n v="76"/>
    <n v="26640"/>
    <n v="24306"/>
    <n v="112"/>
    <x v="1"/>
    <x v="0"/>
    <n v="0.12976726726726726"/>
    <d v="2025-01-10T00:00:00"/>
    <n v="45698"/>
    <x v="0"/>
  </r>
  <r>
    <s v="SP293"/>
    <s v="YouTube"/>
    <d v="2025-04-18T00:00:00"/>
    <s v="Reel"/>
    <s v="Your weekend playlist is waiting."/>
    <n v="1265"/>
    <n v="230"/>
    <n v="364"/>
    <n v="41312"/>
    <n v="50382"/>
    <n v="106"/>
    <x v="2"/>
    <x v="3"/>
    <n v="4.4999031758326875E-2"/>
    <d v="2024-06-15T00:00:00"/>
    <n v="45488"/>
    <x v="0"/>
  </r>
  <r>
    <s v="SP293"/>
    <s v="YouTube"/>
    <d v="2025-04-18T00:00:00"/>
    <s v="Reel"/>
    <s v="Your weekend playlist is waiting."/>
    <n v="1265"/>
    <n v="230"/>
    <n v="364"/>
    <n v="41312"/>
    <n v="50382"/>
    <n v="106"/>
    <x v="0"/>
    <x v="3"/>
    <n v="4.4999031758326875E-2"/>
    <d v="2024-06-15T00:00:00"/>
    <n v="45488"/>
    <x v="0"/>
  </r>
  <r>
    <s v="SP294"/>
    <s v="Instagram"/>
    <d v="2024-12-27T00:00:00"/>
    <s v="Text"/>
    <s v="From pop to podcasts, it's all here."/>
    <n v="1436"/>
    <n v="219"/>
    <n v="229"/>
    <n v="58488"/>
    <n v="24314"/>
    <n v="147"/>
    <x v="2"/>
    <x v="1"/>
    <n v="3.221173574066475E-2"/>
    <d v="2025-03-01T00:00:00"/>
    <n v="45747"/>
    <x v="0"/>
  </r>
  <r>
    <s v="SP295"/>
    <s v="Instagram"/>
    <d v="2025-03-08T00:00:00"/>
    <s v="Story"/>
    <s v="Top trending tracks updated daily!"/>
    <n v="2244"/>
    <n v="392"/>
    <n v="231"/>
    <n v="25834"/>
    <n v="50906"/>
    <n v="165"/>
    <x v="1"/>
    <x v="2"/>
    <n v="0.1109777812185492"/>
    <d v="2024-12-01T00:00:00"/>
    <n v="45657"/>
    <x v="0"/>
  </r>
  <r>
    <s v="SP296"/>
    <s v="Twitter"/>
    <d v="2025-03-20T00:00:00"/>
    <s v="Story"/>
    <s v="Your weekend playlist is waiting."/>
    <n v="3393"/>
    <n v="104"/>
    <n v="79"/>
    <n v="30025"/>
    <n v="21593"/>
    <n v="165"/>
    <x v="3"/>
    <x v="0"/>
    <n v="0.1191007493755204"/>
    <d v="2025-01-10T00:00:00"/>
    <n v="45698"/>
    <x v="0"/>
  </r>
  <r>
    <s v="SP296"/>
    <s v="Twitter"/>
    <d v="2025-03-20T00:00:00"/>
    <s v="Story"/>
    <s v="Your weekend playlist is waiting."/>
    <n v="3393"/>
    <n v="104"/>
    <n v="79"/>
    <n v="30025"/>
    <n v="21593"/>
    <n v="165"/>
    <x v="1"/>
    <x v="0"/>
    <n v="0.1191007493755204"/>
    <d v="2025-01-10T00:00:00"/>
    <n v="45698"/>
    <x v="0"/>
  </r>
  <r>
    <s v="SP297"/>
    <s v="Twitter"/>
    <d v="2024-11-16T00:00:00"/>
    <s v="Text"/>
    <s v="Explore the latest podcasts now."/>
    <n v="2901"/>
    <n v="108"/>
    <n v="86"/>
    <n v="51777"/>
    <n v="23773"/>
    <n v="160"/>
    <x v="0"/>
    <x v="1"/>
    <n v="5.9775576027966085E-2"/>
    <d v="2025-03-01T00:00:00"/>
    <n v="45747"/>
    <x v="0"/>
  </r>
  <r>
    <s v="SP298"/>
    <s v="Twitter"/>
    <d v="2025-06-30T00:00:00"/>
    <s v="Text"/>
    <s v="What's your vibe today? #SpotifyHits"/>
    <n v="2275"/>
    <n v="285"/>
    <n v="125"/>
    <n v="43970"/>
    <n v="74761"/>
    <n v="83"/>
    <x v="1"/>
    <x v="0"/>
    <n v="6.1064362065044349E-2"/>
    <d v="2025-01-10T00:00:00"/>
    <n v="45698"/>
    <x v="0"/>
  </r>
  <r>
    <s v="SP299"/>
    <s v="Twitter"/>
    <d v="2024-01-12T00:00:00"/>
    <s v="Story"/>
    <s v="Wrapped is here! Relive your top tracks 🎧"/>
    <n v="2227"/>
    <n v="494"/>
    <n v="161"/>
    <n v="51651"/>
    <n v="68074"/>
    <n v="240"/>
    <x v="2"/>
    <x v="0"/>
    <n v="5.5797564422760453E-2"/>
    <d v="2025-01-10T00:00:00"/>
    <n v="45698"/>
    <x v="0"/>
  </r>
  <r>
    <s v="SP299"/>
    <s v="Twitter"/>
    <d v="2024-01-12T00:00:00"/>
    <s v="Story"/>
    <s v="Wrapped is here! Relive your top tracks 🎧"/>
    <n v="2227"/>
    <n v="494"/>
    <n v="161"/>
    <n v="51651"/>
    <n v="68074"/>
    <n v="240"/>
    <x v="3"/>
    <x v="0"/>
    <n v="5.5797564422760453E-2"/>
    <d v="2025-01-10T00:00:00"/>
    <n v="45698"/>
    <x v="0"/>
  </r>
  <r>
    <s v="SP300"/>
    <s v="Instagram"/>
    <d v="2024-02-07T00:00:00"/>
    <s v="Text"/>
    <s v="Music that moves you-only on Spotify."/>
    <n v="1883"/>
    <n v="432"/>
    <n v="397"/>
    <n v="28759"/>
    <n v="18691"/>
    <n v="270"/>
    <x v="0"/>
    <x v="0"/>
    <n v="9.4300914496331587E-2"/>
    <d v="2025-01-10T00:00:00"/>
    <n v="45698"/>
    <x v="0"/>
  </r>
  <r>
    <s v="SP300"/>
    <s v="Instagram"/>
    <d v="2024-02-07T00:00:00"/>
    <s v="Text"/>
    <s v="Music that moves you-only on Spotify."/>
    <n v="1883"/>
    <n v="432"/>
    <n v="397"/>
    <n v="28759"/>
    <n v="18691"/>
    <n v="270"/>
    <x v="1"/>
    <x v="0"/>
    <n v="9.4300914496331587E-2"/>
    <d v="2025-01-10T00:00:00"/>
    <n v="4569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5071CE-6361-4A78-8DB5-E200188B368C}" name="PivotTable3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Hashtags">
  <location ref="A4:C9" firstHeaderRow="0" firstDataRow="1" firstDataCol="1"/>
  <pivotFields count="17"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3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numFmtId="14" showAll="0"/>
    <pivotField showAll="0"/>
    <pivotField showAll="0"/>
  </pivotFields>
  <rowFields count="1">
    <field x="11"/>
  </rowFields>
  <rowItems count="5">
    <i>
      <x v="2"/>
    </i>
    <i>
      <x/>
    </i>
    <i>
      <x v="3"/>
    </i>
    <i>
      <x v="1"/>
    </i>
    <i>
      <x v="4"/>
    </i>
  </rowItems>
  <colFields count="1">
    <field x="-2"/>
  </colFields>
  <colItems count="2">
    <i>
      <x/>
    </i>
    <i i="1">
      <x v="1"/>
    </i>
  </colItems>
  <dataFields count="2">
    <dataField name="Frequency" fld="0" subtotal="count" baseField="0" baseItem="0"/>
    <dataField name="Average Engagement " fld="13" subtotal="average" baseField="11" baseItem="0" numFmtId="10"/>
  </dataFields>
  <formats count="14">
    <format dxfId="40">
      <pivotArea field="11" type="button" dataOnly="0" labelOnly="1" outline="0" axis="axisRow" fieldPosition="0"/>
    </format>
    <format dxfId="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8">
      <pivotArea grandRow="1" outline="0" collapsedLevelsAreSubtotals="1" fieldPosition="0"/>
    </format>
    <format dxfId="37">
      <pivotArea dataOnly="0" labelOnly="1" grandRow="1" outline="0" fieldPosition="0"/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11" type="button" dataOnly="0" labelOnly="1" outline="0" axis="axisRow" fieldPosition="0"/>
    </format>
    <format dxfId="33">
      <pivotArea dataOnly="0" labelOnly="1" fieldPosition="0">
        <references count="1">
          <reference field="11" count="0"/>
        </references>
      </pivotArea>
    </format>
    <format dxfId="32">
      <pivotArea dataOnly="0" labelOnly="1" grandRow="1" outline="0" fieldPosition="0"/>
    </format>
    <format dxfId="3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">
      <pivotArea grandRow="1" outline="0" collapsedLevelsAreSubtotals="1" fieldPosition="0"/>
    </format>
    <format dxfId="29">
      <pivotArea dataOnly="0" labelOnly="1" grandRow="1" outline="0" fieldPosition="0"/>
    </format>
    <format dxfId="28">
      <pivotArea field="11" type="button" dataOnly="0" labelOnly="1" outline="0" axis="axisRow" fieldPosition="0"/>
    </format>
    <format dxfId="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70300D-DEAF-41EC-AED7-95BCE9067139}" name="PivotTable4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 rowHeaderCaption="Content Types" colHeaderCaption="Platforms">
  <location ref="E4:H8" firstHeaderRow="1" firstDataRow="2" firstDataCol="1"/>
  <pivotFields count="14">
    <pivotField showAll="0"/>
    <pivotField axis="axisCol" showAll="0">
      <items count="4">
        <item x="0"/>
        <item x="1"/>
        <item x="2"/>
        <item t="default"/>
      </items>
    </pivotField>
    <pivotField numFmtId="14"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3">
    <i>
      <x/>
    </i>
    <i>
      <x v="1"/>
    </i>
    <i>
      <x v="2"/>
    </i>
  </rowItems>
  <colFields count="1">
    <field x="1"/>
  </colFields>
  <colItems count="3">
    <i>
      <x/>
    </i>
    <i>
      <x v="1"/>
    </i>
    <i>
      <x v="2"/>
    </i>
  </colItems>
  <dataFields count="1">
    <dataField name="Average Engagement " fld="13" subtotal="average" baseField="3" baseItem="1" numFmtId="10"/>
  </dataFields>
  <formats count="13">
    <format dxfId="53">
      <pivotArea type="origin" dataOnly="0" labelOnly="1" outline="0" fieldPosition="0"/>
    </format>
    <format dxfId="52">
      <pivotArea field="1" type="button" dataOnly="0" labelOnly="1" outline="0" axis="axisCol" fieldPosition="0"/>
    </format>
    <format dxfId="51">
      <pivotArea type="topRight" dataOnly="0" labelOnly="1" outline="0" fieldPosition="0"/>
    </format>
    <format dxfId="50">
      <pivotArea field="3" type="button" dataOnly="0" labelOnly="1" outline="0" axis="axisRow" fieldPosition="0"/>
    </format>
    <format dxfId="49">
      <pivotArea dataOnly="0" labelOnly="1" fieldPosition="0">
        <references count="1">
          <reference field="1" count="0"/>
        </references>
      </pivotArea>
    </format>
    <format dxfId="48">
      <pivotArea type="all" dataOnly="0" outline="0" fieldPosition="0"/>
    </format>
    <format dxfId="47">
      <pivotArea dataOnly="0" labelOnly="1" fieldPosition="0">
        <references count="1">
          <reference field="1" count="0"/>
        </references>
      </pivotArea>
    </format>
    <format dxfId="46">
      <pivotArea dataOnly="0" labelOnly="1" fieldPosition="0">
        <references count="1">
          <reference field="1" count="1">
            <x v="0"/>
          </reference>
        </references>
      </pivotArea>
    </format>
    <format dxfId="45">
      <pivotArea type="origin" dataOnly="0" labelOnly="1" outline="0" fieldPosition="0"/>
    </format>
    <format dxfId="44">
      <pivotArea field="1" type="button" dataOnly="0" labelOnly="1" outline="0" axis="axisCol" fieldPosition="0"/>
    </format>
    <format dxfId="43">
      <pivotArea type="topRight" dataOnly="0" labelOnly="1" outline="0" fieldPosition="0"/>
    </format>
    <format dxfId="42">
      <pivotArea field="3" type="button" dataOnly="0" labelOnly="1" outline="0" axis="axisRow" fieldPosition="0"/>
    </format>
    <format dxfId="41">
      <pivotArea dataOnly="0" labelOnly="1" fieldPosition="0">
        <references count="1">
          <reference field="1" count="0"/>
        </references>
      </pivotArea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1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1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5281C07-BA42-4EB2-83B0-E71C3BE0E870}" autoFormatId="16" applyNumberFormats="0" applyBorderFormats="0" applyFontFormats="0" applyPatternFormats="0" applyAlignmentFormats="0" applyWidthHeightFormats="0">
  <queryTableRefresh nextId="18" unboundColumnsRight="4">
    <queryTableFields count="17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" tableColumnId="12"/>
      <queryTableField id="13" name="Campaign_Name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7FC9C133-9476-408D-A81D-FE8E8A8EF8EE}" autoFormatId="16" applyNumberFormats="0" applyBorderFormats="0" applyFontFormats="0" applyPatternFormats="0" applyAlignmentFormats="0" applyWidthHeightFormats="0">
  <queryTableRefresh nextId="15" unboundColumnsRight="1">
    <queryTableFields count="14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" tableColumnId="12"/>
      <queryTableField id="13" name="Campaign_Name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096924-BAE8-415F-BEAE-FB5610E48B24}" name="Posts5" displayName="Posts5" ref="A1:Q484" tableType="queryTable" totalsRowShown="0" headerRowDxfId="26" dataDxfId="25">
  <autoFilter ref="A1:Q484" xr:uid="{8D265A54-827F-44B5-9527-23BC4B075F4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B4395AF1-D66A-44FC-84E2-4B7F9E927EE9}" uniqueName="1" name="Post ID" queryTableFieldId="1" dataDxfId="24"/>
    <tableColumn id="2" xr3:uid="{CF6F007D-4154-422C-B40B-7CAE4B4F2C0A}" uniqueName="2" name="Platform" queryTableFieldId="2" dataDxfId="23"/>
    <tableColumn id="3" xr3:uid="{9711C7A3-E9E0-4267-9CFF-66CFA49326AE}" uniqueName="3" name="Date" queryTableFieldId="3" dataDxfId="22"/>
    <tableColumn id="4" xr3:uid="{6C2D20F8-019A-4F31-9842-B3CDEFBDA80E}" uniqueName="4" name="Content Type" queryTableFieldId="4" dataDxfId="21"/>
    <tableColumn id="5" xr3:uid="{56C1D4D4-53D3-47AE-B77F-1CE3F91DF7DE}" uniqueName="5" name="Post Text" queryTableFieldId="5" dataDxfId="20"/>
    <tableColumn id="6" xr3:uid="{E0451DF8-7088-4FFF-8B5C-E702A59480EE}" uniqueName="6" name="Likes" queryTableFieldId="6" dataDxfId="19"/>
    <tableColumn id="7" xr3:uid="{EC99A048-5248-4D60-B48F-715BD3F5E077}" uniqueName="7" name="Shares" queryTableFieldId="7" dataDxfId="18"/>
    <tableColumn id="8" xr3:uid="{C4A0509E-AAAB-4EE2-9653-7939DBB75035}" uniqueName="8" name="Comments" queryTableFieldId="8" dataDxfId="17"/>
    <tableColumn id="9" xr3:uid="{8C50AC6C-1658-47E1-B66C-124A83C95D96}" uniqueName="9" name="Impressions" queryTableFieldId="9" dataDxfId="16"/>
    <tableColumn id="10" xr3:uid="{AB1EFC71-6F37-46EA-A43D-7CC9B9677CBF}" uniqueName="10" name="Reach" queryTableFieldId="10" dataDxfId="15"/>
    <tableColumn id="11" xr3:uid="{9EBFAB99-CBA3-46DE-8A73-AC76AE48B3B9}" uniqueName="11" name="Clicks" queryTableFieldId="11" dataDxfId="14"/>
    <tableColumn id="12" xr3:uid="{2D447106-E3D6-44D3-AC55-1F9A422A9899}" uniqueName="12" name="Hashtags Used" queryTableFieldId="12" dataDxfId="13"/>
    <tableColumn id="13" xr3:uid="{3017E986-A56E-4FCF-BE43-A6DBA38186D7}" uniqueName="13" name="Campaign_Name" queryTableFieldId="13" dataDxfId="12"/>
    <tableColumn id="14" xr3:uid="{29BFB8AD-133B-40DC-B328-3B8CD2525FB0}" uniqueName="14" name="Engagement Rate" queryTableFieldId="14" dataDxfId="11">
      <calculatedColumnFormula>(Posts5[[#This Row],[Likes]]+Posts5[[#This Row],[Shares]]+Posts5[[#This Row],[Comments]])/Posts5[[#This Row],[Impressions]]</calculatedColumnFormula>
    </tableColumn>
    <tableColumn id="15" xr3:uid="{9FE8702B-CB90-4B41-BB77-0FDDDDDC8A2C}" uniqueName="15" name="Campaign Start Date" queryTableFieldId="15" dataDxfId="10">
      <calculatedColumnFormula>_xlfn.XLOOKUP(Posts5[[#This Row],[Campaign_Name]],'[1]Campaign Metadata'!A:A,'[1]Campaign Metadata'!B:B)</calculatedColumnFormula>
    </tableColumn>
    <tableColumn id="16" xr3:uid="{B15EA1D1-B442-44FF-BAE1-53753F34E374}" uniqueName="16" name="Campaign end date" queryTableFieldId="16" dataDxfId="9">
      <calculatedColumnFormula>_xlfn.XLOOKUP(Posts5[[#This Row],[Campaign_Name]],'[1]Campaign Metadata'!A:A,'[1]Campaign Metadata'!C:C)</calculatedColumnFormula>
    </tableColumn>
    <tableColumn id="17" xr3:uid="{94BB6B92-3DAA-4A63-A3DE-ABD32EC52E62}" uniqueName="17" name="Campaign Status" queryTableFieldId="17" dataDxfId="8">
      <calculatedColumnFormula>IF(AND(Posts5[[#This Row],[Date]] &gt;=Posts5[[#This Row],[Campaign Start Date]], Posts5[[#This Row],[Date]]&lt;= Posts5[[#This Row],[Campaign end date]]), "During","Before")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8E3EF4-8F37-436B-8488-B5A4CB6F67AE}" name="Posts__2" displayName="Posts__2" ref="A1:N301" tableType="queryTable" totalsRowShown="0">
  <autoFilter ref="A1:N301" xr:uid="{9CA85776-EDB0-4F04-8E61-2BD2D3F21066}"/>
  <tableColumns count="14">
    <tableColumn id="1" xr3:uid="{4F3587E5-8B5F-4F26-BD7A-5365DF06C1F2}" uniqueName="1" name="Post ID" queryTableFieldId="1" dataDxfId="7"/>
    <tableColumn id="2" xr3:uid="{D60DE8EE-F7A0-43EA-B31D-3427E0E01123}" uniqueName="2" name="Platform" queryTableFieldId="2" dataDxfId="6"/>
    <tableColumn id="3" xr3:uid="{892CD741-E4CE-40C1-A3A1-35A6434484C4}" uniqueName="3" name="Date" queryTableFieldId="3" dataDxfId="5"/>
    <tableColumn id="4" xr3:uid="{34042B06-517C-4920-8768-DA6DA1C98055}" uniqueName="4" name="Content Type" queryTableFieldId="4" dataDxfId="4"/>
    <tableColumn id="5" xr3:uid="{D350A6CC-6C0A-416F-A027-B39D17C92363}" uniqueName="5" name="Post Text" queryTableFieldId="5" dataDxfId="3"/>
    <tableColumn id="6" xr3:uid="{39C8ABFF-5E49-4556-9D9C-7CE4919D8A1F}" uniqueName="6" name="Likes" queryTableFieldId="6"/>
    <tableColumn id="7" xr3:uid="{5F834564-7204-436F-A0EE-6C3332611592}" uniqueName="7" name="Shares" queryTableFieldId="7"/>
    <tableColumn id="8" xr3:uid="{E3AFCBC2-882D-43A0-9189-B3470D089197}" uniqueName="8" name="Comments" queryTableFieldId="8"/>
    <tableColumn id="9" xr3:uid="{B01C70DD-5BF7-4FA0-8FEE-1167E08F648D}" uniqueName="9" name="Impressions" queryTableFieldId="9"/>
    <tableColumn id="10" xr3:uid="{2710D52B-75BE-4C07-9D84-010DD0EF03FC}" uniqueName="10" name="Reach" queryTableFieldId="10"/>
    <tableColumn id="11" xr3:uid="{E7594140-0407-40D6-BDA5-35515E1E509F}" uniqueName="11" name="Clicks" queryTableFieldId="11"/>
    <tableColumn id="12" xr3:uid="{7AB85ABE-3F83-4DA6-A36E-0B698BBE74D3}" uniqueName="12" name="Hashtags Used" queryTableFieldId="12" dataDxfId="2"/>
    <tableColumn id="13" xr3:uid="{F60E356F-3C1C-474F-A58D-B41F453DD41C}" uniqueName="13" name="Campaign_Name" queryTableFieldId="13" dataDxfId="1"/>
    <tableColumn id="14" xr3:uid="{4D65A01F-582E-4B2C-B932-4F5C5D2485C5}" uniqueName="14" name="Engagement Rate" queryTableFieldId="14" dataDxfId="0">
      <calculatedColumnFormula>(  Posts__2[[#This Row],[Likes]]+Posts__2[[#This Row],[Comments]]+Posts__2[[#This Row],[Shares]] ) / Posts__2[[#This Row],[Impressions]]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1719E-5489-4FF0-A6D7-8D35712BFF33}">
  <dimension ref="A1:I9"/>
  <sheetViews>
    <sheetView tabSelected="1" zoomScaleNormal="100" workbookViewId="0">
      <selection activeCell="J7" sqref="J7"/>
    </sheetView>
  </sheetViews>
  <sheetFormatPr defaultRowHeight="14.4" x14ac:dyDescent="0.3"/>
  <cols>
    <col min="1" max="1" width="17.21875" bestFit="1" customWidth="1"/>
    <col min="2" max="2" width="9.77734375" bestFit="1" customWidth="1"/>
    <col min="3" max="3" width="23.77734375" customWidth="1"/>
    <col min="4" max="4" width="9.6640625" customWidth="1"/>
    <col min="5" max="5" width="19.5546875" bestFit="1" customWidth="1"/>
    <col min="6" max="6" width="15.5546875" bestFit="1" customWidth="1"/>
    <col min="7" max="7" width="6.88671875" bestFit="1" customWidth="1"/>
    <col min="8" max="8" width="8.44140625" bestFit="1" customWidth="1"/>
    <col min="9" max="9" width="10.77734375" bestFit="1" customWidth="1"/>
  </cols>
  <sheetData>
    <row r="1" spans="1:9" ht="28.2" x14ac:dyDescent="0.65">
      <c r="C1" s="14" t="s">
        <v>354</v>
      </c>
      <c r="D1" s="15"/>
      <c r="E1" s="15"/>
      <c r="F1" s="15"/>
      <c r="G1" s="15"/>
      <c r="H1" s="15"/>
      <c r="I1" s="15"/>
    </row>
    <row r="3" spans="1:9" x14ac:dyDescent="0.3">
      <c r="A3" s="12" t="s">
        <v>0</v>
      </c>
      <c r="B3" s="12"/>
      <c r="C3" s="12"/>
      <c r="E3" s="12" t="s">
        <v>1</v>
      </c>
      <c r="F3" s="13"/>
      <c r="G3" s="13"/>
      <c r="H3" s="13"/>
    </row>
    <row r="4" spans="1:9" x14ac:dyDescent="0.3">
      <c r="A4" s="6" t="s">
        <v>2</v>
      </c>
      <c r="B4" s="6" t="s">
        <v>3</v>
      </c>
      <c r="C4" s="6" t="s">
        <v>4</v>
      </c>
      <c r="E4" s="6" t="s">
        <v>4</v>
      </c>
      <c r="F4" s="6" t="s">
        <v>353</v>
      </c>
      <c r="G4" s="6"/>
      <c r="H4" s="6"/>
    </row>
    <row r="5" spans="1:9" x14ac:dyDescent="0.3">
      <c r="A5" s="1" t="s">
        <v>5</v>
      </c>
      <c r="B5" s="2">
        <v>143</v>
      </c>
      <c r="C5" s="3">
        <v>9.8567431094720506E-2</v>
      </c>
      <c r="E5" s="6" t="s">
        <v>6</v>
      </c>
      <c r="F5" s="7" t="s">
        <v>7</v>
      </c>
      <c r="G5" s="6" t="s">
        <v>8</v>
      </c>
      <c r="H5" s="6" t="s">
        <v>9</v>
      </c>
    </row>
    <row r="6" spans="1:9" x14ac:dyDescent="0.3">
      <c r="A6" s="1" t="s">
        <v>10</v>
      </c>
      <c r="B6" s="2">
        <v>130</v>
      </c>
      <c r="C6" s="3">
        <v>8.760663345122878E-2</v>
      </c>
      <c r="E6" s="1" t="s">
        <v>11</v>
      </c>
      <c r="F6" s="3"/>
      <c r="G6" s="3"/>
      <c r="H6" s="3">
        <v>9.010688153503349E-2</v>
      </c>
    </row>
    <row r="7" spans="1:9" x14ac:dyDescent="0.3">
      <c r="A7" s="1" t="s">
        <v>12</v>
      </c>
      <c r="B7" s="2">
        <v>109</v>
      </c>
      <c r="C7" s="3">
        <v>9.4448669905002544E-2</v>
      </c>
      <c r="E7" s="1" t="s">
        <v>13</v>
      </c>
      <c r="F7" s="3">
        <v>9.5509123528654066E-2</v>
      </c>
      <c r="G7" s="3">
        <v>9.6350204330797537E-2</v>
      </c>
      <c r="H7" s="3"/>
    </row>
    <row r="8" spans="1:9" x14ac:dyDescent="0.3">
      <c r="A8" s="1" t="s">
        <v>14</v>
      </c>
      <c r="B8" s="2">
        <v>67</v>
      </c>
      <c r="C8" s="3">
        <v>8.9057449367429237E-2</v>
      </c>
      <c r="E8" s="1" t="s">
        <v>15</v>
      </c>
      <c r="F8" s="3">
        <v>8.9151970703401293E-2</v>
      </c>
      <c r="G8" s="3">
        <v>9.5584491232904453E-2</v>
      </c>
      <c r="H8" s="3">
        <v>8.640329129367573E-2</v>
      </c>
    </row>
    <row r="9" spans="1:9" x14ac:dyDescent="0.3">
      <c r="A9" s="1" t="s">
        <v>16</v>
      </c>
      <c r="B9" s="2">
        <v>34</v>
      </c>
      <c r="C9" s="3">
        <v>8.640329129367573E-2</v>
      </c>
    </row>
  </sheetData>
  <mergeCells count="3">
    <mergeCell ref="A3:C3"/>
    <mergeCell ref="E3:H3"/>
    <mergeCell ref="C1:I1"/>
  </mergeCell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96A5E-5E89-4733-997C-D66B08364D68}">
  <dimension ref="A1:Q484"/>
  <sheetViews>
    <sheetView workbookViewId="0">
      <selection activeCell="E15" sqref="E15"/>
    </sheetView>
  </sheetViews>
  <sheetFormatPr defaultRowHeight="14.4" x14ac:dyDescent="0.3"/>
  <cols>
    <col min="1" max="1" width="9.109375" bestFit="1" customWidth="1"/>
    <col min="2" max="2" width="10.5546875" bestFit="1" customWidth="1"/>
    <col min="3" max="3" width="10.33203125" bestFit="1" customWidth="1"/>
    <col min="4" max="4" width="14.5546875" bestFit="1" customWidth="1"/>
    <col min="5" max="5" width="36.77734375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13.21875" bestFit="1" customWidth="1"/>
    <col min="10" max="10" width="8.33203125" bestFit="1" customWidth="1"/>
    <col min="11" max="11" width="7.88671875" bestFit="1" customWidth="1"/>
    <col min="12" max="12" width="17.21875" bestFit="1" customWidth="1"/>
    <col min="13" max="13" width="17.77734375" bestFit="1" customWidth="1"/>
    <col min="14" max="14" width="15.88671875" bestFit="1" customWidth="1"/>
    <col min="15" max="15" width="18.44140625" style="4" bestFit="1" customWidth="1"/>
    <col min="16" max="16" width="17.5546875" bestFit="1" customWidth="1"/>
    <col min="17" max="17" width="15.21875" bestFit="1" customWidth="1"/>
  </cols>
  <sheetData>
    <row r="1" spans="1:17" x14ac:dyDescent="0.3">
      <c r="A1" s="8" t="s">
        <v>17</v>
      </c>
      <c r="B1" s="8" t="s">
        <v>18</v>
      </c>
      <c r="C1" s="8" t="s">
        <v>19</v>
      </c>
      <c r="D1" s="8" t="s">
        <v>20</v>
      </c>
      <c r="E1" s="8" t="s">
        <v>21</v>
      </c>
      <c r="F1" s="8" t="s">
        <v>22</v>
      </c>
      <c r="G1" s="8" t="s">
        <v>23</v>
      </c>
      <c r="H1" s="8" t="s">
        <v>24</v>
      </c>
      <c r="I1" s="8" t="s">
        <v>25</v>
      </c>
      <c r="J1" s="8" t="s">
        <v>26</v>
      </c>
      <c r="K1" s="8" t="s">
        <v>27</v>
      </c>
      <c r="L1" s="8" t="s">
        <v>28</v>
      </c>
      <c r="M1" s="8" t="s">
        <v>29</v>
      </c>
      <c r="N1" s="8" t="s">
        <v>30</v>
      </c>
      <c r="O1" s="9" t="s">
        <v>352</v>
      </c>
      <c r="P1" s="8" t="s">
        <v>351</v>
      </c>
      <c r="Q1" s="8" t="s">
        <v>350</v>
      </c>
    </row>
    <row r="2" spans="1:17" x14ac:dyDescent="0.3">
      <c r="A2" s="10" t="s">
        <v>31</v>
      </c>
      <c r="B2" s="10" t="s">
        <v>7</v>
      </c>
      <c r="C2" s="11">
        <v>45781</v>
      </c>
      <c r="D2" s="10" t="s">
        <v>15</v>
      </c>
      <c r="E2" s="10" t="s">
        <v>32</v>
      </c>
      <c r="F2" s="10">
        <v>2414</v>
      </c>
      <c r="G2" s="10">
        <v>245</v>
      </c>
      <c r="H2" s="10">
        <v>137</v>
      </c>
      <c r="I2" s="10">
        <v>21181</v>
      </c>
      <c r="J2" s="10">
        <v>45292</v>
      </c>
      <c r="K2" s="10">
        <v>133</v>
      </c>
      <c r="L2" s="10" t="s">
        <v>12</v>
      </c>
      <c r="M2" s="10" t="s">
        <v>34</v>
      </c>
      <c r="N2" s="10">
        <f>(Posts5[[#This Row],[Likes]]+Posts5[[#This Row],[Shares]]+Posts5[[#This Row],[Comments]])/Posts5[[#This Row],[Impressions]]</f>
        <v>0.13200509890939993</v>
      </c>
      <c r="O2" s="11">
        <f>_xlfn.XLOOKUP(Posts5[[#This Row],[Campaign_Name]],'[1]Campaign Metadata'!A:A,'[1]Campaign Metadata'!B:B)</f>
        <v>45667</v>
      </c>
      <c r="P2" s="10">
        <f>_xlfn.XLOOKUP(Posts5[[#This Row],[Campaign_Name]],'[1]Campaign Metadata'!A:A,'[1]Campaign Metadata'!C:C)</f>
        <v>45698</v>
      </c>
      <c r="Q2" s="10" t="str">
        <f>IF(AND(Posts5[[#This Row],[Date]] &gt;=Posts5[[#This Row],[Campaign Start Date]], Posts5[[#This Row],[Date]]&lt;= Posts5[[#This Row],[Campaign end date]]), "During","Before")</f>
        <v>Before</v>
      </c>
    </row>
    <row r="3" spans="1:17" x14ac:dyDescent="0.3">
      <c r="A3" s="10" t="s">
        <v>31</v>
      </c>
      <c r="B3" s="10" t="s">
        <v>7</v>
      </c>
      <c r="C3" s="11">
        <v>45781</v>
      </c>
      <c r="D3" s="10" t="s">
        <v>15</v>
      </c>
      <c r="E3" s="10" t="s">
        <v>32</v>
      </c>
      <c r="F3" s="10">
        <v>2414</v>
      </c>
      <c r="G3" s="10">
        <v>245</v>
      </c>
      <c r="H3" s="10">
        <v>137</v>
      </c>
      <c r="I3" s="10">
        <v>21181</v>
      </c>
      <c r="J3" s="10">
        <v>45292</v>
      </c>
      <c r="K3" s="10">
        <v>133</v>
      </c>
      <c r="L3" s="10" t="s">
        <v>5</v>
      </c>
      <c r="M3" s="10" t="s">
        <v>34</v>
      </c>
      <c r="N3" s="10">
        <f>(Posts5[[#This Row],[Likes]]+Posts5[[#This Row],[Shares]]+Posts5[[#This Row],[Comments]])/Posts5[[#This Row],[Impressions]]</f>
        <v>0.13200509890939993</v>
      </c>
      <c r="O3" s="11">
        <f>_xlfn.XLOOKUP(Posts5[[#This Row],[Campaign_Name]],'[1]Campaign Metadata'!A:A,'[1]Campaign Metadata'!B:B)</f>
        <v>45667</v>
      </c>
      <c r="P3" s="10">
        <f>_xlfn.XLOOKUP(Posts5[[#This Row],[Campaign_Name]],'[1]Campaign Metadata'!A:A,'[1]Campaign Metadata'!C:C)</f>
        <v>45698</v>
      </c>
      <c r="Q3" s="10" t="str">
        <f>IF(AND(Posts5[[#This Row],[Date]] &gt;=Posts5[[#This Row],[Campaign Start Date]], Posts5[[#This Row],[Date]]&lt;= Posts5[[#This Row],[Campaign end date]]), "During","Before")</f>
        <v>Before</v>
      </c>
    </row>
    <row r="4" spans="1:17" x14ac:dyDescent="0.3">
      <c r="A4" s="10" t="s">
        <v>35</v>
      </c>
      <c r="B4" s="10" t="s">
        <v>7</v>
      </c>
      <c r="C4" s="11">
        <v>45689</v>
      </c>
      <c r="D4" s="10" t="s">
        <v>15</v>
      </c>
      <c r="E4" s="10" t="s">
        <v>36</v>
      </c>
      <c r="F4" s="10">
        <v>1934</v>
      </c>
      <c r="G4" s="10">
        <v>210</v>
      </c>
      <c r="H4" s="10">
        <v>393</v>
      </c>
      <c r="I4" s="10">
        <v>29129</v>
      </c>
      <c r="J4" s="10">
        <v>73287</v>
      </c>
      <c r="K4" s="10">
        <v>273</v>
      </c>
      <c r="L4" s="10" t="s">
        <v>10</v>
      </c>
      <c r="M4" s="10" t="s">
        <v>37</v>
      </c>
      <c r="N4" s="10">
        <f>(Posts5[[#This Row],[Likes]]+Posts5[[#This Row],[Shares]]+Posts5[[#This Row],[Comments]])/Posts5[[#This Row],[Impressions]]</f>
        <v>8.7095334546328396E-2</v>
      </c>
      <c r="O4" s="11">
        <f>_xlfn.XLOOKUP(Posts5[[#This Row],[Campaign_Name]],'[1]Campaign Metadata'!A:A,'[1]Campaign Metadata'!B:B)</f>
        <v>45717</v>
      </c>
      <c r="P4" s="10">
        <f>_xlfn.XLOOKUP(Posts5[[#This Row],[Campaign_Name]],'[1]Campaign Metadata'!A:A,'[1]Campaign Metadata'!C:C)</f>
        <v>45747</v>
      </c>
      <c r="Q4" s="10" t="str">
        <f>IF(AND(Posts5[[#This Row],[Date]] &gt;=Posts5[[#This Row],[Campaign Start Date]], Posts5[[#This Row],[Date]]&lt;= Posts5[[#This Row],[Campaign end date]]), "During","Before")</f>
        <v>Before</v>
      </c>
    </row>
    <row r="5" spans="1:17" x14ac:dyDescent="0.3">
      <c r="A5" s="10" t="s">
        <v>38</v>
      </c>
      <c r="B5" s="10" t="s">
        <v>8</v>
      </c>
      <c r="C5" s="11">
        <v>45629</v>
      </c>
      <c r="D5" s="10" t="s">
        <v>13</v>
      </c>
      <c r="E5" s="10" t="s">
        <v>39</v>
      </c>
      <c r="F5" s="10">
        <v>3092</v>
      </c>
      <c r="G5" s="10">
        <v>177</v>
      </c>
      <c r="H5" s="10">
        <v>81</v>
      </c>
      <c r="I5" s="10">
        <v>47533</v>
      </c>
      <c r="J5" s="10">
        <v>29220</v>
      </c>
      <c r="K5" s="10">
        <v>121</v>
      </c>
      <c r="L5" s="10" t="s">
        <v>14</v>
      </c>
      <c r="M5" s="10" t="s">
        <v>34</v>
      </c>
      <c r="N5" s="10">
        <f>(Posts5[[#This Row],[Likes]]+Posts5[[#This Row],[Shares]]+Posts5[[#This Row],[Comments]])/Posts5[[#This Row],[Impressions]]</f>
        <v>7.0477352576105018E-2</v>
      </c>
      <c r="O5" s="11">
        <f>_xlfn.XLOOKUP(Posts5[[#This Row],[Campaign_Name]],'[1]Campaign Metadata'!A:A,'[1]Campaign Metadata'!B:B)</f>
        <v>45667</v>
      </c>
      <c r="P5" s="10">
        <f>_xlfn.XLOOKUP(Posts5[[#This Row],[Campaign_Name]],'[1]Campaign Metadata'!A:A,'[1]Campaign Metadata'!C:C)</f>
        <v>45698</v>
      </c>
      <c r="Q5" s="10" t="str">
        <f>IF(AND(Posts5[[#This Row],[Date]] &gt;=Posts5[[#This Row],[Campaign Start Date]], Posts5[[#This Row],[Date]]&lt;= Posts5[[#This Row],[Campaign end date]]), "During","Before")</f>
        <v>Before</v>
      </c>
    </row>
    <row r="6" spans="1:17" x14ac:dyDescent="0.3">
      <c r="A6" s="10" t="s">
        <v>38</v>
      </c>
      <c r="B6" s="10" t="s">
        <v>8</v>
      </c>
      <c r="C6" s="11">
        <v>45629</v>
      </c>
      <c r="D6" s="10" t="s">
        <v>13</v>
      </c>
      <c r="E6" s="10" t="s">
        <v>39</v>
      </c>
      <c r="F6" s="10">
        <v>3092</v>
      </c>
      <c r="G6" s="10">
        <v>177</v>
      </c>
      <c r="H6" s="10">
        <v>81</v>
      </c>
      <c r="I6" s="10">
        <v>47533</v>
      </c>
      <c r="J6" s="10">
        <v>29220</v>
      </c>
      <c r="K6" s="10">
        <v>121</v>
      </c>
      <c r="L6" s="10" t="s">
        <v>5</v>
      </c>
      <c r="M6" s="10" t="s">
        <v>34</v>
      </c>
      <c r="N6" s="10">
        <f>(Posts5[[#This Row],[Likes]]+Posts5[[#This Row],[Shares]]+Posts5[[#This Row],[Comments]])/Posts5[[#This Row],[Impressions]]</f>
        <v>7.0477352576105018E-2</v>
      </c>
      <c r="O6" s="11">
        <f>_xlfn.XLOOKUP(Posts5[[#This Row],[Campaign_Name]],'[1]Campaign Metadata'!A:A,'[1]Campaign Metadata'!B:B)</f>
        <v>45667</v>
      </c>
      <c r="P6" s="10">
        <f>_xlfn.XLOOKUP(Posts5[[#This Row],[Campaign_Name]],'[1]Campaign Metadata'!A:A,'[1]Campaign Metadata'!C:C)</f>
        <v>45698</v>
      </c>
      <c r="Q6" s="10" t="str">
        <f>IF(AND(Posts5[[#This Row],[Date]] &gt;=Posts5[[#This Row],[Campaign Start Date]], Posts5[[#This Row],[Date]]&lt;= Posts5[[#This Row],[Campaign end date]]), "During","Before")</f>
        <v>Before</v>
      </c>
    </row>
    <row r="7" spans="1:17" x14ac:dyDescent="0.3">
      <c r="A7" s="10" t="s">
        <v>41</v>
      </c>
      <c r="B7" s="10" t="s">
        <v>7</v>
      </c>
      <c r="C7" s="11">
        <v>45629</v>
      </c>
      <c r="D7" s="10" t="s">
        <v>15</v>
      </c>
      <c r="E7" s="10" t="s">
        <v>42</v>
      </c>
      <c r="F7" s="10">
        <v>3173</v>
      </c>
      <c r="G7" s="10">
        <v>229</v>
      </c>
      <c r="H7" s="10">
        <v>197</v>
      </c>
      <c r="I7" s="10">
        <v>29604</v>
      </c>
      <c r="J7" s="10">
        <v>21809</v>
      </c>
      <c r="K7" s="10">
        <v>272</v>
      </c>
      <c r="L7" s="10" t="s">
        <v>12</v>
      </c>
      <c r="M7" s="10" t="s">
        <v>34</v>
      </c>
      <c r="N7" s="10">
        <f>(Posts5[[#This Row],[Likes]]+Posts5[[#This Row],[Shares]]+Posts5[[#This Row],[Comments]])/Posts5[[#This Row],[Impressions]]</f>
        <v>0.1215714092690177</v>
      </c>
      <c r="O7" s="11">
        <f>_xlfn.XLOOKUP(Posts5[[#This Row],[Campaign_Name]],'[1]Campaign Metadata'!A:A,'[1]Campaign Metadata'!B:B)</f>
        <v>45667</v>
      </c>
      <c r="P7" s="10">
        <f>_xlfn.XLOOKUP(Posts5[[#This Row],[Campaign_Name]],'[1]Campaign Metadata'!A:A,'[1]Campaign Metadata'!C:C)</f>
        <v>45698</v>
      </c>
      <c r="Q7" s="10" t="str">
        <f>IF(AND(Posts5[[#This Row],[Date]] &gt;=Posts5[[#This Row],[Campaign Start Date]], Posts5[[#This Row],[Date]]&lt;= Posts5[[#This Row],[Campaign end date]]), "During","Before")</f>
        <v>Before</v>
      </c>
    </row>
    <row r="8" spans="1:17" x14ac:dyDescent="0.3">
      <c r="A8" s="10" t="s">
        <v>41</v>
      </c>
      <c r="B8" s="10" t="s">
        <v>7</v>
      </c>
      <c r="C8" s="11">
        <v>45629</v>
      </c>
      <c r="D8" s="10" t="s">
        <v>15</v>
      </c>
      <c r="E8" s="10" t="s">
        <v>42</v>
      </c>
      <c r="F8" s="10">
        <v>3173</v>
      </c>
      <c r="G8" s="10">
        <v>229</v>
      </c>
      <c r="H8" s="10">
        <v>197</v>
      </c>
      <c r="I8" s="10">
        <v>29604</v>
      </c>
      <c r="J8" s="10">
        <v>21809</v>
      </c>
      <c r="K8" s="10">
        <v>272</v>
      </c>
      <c r="L8" s="10" t="s">
        <v>5</v>
      </c>
      <c r="M8" s="10" t="s">
        <v>34</v>
      </c>
      <c r="N8" s="10">
        <f>(Posts5[[#This Row],[Likes]]+Posts5[[#This Row],[Shares]]+Posts5[[#This Row],[Comments]])/Posts5[[#This Row],[Impressions]]</f>
        <v>0.1215714092690177</v>
      </c>
      <c r="O8" s="11">
        <f>_xlfn.XLOOKUP(Posts5[[#This Row],[Campaign_Name]],'[1]Campaign Metadata'!A:A,'[1]Campaign Metadata'!B:B)</f>
        <v>45667</v>
      </c>
      <c r="P8" s="10">
        <f>_xlfn.XLOOKUP(Posts5[[#This Row],[Campaign_Name]],'[1]Campaign Metadata'!A:A,'[1]Campaign Metadata'!C:C)</f>
        <v>45698</v>
      </c>
      <c r="Q8" s="10" t="str">
        <f>IF(AND(Posts5[[#This Row],[Date]] &gt;=Posts5[[#This Row],[Campaign Start Date]], Posts5[[#This Row],[Date]]&lt;= Posts5[[#This Row],[Campaign end date]]), "During","Before")</f>
        <v>Before</v>
      </c>
    </row>
    <row r="9" spans="1:17" x14ac:dyDescent="0.3">
      <c r="A9" s="10" t="s">
        <v>43</v>
      </c>
      <c r="B9" s="10" t="s">
        <v>9</v>
      </c>
      <c r="C9" s="11">
        <v>45388</v>
      </c>
      <c r="D9" s="10" t="s">
        <v>15</v>
      </c>
      <c r="E9" s="10" t="s">
        <v>44</v>
      </c>
      <c r="F9" s="10">
        <v>2748</v>
      </c>
      <c r="G9" s="10">
        <v>145</v>
      </c>
      <c r="H9" s="10">
        <v>315</v>
      </c>
      <c r="I9" s="10">
        <v>24401</v>
      </c>
      <c r="J9" s="10">
        <v>61182</v>
      </c>
      <c r="K9" s="10">
        <v>200</v>
      </c>
      <c r="L9" s="10" t="s">
        <v>10</v>
      </c>
      <c r="M9" s="10" t="s">
        <v>37</v>
      </c>
      <c r="N9" s="10">
        <f>(Posts5[[#This Row],[Likes]]+Posts5[[#This Row],[Shares]]+Posts5[[#This Row],[Comments]])/Posts5[[#This Row],[Impressions]]</f>
        <v>0.1314700217204213</v>
      </c>
      <c r="O9" s="11">
        <f>_xlfn.XLOOKUP(Posts5[[#This Row],[Campaign_Name]],'[1]Campaign Metadata'!A:A,'[1]Campaign Metadata'!B:B)</f>
        <v>45717</v>
      </c>
      <c r="P9" s="10">
        <f>_xlfn.XLOOKUP(Posts5[[#This Row],[Campaign_Name]],'[1]Campaign Metadata'!A:A,'[1]Campaign Metadata'!C:C)</f>
        <v>45747</v>
      </c>
      <c r="Q9" s="10" t="str">
        <f>IF(AND(Posts5[[#This Row],[Date]] &gt;=Posts5[[#This Row],[Campaign Start Date]], Posts5[[#This Row],[Date]]&lt;= Posts5[[#This Row],[Campaign end date]]), "During","Before")</f>
        <v>Before</v>
      </c>
    </row>
    <row r="10" spans="1:17" x14ac:dyDescent="0.3">
      <c r="A10" s="10" t="s">
        <v>43</v>
      </c>
      <c r="B10" s="10" t="s">
        <v>9</v>
      </c>
      <c r="C10" s="11">
        <v>45388</v>
      </c>
      <c r="D10" s="10" t="s">
        <v>15</v>
      </c>
      <c r="E10" s="10" t="s">
        <v>44</v>
      </c>
      <c r="F10" s="10">
        <v>2748</v>
      </c>
      <c r="G10" s="10">
        <v>145</v>
      </c>
      <c r="H10" s="10">
        <v>315</v>
      </c>
      <c r="I10" s="10">
        <v>24401</v>
      </c>
      <c r="J10" s="10">
        <v>61182</v>
      </c>
      <c r="K10" s="10">
        <v>200</v>
      </c>
      <c r="L10" s="10" t="s">
        <v>16</v>
      </c>
      <c r="M10" s="10" t="s">
        <v>37</v>
      </c>
      <c r="N10" s="10">
        <f>(Posts5[[#This Row],[Likes]]+Posts5[[#This Row],[Shares]]+Posts5[[#This Row],[Comments]])/Posts5[[#This Row],[Impressions]]</f>
        <v>0.1314700217204213</v>
      </c>
      <c r="O10" s="11">
        <f>_xlfn.XLOOKUP(Posts5[[#This Row],[Campaign_Name]],'[1]Campaign Metadata'!A:A,'[1]Campaign Metadata'!B:B)</f>
        <v>45717</v>
      </c>
      <c r="P10" s="10">
        <f>_xlfn.XLOOKUP(Posts5[[#This Row],[Campaign_Name]],'[1]Campaign Metadata'!A:A,'[1]Campaign Metadata'!C:C)</f>
        <v>45747</v>
      </c>
      <c r="Q10" s="10" t="str">
        <f>IF(AND(Posts5[[#This Row],[Date]] &gt;=Posts5[[#This Row],[Campaign Start Date]], Posts5[[#This Row],[Date]]&lt;= Posts5[[#This Row],[Campaign end date]]), "During","Before")</f>
        <v>Before</v>
      </c>
    </row>
    <row r="11" spans="1:17" x14ac:dyDescent="0.3">
      <c r="A11" s="10" t="s">
        <v>46</v>
      </c>
      <c r="B11" s="10" t="s">
        <v>9</v>
      </c>
      <c r="C11" s="11">
        <v>45456</v>
      </c>
      <c r="D11" s="10" t="s">
        <v>15</v>
      </c>
      <c r="E11" s="10" t="s">
        <v>47</v>
      </c>
      <c r="F11" s="10">
        <v>3882</v>
      </c>
      <c r="G11" s="10">
        <v>239</v>
      </c>
      <c r="H11" s="10">
        <v>275</v>
      </c>
      <c r="I11" s="10">
        <v>58748</v>
      </c>
      <c r="J11" s="10">
        <v>44646</v>
      </c>
      <c r="K11" s="10">
        <v>149</v>
      </c>
      <c r="L11" s="10" t="s">
        <v>10</v>
      </c>
      <c r="M11" s="10" t="s">
        <v>37</v>
      </c>
      <c r="N11" s="10">
        <f>(Posts5[[#This Row],[Likes]]+Posts5[[#This Row],[Shares]]+Posts5[[#This Row],[Comments]])/Posts5[[#This Row],[Impressions]]</f>
        <v>7.4828079253761837E-2</v>
      </c>
      <c r="O11" s="11">
        <f>_xlfn.XLOOKUP(Posts5[[#This Row],[Campaign_Name]],'[1]Campaign Metadata'!A:A,'[1]Campaign Metadata'!B:B)</f>
        <v>45717</v>
      </c>
      <c r="P11" s="10">
        <f>_xlfn.XLOOKUP(Posts5[[#This Row],[Campaign_Name]],'[1]Campaign Metadata'!A:A,'[1]Campaign Metadata'!C:C)</f>
        <v>45747</v>
      </c>
      <c r="Q11" s="10" t="str">
        <f>IF(AND(Posts5[[#This Row],[Date]] &gt;=Posts5[[#This Row],[Campaign Start Date]], Posts5[[#This Row],[Date]]&lt;= Posts5[[#This Row],[Campaign end date]]), "During","Before")</f>
        <v>Before</v>
      </c>
    </row>
    <row r="12" spans="1:17" x14ac:dyDescent="0.3">
      <c r="A12" s="10" t="s">
        <v>46</v>
      </c>
      <c r="B12" s="10" t="s">
        <v>9</v>
      </c>
      <c r="C12" s="11">
        <v>45456</v>
      </c>
      <c r="D12" s="10" t="s">
        <v>15</v>
      </c>
      <c r="E12" s="10" t="s">
        <v>47</v>
      </c>
      <c r="F12" s="10">
        <v>3882</v>
      </c>
      <c r="G12" s="10">
        <v>239</v>
      </c>
      <c r="H12" s="10">
        <v>275</v>
      </c>
      <c r="I12" s="10">
        <v>58748</v>
      </c>
      <c r="J12" s="10">
        <v>44646</v>
      </c>
      <c r="K12" s="10">
        <v>149</v>
      </c>
      <c r="L12" s="10" t="s">
        <v>16</v>
      </c>
      <c r="M12" s="10" t="s">
        <v>37</v>
      </c>
      <c r="N12" s="10">
        <f>(Posts5[[#This Row],[Likes]]+Posts5[[#This Row],[Shares]]+Posts5[[#This Row],[Comments]])/Posts5[[#This Row],[Impressions]]</f>
        <v>7.4828079253761837E-2</v>
      </c>
      <c r="O12" s="11">
        <f>_xlfn.XLOOKUP(Posts5[[#This Row],[Campaign_Name]],'[1]Campaign Metadata'!A:A,'[1]Campaign Metadata'!B:B)</f>
        <v>45717</v>
      </c>
      <c r="P12" s="10">
        <f>_xlfn.XLOOKUP(Posts5[[#This Row],[Campaign_Name]],'[1]Campaign Metadata'!A:A,'[1]Campaign Metadata'!C:C)</f>
        <v>45747</v>
      </c>
      <c r="Q12" s="10" t="str">
        <f>IF(AND(Posts5[[#This Row],[Date]] &gt;=Posts5[[#This Row],[Campaign Start Date]], Posts5[[#This Row],[Date]]&lt;= Posts5[[#This Row],[Campaign end date]]), "During","Before")</f>
        <v>Before</v>
      </c>
    </row>
    <row r="13" spans="1:17" x14ac:dyDescent="0.3">
      <c r="A13" s="10" t="s">
        <v>48</v>
      </c>
      <c r="B13" s="10" t="s">
        <v>8</v>
      </c>
      <c r="C13" s="11">
        <v>45645</v>
      </c>
      <c r="D13" s="10" t="s">
        <v>13</v>
      </c>
      <c r="E13" s="10" t="s">
        <v>49</v>
      </c>
      <c r="F13" s="10">
        <v>4674</v>
      </c>
      <c r="G13" s="10">
        <v>409</v>
      </c>
      <c r="H13" s="10">
        <v>327</v>
      </c>
      <c r="I13" s="10">
        <v>20756</v>
      </c>
      <c r="J13" s="10">
        <v>63599</v>
      </c>
      <c r="K13" s="10">
        <v>212</v>
      </c>
      <c r="L13" s="10" t="s">
        <v>12</v>
      </c>
      <c r="M13" s="10" t="s">
        <v>34</v>
      </c>
      <c r="N13" s="10">
        <f>(Posts5[[#This Row],[Likes]]+Posts5[[#This Row],[Shares]]+Posts5[[#This Row],[Comments]])/Posts5[[#This Row],[Impressions]]</f>
        <v>0.26064752360763155</v>
      </c>
      <c r="O13" s="11">
        <f>_xlfn.XLOOKUP(Posts5[[#This Row],[Campaign_Name]],'[1]Campaign Metadata'!A:A,'[1]Campaign Metadata'!B:B)</f>
        <v>45667</v>
      </c>
      <c r="P13" s="10">
        <f>_xlfn.XLOOKUP(Posts5[[#This Row],[Campaign_Name]],'[1]Campaign Metadata'!A:A,'[1]Campaign Metadata'!C:C)</f>
        <v>45698</v>
      </c>
      <c r="Q13" s="10" t="str">
        <f>IF(AND(Posts5[[#This Row],[Date]] &gt;=Posts5[[#This Row],[Campaign Start Date]], Posts5[[#This Row],[Date]]&lt;= Posts5[[#This Row],[Campaign end date]]), "During","Before")</f>
        <v>Before</v>
      </c>
    </row>
    <row r="14" spans="1:17" x14ac:dyDescent="0.3">
      <c r="A14" s="10" t="s">
        <v>48</v>
      </c>
      <c r="B14" s="10" t="s">
        <v>8</v>
      </c>
      <c r="C14" s="11">
        <v>45645</v>
      </c>
      <c r="D14" s="10" t="s">
        <v>13</v>
      </c>
      <c r="E14" s="10" t="s">
        <v>49</v>
      </c>
      <c r="F14" s="10">
        <v>4674</v>
      </c>
      <c r="G14" s="10">
        <v>409</v>
      </c>
      <c r="H14" s="10">
        <v>327</v>
      </c>
      <c r="I14" s="10">
        <v>20756</v>
      </c>
      <c r="J14" s="10">
        <v>63599</v>
      </c>
      <c r="K14" s="10">
        <v>212</v>
      </c>
      <c r="L14" s="10" t="s">
        <v>5</v>
      </c>
      <c r="M14" s="10" t="s">
        <v>34</v>
      </c>
      <c r="N14" s="10">
        <f>(Posts5[[#This Row],[Likes]]+Posts5[[#This Row],[Shares]]+Posts5[[#This Row],[Comments]])/Posts5[[#This Row],[Impressions]]</f>
        <v>0.26064752360763155</v>
      </c>
      <c r="O14" s="11">
        <f>_xlfn.XLOOKUP(Posts5[[#This Row],[Campaign_Name]],'[1]Campaign Metadata'!A:A,'[1]Campaign Metadata'!B:B)</f>
        <v>45667</v>
      </c>
      <c r="P14" s="10">
        <f>_xlfn.XLOOKUP(Posts5[[#This Row],[Campaign_Name]],'[1]Campaign Metadata'!A:A,'[1]Campaign Metadata'!C:C)</f>
        <v>45698</v>
      </c>
      <c r="Q14" s="10" t="str">
        <f>IF(AND(Posts5[[#This Row],[Date]] &gt;=Posts5[[#This Row],[Campaign Start Date]], Posts5[[#This Row],[Date]]&lt;= Posts5[[#This Row],[Campaign end date]]), "During","Before")</f>
        <v>Before</v>
      </c>
    </row>
    <row r="15" spans="1:17" x14ac:dyDescent="0.3">
      <c r="A15" s="10" t="s">
        <v>50</v>
      </c>
      <c r="B15" s="10" t="s">
        <v>8</v>
      </c>
      <c r="C15" s="11">
        <v>45421</v>
      </c>
      <c r="D15" s="10" t="s">
        <v>13</v>
      </c>
      <c r="E15" s="10" t="s">
        <v>42</v>
      </c>
      <c r="F15" s="10">
        <v>1428</v>
      </c>
      <c r="G15" s="10">
        <v>347</v>
      </c>
      <c r="H15" s="10">
        <v>67</v>
      </c>
      <c r="I15" s="10">
        <v>21148</v>
      </c>
      <c r="J15" s="10">
        <v>19712</v>
      </c>
      <c r="K15" s="10">
        <v>120</v>
      </c>
      <c r="L15" s="10" t="s">
        <v>10</v>
      </c>
      <c r="M15" s="10" t="s">
        <v>34</v>
      </c>
      <c r="N15" s="10">
        <f>(Posts5[[#This Row],[Likes]]+Posts5[[#This Row],[Shares]]+Posts5[[#This Row],[Comments]])/Posts5[[#This Row],[Impressions]]</f>
        <v>8.7100435029317191E-2</v>
      </c>
      <c r="O15" s="11">
        <f>_xlfn.XLOOKUP(Posts5[[#This Row],[Campaign_Name]],'[1]Campaign Metadata'!A:A,'[1]Campaign Metadata'!B:B)</f>
        <v>45667</v>
      </c>
      <c r="P15" s="10">
        <f>_xlfn.XLOOKUP(Posts5[[#This Row],[Campaign_Name]],'[1]Campaign Metadata'!A:A,'[1]Campaign Metadata'!C:C)</f>
        <v>45698</v>
      </c>
      <c r="Q15" s="10" t="str">
        <f>IF(AND(Posts5[[#This Row],[Date]] &gt;=Posts5[[#This Row],[Campaign Start Date]], Posts5[[#This Row],[Date]]&lt;= Posts5[[#This Row],[Campaign end date]]), "During","Before")</f>
        <v>Before</v>
      </c>
    </row>
    <row r="16" spans="1:17" x14ac:dyDescent="0.3">
      <c r="A16" s="10" t="s">
        <v>50</v>
      </c>
      <c r="B16" s="10" t="s">
        <v>8</v>
      </c>
      <c r="C16" s="11">
        <v>45421</v>
      </c>
      <c r="D16" s="10" t="s">
        <v>13</v>
      </c>
      <c r="E16" s="10" t="s">
        <v>42</v>
      </c>
      <c r="F16" s="10">
        <v>1428</v>
      </c>
      <c r="G16" s="10">
        <v>347</v>
      </c>
      <c r="H16" s="10">
        <v>67</v>
      </c>
      <c r="I16" s="10">
        <v>21148</v>
      </c>
      <c r="J16" s="10">
        <v>19712</v>
      </c>
      <c r="K16" s="10">
        <v>120</v>
      </c>
      <c r="L16" s="10" t="s">
        <v>14</v>
      </c>
      <c r="M16" s="10" t="s">
        <v>34</v>
      </c>
      <c r="N16" s="10">
        <f>(Posts5[[#This Row],[Likes]]+Posts5[[#This Row],[Shares]]+Posts5[[#This Row],[Comments]])/Posts5[[#This Row],[Impressions]]</f>
        <v>8.7100435029317191E-2</v>
      </c>
      <c r="O16" s="11">
        <f>_xlfn.XLOOKUP(Posts5[[#This Row],[Campaign_Name]],'[1]Campaign Metadata'!A:A,'[1]Campaign Metadata'!B:B)</f>
        <v>45667</v>
      </c>
      <c r="P16" s="10">
        <f>_xlfn.XLOOKUP(Posts5[[#This Row],[Campaign_Name]],'[1]Campaign Metadata'!A:A,'[1]Campaign Metadata'!C:C)</f>
        <v>45698</v>
      </c>
      <c r="Q16" s="10" t="str">
        <f>IF(AND(Posts5[[#This Row],[Date]] &gt;=Posts5[[#This Row],[Campaign Start Date]], Posts5[[#This Row],[Date]]&lt;= Posts5[[#This Row],[Campaign end date]]), "During","Before")</f>
        <v>Before</v>
      </c>
    </row>
    <row r="17" spans="1:17" x14ac:dyDescent="0.3">
      <c r="A17" s="10" t="s">
        <v>52</v>
      </c>
      <c r="B17" s="10" t="s">
        <v>8</v>
      </c>
      <c r="C17" s="11">
        <v>45823</v>
      </c>
      <c r="D17" s="10" t="s">
        <v>15</v>
      </c>
      <c r="E17" s="10" t="s">
        <v>53</v>
      </c>
      <c r="F17" s="10">
        <v>4432</v>
      </c>
      <c r="G17" s="10">
        <v>223</v>
      </c>
      <c r="H17" s="10">
        <v>299</v>
      </c>
      <c r="I17" s="10">
        <v>59016</v>
      </c>
      <c r="J17" s="10">
        <v>21742</v>
      </c>
      <c r="K17" s="10">
        <v>171</v>
      </c>
      <c r="L17" s="10" t="s">
        <v>5</v>
      </c>
      <c r="M17" s="10" t="s">
        <v>34</v>
      </c>
      <c r="N17" s="10">
        <f>(Posts5[[#This Row],[Likes]]+Posts5[[#This Row],[Shares]]+Posts5[[#This Row],[Comments]])/Posts5[[#This Row],[Impressions]]</f>
        <v>8.3943337400027115E-2</v>
      </c>
      <c r="O17" s="11">
        <f>_xlfn.XLOOKUP(Posts5[[#This Row],[Campaign_Name]],'[1]Campaign Metadata'!A:A,'[1]Campaign Metadata'!B:B)</f>
        <v>45667</v>
      </c>
      <c r="P17" s="10">
        <f>_xlfn.XLOOKUP(Posts5[[#This Row],[Campaign_Name]],'[1]Campaign Metadata'!A:A,'[1]Campaign Metadata'!C:C)</f>
        <v>45698</v>
      </c>
      <c r="Q17" s="10" t="str">
        <f>IF(AND(Posts5[[#This Row],[Date]] &gt;=Posts5[[#This Row],[Campaign Start Date]], Posts5[[#This Row],[Date]]&lt;= Posts5[[#This Row],[Campaign end date]]), "During","Before")</f>
        <v>Before</v>
      </c>
    </row>
    <row r="18" spans="1:17" x14ac:dyDescent="0.3">
      <c r="A18" s="10" t="s">
        <v>54</v>
      </c>
      <c r="B18" s="10" t="s">
        <v>8</v>
      </c>
      <c r="C18" s="11">
        <v>45630</v>
      </c>
      <c r="D18" s="10" t="s">
        <v>15</v>
      </c>
      <c r="E18" s="10" t="s">
        <v>42</v>
      </c>
      <c r="F18" s="10">
        <v>2357</v>
      </c>
      <c r="G18" s="10">
        <v>274</v>
      </c>
      <c r="H18" s="10">
        <v>172</v>
      </c>
      <c r="I18" s="10">
        <v>21566</v>
      </c>
      <c r="J18" s="10">
        <v>66829</v>
      </c>
      <c r="K18" s="10">
        <v>284</v>
      </c>
      <c r="L18" s="10" t="s">
        <v>5</v>
      </c>
      <c r="M18" s="10" t="s">
        <v>34</v>
      </c>
      <c r="N18" s="10">
        <f>(Posts5[[#This Row],[Likes]]+Posts5[[#This Row],[Shares]]+Posts5[[#This Row],[Comments]])/Posts5[[#This Row],[Impressions]]</f>
        <v>0.12997310581470833</v>
      </c>
      <c r="O18" s="11">
        <f>_xlfn.XLOOKUP(Posts5[[#This Row],[Campaign_Name]],'[1]Campaign Metadata'!A:A,'[1]Campaign Metadata'!B:B)</f>
        <v>45667</v>
      </c>
      <c r="P18" s="10">
        <f>_xlfn.XLOOKUP(Posts5[[#This Row],[Campaign_Name]],'[1]Campaign Metadata'!A:A,'[1]Campaign Metadata'!C:C)</f>
        <v>45698</v>
      </c>
      <c r="Q18" s="10" t="str">
        <f>IF(AND(Posts5[[#This Row],[Date]] &gt;=Posts5[[#This Row],[Campaign Start Date]], Posts5[[#This Row],[Date]]&lt;= Posts5[[#This Row],[Campaign end date]]), "During","Before")</f>
        <v>Before</v>
      </c>
    </row>
    <row r="19" spans="1:17" x14ac:dyDescent="0.3">
      <c r="A19" s="10" t="s">
        <v>55</v>
      </c>
      <c r="B19" s="10" t="s">
        <v>8</v>
      </c>
      <c r="C19" s="11">
        <v>45357</v>
      </c>
      <c r="D19" s="10" t="s">
        <v>15</v>
      </c>
      <c r="E19" s="10" t="s">
        <v>32</v>
      </c>
      <c r="F19" s="10">
        <v>1971</v>
      </c>
      <c r="G19" s="10">
        <v>370</v>
      </c>
      <c r="H19" s="10">
        <v>306</v>
      </c>
      <c r="I19" s="10">
        <v>31316</v>
      </c>
      <c r="J19" s="10">
        <v>27897</v>
      </c>
      <c r="K19" s="10">
        <v>88</v>
      </c>
      <c r="L19" s="10" t="s">
        <v>12</v>
      </c>
      <c r="M19" s="10" t="s">
        <v>37</v>
      </c>
      <c r="N19" s="10">
        <f>(Posts5[[#This Row],[Likes]]+Posts5[[#This Row],[Shares]]+Posts5[[#This Row],[Comments]])/Posts5[[#This Row],[Impressions]]</f>
        <v>8.4525482181632389E-2</v>
      </c>
      <c r="O19" s="11">
        <f>_xlfn.XLOOKUP(Posts5[[#This Row],[Campaign_Name]],'[1]Campaign Metadata'!A:A,'[1]Campaign Metadata'!B:B)</f>
        <v>45717</v>
      </c>
      <c r="P19" s="10">
        <f>_xlfn.XLOOKUP(Posts5[[#This Row],[Campaign_Name]],'[1]Campaign Metadata'!A:A,'[1]Campaign Metadata'!C:C)</f>
        <v>45747</v>
      </c>
      <c r="Q19" s="10" t="str">
        <f>IF(AND(Posts5[[#This Row],[Date]] &gt;=Posts5[[#This Row],[Campaign Start Date]], Posts5[[#This Row],[Date]]&lt;= Posts5[[#This Row],[Campaign end date]]), "During","Before")</f>
        <v>Before</v>
      </c>
    </row>
    <row r="20" spans="1:17" x14ac:dyDescent="0.3">
      <c r="A20" s="10" t="s">
        <v>56</v>
      </c>
      <c r="B20" s="10" t="s">
        <v>7</v>
      </c>
      <c r="C20" s="11">
        <v>45426</v>
      </c>
      <c r="D20" s="10" t="s">
        <v>15</v>
      </c>
      <c r="E20" s="10" t="s">
        <v>32</v>
      </c>
      <c r="F20" s="10">
        <v>1485</v>
      </c>
      <c r="G20" s="10">
        <v>353</v>
      </c>
      <c r="H20" s="10">
        <v>244</v>
      </c>
      <c r="I20" s="10">
        <v>38419</v>
      </c>
      <c r="J20" s="10">
        <v>38556</v>
      </c>
      <c r="K20" s="10">
        <v>86</v>
      </c>
      <c r="L20" s="10" t="s">
        <v>12</v>
      </c>
      <c r="M20" s="10" t="s">
        <v>34</v>
      </c>
      <c r="N20" s="10">
        <f>(Posts5[[#This Row],[Likes]]+Posts5[[#This Row],[Shares]]+Posts5[[#This Row],[Comments]])/Posts5[[#This Row],[Impressions]]</f>
        <v>5.4191936281527367E-2</v>
      </c>
      <c r="O20" s="11">
        <f>_xlfn.XLOOKUP(Posts5[[#This Row],[Campaign_Name]],'[1]Campaign Metadata'!A:A,'[1]Campaign Metadata'!B:B)</f>
        <v>45667</v>
      </c>
      <c r="P20" s="10">
        <f>_xlfn.XLOOKUP(Posts5[[#This Row],[Campaign_Name]],'[1]Campaign Metadata'!A:A,'[1]Campaign Metadata'!C:C)</f>
        <v>45698</v>
      </c>
      <c r="Q20" s="10" t="str">
        <f>IF(AND(Posts5[[#This Row],[Date]] &gt;=Posts5[[#This Row],[Campaign Start Date]], Posts5[[#This Row],[Date]]&lt;= Posts5[[#This Row],[Campaign end date]]), "During","Before")</f>
        <v>Before</v>
      </c>
    </row>
    <row r="21" spans="1:17" x14ac:dyDescent="0.3">
      <c r="A21" s="10" t="s">
        <v>56</v>
      </c>
      <c r="B21" s="10" t="s">
        <v>7</v>
      </c>
      <c r="C21" s="11">
        <v>45426</v>
      </c>
      <c r="D21" s="10" t="s">
        <v>15</v>
      </c>
      <c r="E21" s="10" t="s">
        <v>32</v>
      </c>
      <c r="F21" s="10">
        <v>1485</v>
      </c>
      <c r="G21" s="10">
        <v>353</v>
      </c>
      <c r="H21" s="10">
        <v>244</v>
      </c>
      <c r="I21" s="10">
        <v>38419</v>
      </c>
      <c r="J21" s="10">
        <v>38556</v>
      </c>
      <c r="K21" s="10">
        <v>86</v>
      </c>
      <c r="L21" s="10" t="s">
        <v>5</v>
      </c>
      <c r="M21" s="10" t="s">
        <v>34</v>
      </c>
      <c r="N21" s="10">
        <f>(Posts5[[#This Row],[Likes]]+Posts5[[#This Row],[Shares]]+Posts5[[#This Row],[Comments]])/Posts5[[#This Row],[Impressions]]</f>
        <v>5.4191936281527367E-2</v>
      </c>
      <c r="O21" s="11">
        <f>_xlfn.XLOOKUP(Posts5[[#This Row],[Campaign_Name]],'[1]Campaign Metadata'!A:A,'[1]Campaign Metadata'!B:B)</f>
        <v>45667</v>
      </c>
      <c r="P21" s="10">
        <f>_xlfn.XLOOKUP(Posts5[[#This Row],[Campaign_Name]],'[1]Campaign Metadata'!A:A,'[1]Campaign Metadata'!C:C)</f>
        <v>45698</v>
      </c>
      <c r="Q21" s="10" t="str">
        <f>IF(AND(Posts5[[#This Row],[Date]] &gt;=Posts5[[#This Row],[Campaign Start Date]], Posts5[[#This Row],[Date]]&lt;= Posts5[[#This Row],[Campaign end date]]), "During","Before")</f>
        <v>Before</v>
      </c>
    </row>
    <row r="22" spans="1:17" x14ac:dyDescent="0.3">
      <c r="A22" s="10" t="s">
        <v>57</v>
      </c>
      <c r="B22" s="10" t="s">
        <v>8</v>
      </c>
      <c r="C22" s="11">
        <v>45826</v>
      </c>
      <c r="D22" s="10" t="s">
        <v>13</v>
      </c>
      <c r="E22" s="10" t="s">
        <v>32</v>
      </c>
      <c r="F22" s="10">
        <v>3956</v>
      </c>
      <c r="G22" s="10">
        <v>319</v>
      </c>
      <c r="H22" s="10">
        <v>61</v>
      </c>
      <c r="I22" s="10">
        <v>58162</v>
      </c>
      <c r="J22" s="10">
        <v>28720</v>
      </c>
      <c r="K22" s="10">
        <v>213</v>
      </c>
      <c r="L22" s="10" t="s">
        <v>14</v>
      </c>
      <c r="M22" s="10" t="s">
        <v>34</v>
      </c>
      <c r="N22" s="10">
        <f>(Posts5[[#This Row],[Likes]]+Posts5[[#This Row],[Shares]]+Posts5[[#This Row],[Comments]])/Posts5[[#This Row],[Impressions]]</f>
        <v>7.4550393727863554E-2</v>
      </c>
      <c r="O22" s="11">
        <f>_xlfn.XLOOKUP(Posts5[[#This Row],[Campaign_Name]],'[1]Campaign Metadata'!A:A,'[1]Campaign Metadata'!B:B)</f>
        <v>45667</v>
      </c>
      <c r="P22" s="10">
        <f>_xlfn.XLOOKUP(Posts5[[#This Row],[Campaign_Name]],'[1]Campaign Metadata'!A:A,'[1]Campaign Metadata'!C:C)</f>
        <v>45698</v>
      </c>
      <c r="Q22" s="10" t="str">
        <f>IF(AND(Posts5[[#This Row],[Date]] &gt;=Posts5[[#This Row],[Campaign Start Date]], Posts5[[#This Row],[Date]]&lt;= Posts5[[#This Row],[Campaign end date]]), "During","Before")</f>
        <v>Before</v>
      </c>
    </row>
    <row r="23" spans="1:17" x14ac:dyDescent="0.3">
      <c r="A23" s="10" t="s">
        <v>57</v>
      </c>
      <c r="B23" s="10" t="s">
        <v>8</v>
      </c>
      <c r="C23" s="11">
        <v>45826</v>
      </c>
      <c r="D23" s="10" t="s">
        <v>13</v>
      </c>
      <c r="E23" s="10" t="s">
        <v>32</v>
      </c>
      <c r="F23" s="10">
        <v>3956</v>
      </c>
      <c r="G23" s="10">
        <v>319</v>
      </c>
      <c r="H23" s="10">
        <v>61</v>
      </c>
      <c r="I23" s="10">
        <v>58162</v>
      </c>
      <c r="J23" s="10">
        <v>28720</v>
      </c>
      <c r="K23" s="10">
        <v>213</v>
      </c>
      <c r="L23" s="10" t="s">
        <v>5</v>
      </c>
      <c r="M23" s="10" t="s">
        <v>34</v>
      </c>
      <c r="N23" s="10">
        <f>(Posts5[[#This Row],[Likes]]+Posts5[[#This Row],[Shares]]+Posts5[[#This Row],[Comments]])/Posts5[[#This Row],[Impressions]]</f>
        <v>7.4550393727863554E-2</v>
      </c>
      <c r="O23" s="11">
        <f>_xlfn.XLOOKUP(Posts5[[#This Row],[Campaign_Name]],'[1]Campaign Metadata'!A:A,'[1]Campaign Metadata'!B:B)</f>
        <v>45667</v>
      </c>
      <c r="P23" s="10">
        <f>_xlfn.XLOOKUP(Posts5[[#This Row],[Campaign_Name]],'[1]Campaign Metadata'!A:A,'[1]Campaign Metadata'!C:C)</f>
        <v>45698</v>
      </c>
      <c r="Q23" s="10" t="str">
        <f>IF(AND(Posts5[[#This Row],[Date]] &gt;=Posts5[[#This Row],[Campaign Start Date]], Posts5[[#This Row],[Date]]&lt;= Posts5[[#This Row],[Campaign end date]]), "During","Before")</f>
        <v>Before</v>
      </c>
    </row>
    <row r="24" spans="1:17" x14ac:dyDescent="0.3">
      <c r="A24" s="10" t="s">
        <v>58</v>
      </c>
      <c r="B24" s="10" t="s">
        <v>8</v>
      </c>
      <c r="C24" s="11">
        <v>45573</v>
      </c>
      <c r="D24" s="10" t="s">
        <v>15</v>
      </c>
      <c r="E24" s="10" t="s">
        <v>59</v>
      </c>
      <c r="F24" s="10">
        <v>2460</v>
      </c>
      <c r="G24" s="10">
        <v>409</v>
      </c>
      <c r="H24" s="10">
        <v>253</v>
      </c>
      <c r="I24" s="10">
        <v>36702</v>
      </c>
      <c r="J24" s="10">
        <v>46122</v>
      </c>
      <c r="K24" s="10">
        <v>264</v>
      </c>
      <c r="L24" s="10" t="s">
        <v>5</v>
      </c>
      <c r="M24" s="10" t="s">
        <v>34</v>
      </c>
      <c r="N24" s="10">
        <f>(Posts5[[#This Row],[Likes]]+Posts5[[#This Row],[Shares]]+Posts5[[#This Row],[Comments]])/Posts5[[#This Row],[Impressions]]</f>
        <v>8.5063484278785892E-2</v>
      </c>
      <c r="O24" s="11">
        <f>_xlfn.XLOOKUP(Posts5[[#This Row],[Campaign_Name]],'[1]Campaign Metadata'!A:A,'[1]Campaign Metadata'!B:B)</f>
        <v>45667</v>
      </c>
      <c r="P24" s="10">
        <f>_xlfn.XLOOKUP(Posts5[[#This Row],[Campaign_Name]],'[1]Campaign Metadata'!A:A,'[1]Campaign Metadata'!C:C)</f>
        <v>45698</v>
      </c>
      <c r="Q24" s="10" t="str">
        <f>IF(AND(Posts5[[#This Row],[Date]] &gt;=Posts5[[#This Row],[Campaign Start Date]], Posts5[[#This Row],[Date]]&lt;= Posts5[[#This Row],[Campaign end date]]), "During","Before")</f>
        <v>Before</v>
      </c>
    </row>
    <row r="25" spans="1:17" x14ac:dyDescent="0.3">
      <c r="A25" s="10" t="s">
        <v>60</v>
      </c>
      <c r="B25" s="10" t="s">
        <v>8</v>
      </c>
      <c r="C25" s="11">
        <v>45418</v>
      </c>
      <c r="D25" s="10" t="s">
        <v>15</v>
      </c>
      <c r="E25" s="10" t="s">
        <v>61</v>
      </c>
      <c r="F25" s="10">
        <v>3476</v>
      </c>
      <c r="G25" s="10">
        <v>355</v>
      </c>
      <c r="H25" s="10">
        <v>396</v>
      </c>
      <c r="I25" s="10">
        <v>37492</v>
      </c>
      <c r="J25" s="10">
        <v>27285</v>
      </c>
      <c r="K25" s="10">
        <v>179</v>
      </c>
      <c r="L25" s="10" t="s">
        <v>5</v>
      </c>
      <c r="M25" s="10" t="s">
        <v>34</v>
      </c>
      <c r="N25" s="10">
        <f>(Posts5[[#This Row],[Likes]]+Posts5[[#This Row],[Shares]]+Posts5[[#This Row],[Comments]])/Posts5[[#This Row],[Impressions]]</f>
        <v>0.11274405206444041</v>
      </c>
      <c r="O25" s="11">
        <f>_xlfn.XLOOKUP(Posts5[[#This Row],[Campaign_Name]],'[1]Campaign Metadata'!A:A,'[1]Campaign Metadata'!B:B)</f>
        <v>45667</v>
      </c>
      <c r="P25" s="10">
        <f>_xlfn.XLOOKUP(Posts5[[#This Row],[Campaign_Name]],'[1]Campaign Metadata'!A:A,'[1]Campaign Metadata'!C:C)</f>
        <v>45698</v>
      </c>
      <c r="Q25" s="10" t="str">
        <f>IF(AND(Posts5[[#This Row],[Date]] &gt;=Posts5[[#This Row],[Campaign Start Date]], Posts5[[#This Row],[Date]]&lt;= Posts5[[#This Row],[Campaign end date]]), "During","Before")</f>
        <v>Before</v>
      </c>
    </row>
    <row r="26" spans="1:17" x14ac:dyDescent="0.3">
      <c r="A26" s="10" t="s">
        <v>62</v>
      </c>
      <c r="B26" s="10" t="s">
        <v>8</v>
      </c>
      <c r="C26" s="11">
        <v>45655</v>
      </c>
      <c r="D26" s="10" t="s">
        <v>13</v>
      </c>
      <c r="E26" s="10" t="s">
        <v>39</v>
      </c>
      <c r="F26" s="10">
        <v>4049</v>
      </c>
      <c r="G26" s="10">
        <v>377</v>
      </c>
      <c r="H26" s="10">
        <v>94</v>
      </c>
      <c r="I26" s="10">
        <v>48182</v>
      </c>
      <c r="J26" s="10">
        <v>42875</v>
      </c>
      <c r="K26" s="10">
        <v>172</v>
      </c>
      <c r="L26" s="10" t="s">
        <v>14</v>
      </c>
      <c r="M26" s="10" t="s">
        <v>34</v>
      </c>
      <c r="N26" s="10">
        <f>(Posts5[[#This Row],[Likes]]+Posts5[[#This Row],[Shares]]+Posts5[[#This Row],[Comments]])/Posts5[[#This Row],[Impressions]]</f>
        <v>9.3810966751068869E-2</v>
      </c>
      <c r="O26" s="11">
        <f>_xlfn.XLOOKUP(Posts5[[#This Row],[Campaign_Name]],'[1]Campaign Metadata'!A:A,'[1]Campaign Metadata'!B:B)</f>
        <v>45667</v>
      </c>
      <c r="P26" s="10">
        <f>_xlfn.XLOOKUP(Posts5[[#This Row],[Campaign_Name]],'[1]Campaign Metadata'!A:A,'[1]Campaign Metadata'!C:C)</f>
        <v>45698</v>
      </c>
      <c r="Q26" s="10" t="str">
        <f>IF(AND(Posts5[[#This Row],[Date]] &gt;=Posts5[[#This Row],[Campaign Start Date]], Posts5[[#This Row],[Date]]&lt;= Posts5[[#This Row],[Campaign end date]]), "During","Before")</f>
        <v>Before</v>
      </c>
    </row>
    <row r="27" spans="1:17" x14ac:dyDescent="0.3">
      <c r="A27" s="10" t="s">
        <v>62</v>
      </c>
      <c r="B27" s="10" t="s">
        <v>8</v>
      </c>
      <c r="C27" s="11">
        <v>45655</v>
      </c>
      <c r="D27" s="10" t="s">
        <v>13</v>
      </c>
      <c r="E27" s="10" t="s">
        <v>39</v>
      </c>
      <c r="F27" s="10">
        <v>4049</v>
      </c>
      <c r="G27" s="10">
        <v>377</v>
      </c>
      <c r="H27" s="10">
        <v>94</v>
      </c>
      <c r="I27" s="10">
        <v>48182</v>
      </c>
      <c r="J27" s="10">
        <v>42875</v>
      </c>
      <c r="K27" s="10">
        <v>172</v>
      </c>
      <c r="L27" s="10" t="s">
        <v>5</v>
      </c>
      <c r="M27" s="10" t="s">
        <v>34</v>
      </c>
      <c r="N27" s="10">
        <f>(Posts5[[#This Row],[Likes]]+Posts5[[#This Row],[Shares]]+Posts5[[#This Row],[Comments]])/Posts5[[#This Row],[Impressions]]</f>
        <v>9.3810966751068869E-2</v>
      </c>
      <c r="O27" s="11">
        <f>_xlfn.XLOOKUP(Posts5[[#This Row],[Campaign_Name]],'[1]Campaign Metadata'!A:A,'[1]Campaign Metadata'!B:B)</f>
        <v>45667</v>
      </c>
      <c r="P27" s="10">
        <f>_xlfn.XLOOKUP(Posts5[[#This Row],[Campaign_Name]],'[1]Campaign Metadata'!A:A,'[1]Campaign Metadata'!C:C)</f>
        <v>45698</v>
      </c>
      <c r="Q27" s="10" t="str">
        <f>IF(AND(Posts5[[#This Row],[Date]] &gt;=Posts5[[#This Row],[Campaign Start Date]], Posts5[[#This Row],[Date]]&lt;= Posts5[[#This Row],[Campaign end date]]), "During","Before")</f>
        <v>Before</v>
      </c>
    </row>
    <row r="28" spans="1:17" x14ac:dyDescent="0.3">
      <c r="A28" s="10" t="s">
        <v>63</v>
      </c>
      <c r="B28" s="10" t="s">
        <v>8</v>
      </c>
      <c r="C28" s="11">
        <v>45453</v>
      </c>
      <c r="D28" s="10" t="s">
        <v>15</v>
      </c>
      <c r="E28" s="10" t="s">
        <v>47</v>
      </c>
      <c r="F28" s="10">
        <v>1514</v>
      </c>
      <c r="G28" s="10">
        <v>164</v>
      </c>
      <c r="H28" s="10">
        <v>275</v>
      </c>
      <c r="I28" s="10">
        <v>41364</v>
      </c>
      <c r="J28" s="10">
        <v>44389</v>
      </c>
      <c r="K28" s="10">
        <v>83</v>
      </c>
      <c r="L28" s="10" t="s">
        <v>5</v>
      </c>
      <c r="M28" s="10" t="s">
        <v>34</v>
      </c>
      <c r="N28" s="10">
        <f>(Posts5[[#This Row],[Likes]]+Posts5[[#This Row],[Shares]]+Posts5[[#This Row],[Comments]])/Posts5[[#This Row],[Impressions]]</f>
        <v>4.7214969538729328E-2</v>
      </c>
      <c r="O28" s="11">
        <f>_xlfn.XLOOKUP(Posts5[[#This Row],[Campaign_Name]],'[1]Campaign Metadata'!A:A,'[1]Campaign Metadata'!B:B)</f>
        <v>45667</v>
      </c>
      <c r="P28" s="10">
        <f>_xlfn.XLOOKUP(Posts5[[#This Row],[Campaign_Name]],'[1]Campaign Metadata'!A:A,'[1]Campaign Metadata'!C:C)</f>
        <v>45698</v>
      </c>
      <c r="Q28" s="10" t="str">
        <f>IF(AND(Posts5[[#This Row],[Date]] &gt;=Posts5[[#This Row],[Campaign Start Date]], Posts5[[#This Row],[Date]]&lt;= Posts5[[#This Row],[Campaign end date]]), "During","Before")</f>
        <v>Before</v>
      </c>
    </row>
    <row r="29" spans="1:17" x14ac:dyDescent="0.3">
      <c r="A29" s="10" t="s">
        <v>64</v>
      </c>
      <c r="B29" s="10" t="s">
        <v>7</v>
      </c>
      <c r="C29" s="11">
        <v>45325</v>
      </c>
      <c r="D29" s="10" t="s">
        <v>13</v>
      </c>
      <c r="E29" s="10" t="s">
        <v>44</v>
      </c>
      <c r="F29" s="10">
        <v>4281</v>
      </c>
      <c r="G29" s="10">
        <v>101</v>
      </c>
      <c r="H29" s="10">
        <v>163</v>
      </c>
      <c r="I29" s="10">
        <v>32278</v>
      </c>
      <c r="J29" s="10">
        <v>53382</v>
      </c>
      <c r="K29" s="10">
        <v>235</v>
      </c>
      <c r="L29" s="10" t="s">
        <v>5</v>
      </c>
      <c r="M29" s="10" t="s">
        <v>65</v>
      </c>
      <c r="N29" s="10">
        <f>(Posts5[[#This Row],[Likes]]+Posts5[[#This Row],[Shares]]+Posts5[[#This Row],[Comments]])/Posts5[[#This Row],[Impressions]]</f>
        <v>0.1408079806679472</v>
      </c>
      <c r="O29" s="11">
        <f>_xlfn.XLOOKUP(Posts5[[#This Row],[Campaign_Name]],'[1]Campaign Metadata'!A:A,'[1]Campaign Metadata'!B:B)</f>
        <v>45627</v>
      </c>
      <c r="P29" s="10">
        <f>_xlfn.XLOOKUP(Posts5[[#This Row],[Campaign_Name]],'[1]Campaign Metadata'!A:A,'[1]Campaign Metadata'!C:C)</f>
        <v>45657</v>
      </c>
      <c r="Q29" s="10" t="str">
        <f>IF(AND(Posts5[[#This Row],[Date]] &gt;=Posts5[[#This Row],[Campaign Start Date]], Posts5[[#This Row],[Date]]&lt;= Posts5[[#This Row],[Campaign end date]]), "During","Before")</f>
        <v>Before</v>
      </c>
    </row>
    <row r="30" spans="1:17" x14ac:dyDescent="0.3">
      <c r="A30" s="10" t="s">
        <v>66</v>
      </c>
      <c r="B30" s="10" t="s">
        <v>9</v>
      </c>
      <c r="C30" s="11">
        <v>45458</v>
      </c>
      <c r="D30" s="10" t="s">
        <v>11</v>
      </c>
      <c r="E30" s="10" t="s">
        <v>49</v>
      </c>
      <c r="F30" s="10">
        <v>1751</v>
      </c>
      <c r="G30" s="10">
        <v>143</v>
      </c>
      <c r="H30" s="10">
        <v>151</v>
      </c>
      <c r="I30" s="10">
        <v>31826</v>
      </c>
      <c r="J30" s="10">
        <v>47729</v>
      </c>
      <c r="K30" s="10">
        <v>95</v>
      </c>
      <c r="L30" s="10" t="s">
        <v>10</v>
      </c>
      <c r="M30" s="10" t="s">
        <v>68</v>
      </c>
      <c r="N30" s="10">
        <f>(Posts5[[#This Row],[Likes]]+Posts5[[#This Row],[Shares]]+Posts5[[#This Row],[Comments]])/Posts5[[#This Row],[Impressions]]</f>
        <v>6.4255640042732362E-2</v>
      </c>
      <c r="O30" s="11">
        <f>_xlfn.XLOOKUP(Posts5[[#This Row],[Campaign_Name]],'[1]Campaign Metadata'!A:A,'[1]Campaign Metadata'!B:B)</f>
        <v>45458</v>
      </c>
      <c r="P30" s="10">
        <f>_xlfn.XLOOKUP(Posts5[[#This Row],[Campaign_Name]],'[1]Campaign Metadata'!A:A,'[1]Campaign Metadata'!C:C)</f>
        <v>45488</v>
      </c>
      <c r="Q30" s="10" t="str">
        <f>IF(AND(Posts5[[#This Row],[Date]] &gt;=Posts5[[#This Row],[Campaign Start Date]], Posts5[[#This Row],[Date]]&lt;= Posts5[[#This Row],[Campaign end date]]), "During","Before")</f>
        <v>During</v>
      </c>
    </row>
    <row r="31" spans="1:17" x14ac:dyDescent="0.3">
      <c r="A31" s="10" t="s">
        <v>66</v>
      </c>
      <c r="B31" s="10" t="s">
        <v>9</v>
      </c>
      <c r="C31" s="11">
        <v>45458</v>
      </c>
      <c r="D31" s="10" t="s">
        <v>11</v>
      </c>
      <c r="E31" s="10" t="s">
        <v>49</v>
      </c>
      <c r="F31" s="10">
        <v>1751</v>
      </c>
      <c r="G31" s="10">
        <v>143</v>
      </c>
      <c r="H31" s="10">
        <v>151</v>
      </c>
      <c r="I31" s="10">
        <v>31826</v>
      </c>
      <c r="J31" s="10">
        <v>47729</v>
      </c>
      <c r="K31" s="10">
        <v>95</v>
      </c>
      <c r="L31" s="10" t="s">
        <v>12</v>
      </c>
      <c r="M31" s="10" t="s">
        <v>68</v>
      </c>
      <c r="N31" s="10">
        <f>(Posts5[[#This Row],[Likes]]+Posts5[[#This Row],[Shares]]+Posts5[[#This Row],[Comments]])/Posts5[[#This Row],[Impressions]]</f>
        <v>6.4255640042732362E-2</v>
      </c>
      <c r="O31" s="11">
        <f>_xlfn.XLOOKUP(Posts5[[#This Row],[Campaign_Name]],'[1]Campaign Metadata'!A:A,'[1]Campaign Metadata'!B:B)</f>
        <v>45458</v>
      </c>
      <c r="P31" s="10">
        <f>_xlfn.XLOOKUP(Posts5[[#This Row],[Campaign_Name]],'[1]Campaign Metadata'!A:A,'[1]Campaign Metadata'!C:C)</f>
        <v>45488</v>
      </c>
      <c r="Q31" s="10" t="str">
        <f>IF(AND(Posts5[[#This Row],[Date]] &gt;=Posts5[[#This Row],[Campaign Start Date]], Posts5[[#This Row],[Date]]&lt;= Posts5[[#This Row],[Campaign end date]]), "During","Before")</f>
        <v>During</v>
      </c>
    </row>
    <row r="32" spans="1:17" x14ac:dyDescent="0.3">
      <c r="A32" s="10" t="s">
        <v>69</v>
      </c>
      <c r="B32" s="10" t="s">
        <v>7</v>
      </c>
      <c r="C32" s="11">
        <v>45478</v>
      </c>
      <c r="D32" s="10" t="s">
        <v>15</v>
      </c>
      <c r="E32" s="10" t="s">
        <v>61</v>
      </c>
      <c r="F32" s="10">
        <v>3753</v>
      </c>
      <c r="G32" s="10">
        <v>411</v>
      </c>
      <c r="H32" s="10">
        <v>308</v>
      </c>
      <c r="I32" s="10">
        <v>29138</v>
      </c>
      <c r="J32" s="10">
        <v>27678</v>
      </c>
      <c r="K32" s="10">
        <v>90</v>
      </c>
      <c r="L32" s="10" t="s">
        <v>10</v>
      </c>
      <c r="M32" s="10" t="s">
        <v>37</v>
      </c>
      <c r="N32" s="10">
        <f>(Posts5[[#This Row],[Likes]]+Posts5[[#This Row],[Shares]]+Posts5[[#This Row],[Comments]])/Posts5[[#This Row],[Impressions]]</f>
        <v>0.15347655981879332</v>
      </c>
      <c r="O32" s="11">
        <f>_xlfn.XLOOKUP(Posts5[[#This Row],[Campaign_Name]],'[1]Campaign Metadata'!A:A,'[1]Campaign Metadata'!B:B)</f>
        <v>45717</v>
      </c>
      <c r="P32" s="10">
        <f>_xlfn.XLOOKUP(Posts5[[#This Row],[Campaign_Name]],'[1]Campaign Metadata'!A:A,'[1]Campaign Metadata'!C:C)</f>
        <v>45747</v>
      </c>
      <c r="Q32" s="10" t="str">
        <f>IF(AND(Posts5[[#This Row],[Date]] &gt;=Posts5[[#This Row],[Campaign Start Date]], Posts5[[#This Row],[Date]]&lt;= Posts5[[#This Row],[Campaign end date]]), "During","Before")</f>
        <v>Before</v>
      </c>
    </row>
    <row r="33" spans="1:17" x14ac:dyDescent="0.3">
      <c r="A33" s="10" t="s">
        <v>70</v>
      </c>
      <c r="B33" s="10" t="s">
        <v>7</v>
      </c>
      <c r="C33" s="11">
        <v>45603</v>
      </c>
      <c r="D33" s="10" t="s">
        <v>13</v>
      </c>
      <c r="E33" s="10" t="s">
        <v>42</v>
      </c>
      <c r="F33" s="10">
        <v>1678</v>
      </c>
      <c r="G33" s="10">
        <v>423</v>
      </c>
      <c r="H33" s="10">
        <v>323</v>
      </c>
      <c r="I33" s="10">
        <v>55668</v>
      </c>
      <c r="J33" s="10">
        <v>37945</v>
      </c>
      <c r="K33" s="10">
        <v>230</v>
      </c>
      <c r="L33" s="10" t="s">
        <v>5</v>
      </c>
      <c r="M33" s="10" t="s">
        <v>65</v>
      </c>
      <c r="N33" s="10">
        <f>(Posts5[[#This Row],[Likes]]+Posts5[[#This Row],[Shares]]+Posts5[[#This Row],[Comments]])/Posts5[[#This Row],[Impressions]]</f>
        <v>4.3543867212761371E-2</v>
      </c>
      <c r="O33" s="11">
        <f>_xlfn.XLOOKUP(Posts5[[#This Row],[Campaign_Name]],'[1]Campaign Metadata'!A:A,'[1]Campaign Metadata'!B:B)</f>
        <v>45627</v>
      </c>
      <c r="P33" s="10">
        <f>_xlfn.XLOOKUP(Posts5[[#This Row],[Campaign_Name]],'[1]Campaign Metadata'!A:A,'[1]Campaign Metadata'!C:C)</f>
        <v>45657</v>
      </c>
      <c r="Q33" s="10" t="str">
        <f>IF(AND(Posts5[[#This Row],[Date]] &gt;=Posts5[[#This Row],[Campaign Start Date]], Posts5[[#This Row],[Date]]&lt;= Posts5[[#This Row],[Campaign end date]]), "During","Before")</f>
        <v>Before</v>
      </c>
    </row>
    <row r="34" spans="1:17" x14ac:dyDescent="0.3">
      <c r="A34" s="10" t="s">
        <v>71</v>
      </c>
      <c r="B34" s="10" t="s">
        <v>7</v>
      </c>
      <c r="C34" s="11">
        <v>45823</v>
      </c>
      <c r="D34" s="10" t="s">
        <v>15</v>
      </c>
      <c r="E34" s="10" t="s">
        <v>47</v>
      </c>
      <c r="F34" s="10">
        <v>4896</v>
      </c>
      <c r="G34" s="10">
        <v>466</v>
      </c>
      <c r="H34" s="10">
        <v>233</v>
      </c>
      <c r="I34" s="10">
        <v>28621</v>
      </c>
      <c r="J34" s="10">
        <v>34270</v>
      </c>
      <c r="K34" s="10">
        <v>84</v>
      </c>
      <c r="L34" s="10" t="s">
        <v>12</v>
      </c>
      <c r="M34" s="10" t="s">
        <v>34</v>
      </c>
      <c r="N34" s="10">
        <f>(Posts5[[#This Row],[Likes]]+Posts5[[#This Row],[Shares]]+Posts5[[#This Row],[Comments]])/Posts5[[#This Row],[Impressions]]</f>
        <v>0.19548583208133888</v>
      </c>
      <c r="O34" s="11">
        <f>_xlfn.XLOOKUP(Posts5[[#This Row],[Campaign_Name]],'[1]Campaign Metadata'!A:A,'[1]Campaign Metadata'!B:B)</f>
        <v>45667</v>
      </c>
      <c r="P34" s="10">
        <f>_xlfn.XLOOKUP(Posts5[[#This Row],[Campaign_Name]],'[1]Campaign Metadata'!A:A,'[1]Campaign Metadata'!C:C)</f>
        <v>45698</v>
      </c>
      <c r="Q34" s="10" t="str">
        <f>IF(AND(Posts5[[#This Row],[Date]] &gt;=Posts5[[#This Row],[Campaign Start Date]], Posts5[[#This Row],[Date]]&lt;= Posts5[[#This Row],[Campaign end date]]), "During","Before")</f>
        <v>Before</v>
      </c>
    </row>
    <row r="35" spans="1:17" x14ac:dyDescent="0.3">
      <c r="A35" s="10" t="s">
        <v>71</v>
      </c>
      <c r="B35" s="10" t="s">
        <v>7</v>
      </c>
      <c r="C35" s="11">
        <v>45823</v>
      </c>
      <c r="D35" s="10" t="s">
        <v>15</v>
      </c>
      <c r="E35" s="10" t="s">
        <v>47</v>
      </c>
      <c r="F35" s="10">
        <v>4896</v>
      </c>
      <c r="G35" s="10">
        <v>466</v>
      </c>
      <c r="H35" s="10">
        <v>233</v>
      </c>
      <c r="I35" s="10">
        <v>28621</v>
      </c>
      <c r="J35" s="10">
        <v>34270</v>
      </c>
      <c r="K35" s="10">
        <v>84</v>
      </c>
      <c r="L35" s="10" t="s">
        <v>5</v>
      </c>
      <c r="M35" s="10" t="s">
        <v>34</v>
      </c>
      <c r="N35" s="10">
        <f>(Posts5[[#This Row],[Likes]]+Posts5[[#This Row],[Shares]]+Posts5[[#This Row],[Comments]])/Posts5[[#This Row],[Impressions]]</f>
        <v>0.19548583208133888</v>
      </c>
      <c r="O35" s="11">
        <f>_xlfn.XLOOKUP(Posts5[[#This Row],[Campaign_Name]],'[1]Campaign Metadata'!A:A,'[1]Campaign Metadata'!B:B)</f>
        <v>45667</v>
      </c>
      <c r="P35" s="10">
        <f>_xlfn.XLOOKUP(Posts5[[#This Row],[Campaign_Name]],'[1]Campaign Metadata'!A:A,'[1]Campaign Metadata'!C:C)</f>
        <v>45698</v>
      </c>
      <c r="Q35" s="10" t="str">
        <f>IF(AND(Posts5[[#This Row],[Date]] &gt;=Posts5[[#This Row],[Campaign Start Date]], Posts5[[#This Row],[Date]]&lt;= Posts5[[#This Row],[Campaign end date]]), "During","Before")</f>
        <v>Before</v>
      </c>
    </row>
    <row r="36" spans="1:17" x14ac:dyDescent="0.3">
      <c r="A36" s="10" t="s">
        <v>72</v>
      </c>
      <c r="B36" s="10" t="s">
        <v>9</v>
      </c>
      <c r="C36" s="11">
        <v>45452</v>
      </c>
      <c r="D36" s="10" t="s">
        <v>11</v>
      </c>
      <c r="E36" s="10" t="s">
        <v>59</v>
      </c>
      <c r="F36" s="10">
        <v>2786</v>
      </c>
      <c r="G36" s="10">
        <v>368</v>
      </c>
      <c r="H36" s="10">
        <v>208</v>
      </c>
      <c r="I36" s="10">
        <v>42000</v>
      </c>
      <c r="J36" s="10">
        <v>39967</v>
      </c>
      <c r="K36" s="10">
        <v>103</v>
      </c>
      <c r="L36" s="10" t="s">
        <v>10</v>
      </c>
      <c r="M36" s="10" t="s">
        <v>68</v>
      </c>
      <c r="N36" s="10">
        <f>(Posts5[[#This Row],[Likes]]+Posts5[[#This Row],[Shares]]+Posts5[[#This Row],[Comments]])/Posts5[[#This Row],[Impressions]]</f>
        <v>8.0047619047619048E-2</v>
      </c>
      <c r="O36" s="11">
        <f>_xlfn.XLOOKUP(Posts5[[#This Row],[Campaign_Name]],'[1]Campaign Metadata'!A:A,'[1]Campaign Metadata'!B:B)</f>
        <v>45458</v>
      </c>
      <c r="P36" s="10">
        <f>_xlfn.XLOOKUP(Posts5[[#This Row],[Campaign_Name]],'[1]Campaign Metadata'!A:A,'[1]Campaign Metadata'!C:C)</f>
        <v>45488</v>
      </c>
      <c r="Q36" s="10" t="str">
        <f>IF(AND(Posts5[[#This Row],[Date]] &gt;=Posts5[[#This Row],[Campaign Start Date]], Posts5[[#This Row],[Date]]&lt;= Posts5[[#This Row],[Campaign end date]]), "During","Before")</f>
        <v>Before</v>
      </c>
    </row>
    <row r="37" spans="1:17" x14ac:dyDescent="0.3">
      <c r="A37" s="10" t="s">
        <v>72</v>
      </c>
      <c r="B37" s="10" t="s">
        <v>9</v>
      </c>
      <c r="C37" s="11">
        <v>45452</v>
      </c>
      <c r="D37" s="10" t="s">
        <v>11</v>
      </c>
      <c r="E37" s="10" t="s">
        <v>59</v>
      </c>
      <c r="F37" s="10">
        <v>2786</v>
      </c>
      <c r="G37" s="10">
        <v>368</v>
      </c>
      <c r="H37" s="10">
        <v>208</v>
      </c>
      <c r="I37" s="10">
        <v>42000</v>
      </c>
      <c r="J37" s="10">
        <v>39967</v>
      </c>
      <c r="K37" s="10">
        <v>103</v>
      </c>
      <c r="L37" s="10" t="s">
        <v>12</v>
      </c>
      <c r="M37" s="10" t="s">
        <v>68</v>
      </c>
      <c r="N37" s="10">
        <f>(Posts5[[#This Row],[Likes]]+Posts5[[#This Row],[Shares]]+Posts5[[#This Row],[Comments]])/Posts5[[#This Row],[Impressions]]</f>
        <v>8.0047619047619048E-2</v>
      </c>
      <c r="O37" s="11">
        <f>_xlfn.XLOOKUP(Posts5[[#This Row],[Campaign_Name]],'[1]Campaign Metadata'!A:A,'[1]Campaign Metadata'!B:B)</f>
        <v>45458</v>
      </c>
      <c r="P37" s="10">
        <f>_xlfn.XLOOKUP(Posts5[[#This Row],[Campaign_Name]],'[1]Campaign Metadata'!A:A,'[1]Campaign Metadata'!C:C)</f>
        <v>45488</v>
      </c>
      <c r="Q37" s="10" t="str">
        <f>IF(AND(Posts5[[#This Row],[Date]] &gt;=Posts5[[#This Row],[Campaign Start Date]], Posts5[[#This Row],[Date]]&lt;= Posts5[[#This Row],[Campaign end date]]), "During","Before")</f>
        <v>Before</v>
      </c>
    </row>
    <row r="38" spans="1:17" x14ac:dyDescent="0.3">
      <c r="A38" s="10" t="s">
        <v>73</v>
      </c>
      <c r="B38" s="10" t="s">
        <v>8</v>
      </c>
      <c r="C38" s="11">
        <v>45583</v>
      </c>
      <c r="D38" s="10" t="s">
        <v>15</v>
      </c>
      <c r="E38" s="10" t="s">
        <v>39</v>
      </c>
      <c r="F38" s="10">
        <v>2607</v>
      </c>
      <c r="G38" s="10">
        <v>379</v>
      </c>
      <c r="H38" s="10">
        <v>180</v>
      </c>
      <c r="I38" s="10">
        <v>28712</v>
      </c>
      <c r="J38" s="10">
        <v>61620</v>
      </c>
      <c r="K38" s="10">
        <v>174</v>
      </c>
      <c r="L38" s="10" t="s">
        <v>12</v>
      </c>
      <c r="M38" s="10" t="s">
        <v>37</v>
      </c>
      <c r="N38" s="10">
        <f>(Posts5[[#This Row],[Likes]]+Posts5[[#This Row],[Shares]]+Posts5[[#This Row],[Comments]])/Posts5[[#This Row],[Impressions]]</f>
        <v>0.11026748397882419</v>
      </c>
      <c r="O38" s="11">
        <f>_xlfn.XLOOKUP(Posts5[[#This Row],[Campaign_Name]],'[1]Campaign Metadata'!A:A,'[1]Campaign Metadata'!B:B)</f>
        <v>45717</v>
      </c>
      <c r="P38" s="10">
        <f>_xlfn.XLOOKUP(Posts5[[#This Row],[Campaign_Name]],'[1]Campaign Metadata'!A:A,'[1]Campaign Metadata'!C:C)</f>
        <v>45747</v>
      </c>
      <c r="Q38" s="10" t="str">
        <f>IF(AND(Posts5[[#This Row],[Date]] &gt;=Posts5[[#This Row],[Campaign Start Date]], Posts5[[#This Row],[Date]]&lt;= Posts5[[#This Row],[Campaign end date]]), "During","Before")</f>
        <v>Before</v>
      </c>
    </row>
    <row r="39" spans="1:17" x14ac:dyDescent="0.3">
      <c r="A39" s="10" t="s">
        <v>74</v>
      </c>
      <c r="B39" s="10" t="s">
        <v>9</v>
      </c>
      <c r="C39" s="11">
        <v>45575</v>
      </c>
      <c r="D39" s="10" t="s">
        <v>11</v>
      </c>
      <c r="E39" s="10" t="s">
        <v>59</v>
      </c>
      <c r="F39" s="10">
        <v>4013</v>
      </c>
      <c r="G39" s="10">
        <v>320</v>
      </c>
      <c r="H39" s="10">
        <v>92</v>
      </c>
      <c r="I39" s="10">
        <v>54605</v>
      </c>
      <c r="J39" s="10">
        <v>60169</v>
      </c>
      <c r="K39" s="10">
        <v>232</v>
      </c>
      <c r="L39" s="10" t="s">
        <v>10</v>
      </c>
      <c r="M39" s="10" t="s">
        <v>68</v>
      </c>
      <c r="N39" s="10">
        <f>(Posts5[[#This Row],[Likes]]+Posts5[[#This Row],[Shares]]+Posts5[[#This Row],[Comments]])/Posts5[[#This Row],[Impressions]]</f>
        <v>8.1036535115831879E-2</v>
      </c>
      <c r="O39" s="11">
        <f>_xlfn.XLOOKUP(Posts5[[#This Row],[Campaign_Name]],'[1]Campaign Metadata'!A:A,'[1]Campaign Metadata'!B:B)</f>
        <v>45458</v>
      </c>
      <c r="P39" s="10">
        <f>_xlfn.XLOOKUP(Posts5[[#This Row],[Campaign_Name]],'[1]Campaign Metadata'!A:A,'[1]Campaign Metadata'!C:C)</f>
        <v>45488</v>
      </c>
      <c r="Q39" s="10" t="str">
        <f>IF(AND(Posts5[[#This Row],[Date]] &gt;=Posts5[[#This Row],[Campaign Start Date]], Posts5[[#This Row],[Date]]&lt;= Posts5[[#This Row],[Campaign end date]]), "During","Before")</f>
        <v>Before</v>
      </c>
    </row>
    <row r="40" spans="1:17" x14ac:dyDescent="0.3">
      <c r="A40" s="10" t="s">
        <v>74</v>
      </c>
      <c r="B40" s="10" t="s">
        <v>9</v>
      </c>
      <c r="C40" s="11">
        <v>45575</v>
      </c>
      <c r="D40" s="10" t="s">
        <v>11</v>
      </c>
      <c r="E40" s="10" t="s">
        <v>59</v>
      </c>
      <c r="F40" s="10">
        <v>4013</v>
      </c>
      <c r="G40" s="10">
        <v>320</v>
      </c>
      <c r="H40" s="10">
        <v>92</v>
      </c>
      <c r="I40" s="10">
        <v>54605</v>
      </c>
      <c r="J40" s="10">
        <v>60169</v>
      </c>
      <c r="K40" s="10">
        <v>232</v>
      </c>
      <c r="L40" s="10" t="s">
        <v>12</v>
      </c>
      <c r="M40" s="10" t="s">
        <v>68</v>
      </c>
      <c r="N40" s="10">
        <f>(Posts5[[#This Row],[Likes]]+Posts5[[#This Row],[Shares]]+Posts5[[#This Row],[Comments]])/Posts5[[#This Row],[Impressions]]</f>
        <v>8.1036535115831879E-2</v>
      </c>
      <c r="O40" s="11">
        <f>_xlfn.XLOOKUP(Posts5[[#This Row],[Campaign_Name]],'[1]Campaign Metadata'!A:A,'[1]Campaign Metadata'!B:B)</f>
        <v>45458</v>
      </c>
      <c r="P40" s="10">
        <f>_xlfn.XLOOKUP(Posts5[[#This Row],[Campaign_Name]],'[1]Campaign Metadata'!A:A,'[1]Campaign Metadata'!C:C)</f>
        <v>45488</v>
      </c>
      <c r="Q40" s="10" t="str">
        <f>IF(AND(Posts5[[#This Row],[Date]] &gt;=Posts5[[#This Row],[Campaign Start Date]], Posts5[[#This Row],[Date]]&lt;= Posts5[[#This Row],[Campaign end date]]), "During","Before")</f>
        <v>Before</v>
      </c>
    </row>
    <row r="41" spans="1:17" x14ac:dyDescent="0.3">
      <c r="A41" s="10" t="s">
        <v>75</v>
      </c>
      <c r="B41" s="10" t="s">
        <v>8</v>
      </c>
      <c r="C41" s="11">
        <v>45791</v>
      </c>
      <c r="D41" s="10" t="s">
        <v>13</v>
      </c>
      <c r="E41" s="10" t="s">
        <v>59</v>
      </c>
      <c r="F41" s="10">
        <v>2707</v>
      </c>
      <c r="G41" s="10">
        <v>103</v>
      </c>
      <c r="H41" s="10">
        <v>51</v>
      </c>
      <c r="I41" s="10">
        <v>55302</v>
      </c>
      <c r="J41" s="10">
        <v>18801</v>
      </c>
      <c r="K41" s="10">
        <v>147</v>
      </c>
      <c r="L41" s="10" t="s">
        <v>10</v>
      </c>
      <c r="M41" s="10" t="s">
        <v>34</v>
      </c>
      <c r="N41" s="10">
        <f>(Posts5[[#This Row],[Likes]]+Posts5[[#This Row],[Shares]]+Posts5[[#This Row],[Comments]])/Posts5[[#This Row],[Impressions]]</f>
        <v>5.173411449857148E-2</v>
      </c>
      <c r="O41" s="11">
        <f>_xlfn.XLOOKUP(Posts5[[#This Row],[Campaign_Name]],'[1]Campaign Metadata'!A:A,'[1]Campaign Metadata'!B:B)</f>
        <v>45667</v>
      </c>
      <c r="P41" s="10">
        <f>_xlfn.XLOOKUP(Posts5[[#This Row],[Campaign_Name]],'[1]Campaign Metadata'!A:A,'[1]Campaign Metadata'!C:C)</f>
        <v>45698</v>
      </c>
      <c r="Q41" s="10" t="str">
        <f>IF(AND(Posts5[[#This Row],[Date]] &gt;=Posts5[[#This Row],[Campaign Start Date]], Posts5[[#This Row],[Date]]&lt;= Posts5[[#This Row],[Campaign end date]]), "During","Before")</f>
        <v>Before</v>
      </c>
    </row>
    <row r="42" spans="1:17" x14ac:dyDescent="0.3">
      <c r="A42" s="10" t="s">
        <v>75</v>
      </c>
      <c r="B42" s="10" t="s">
        <v>8</v>
      </c>
      <c r="C42" s="11">
        <v>45791</v>
      </c>
      <c r="D42" s="10" t="s">
        <v>13</v>
      </c>
      <c r="E42" s="10" t="s">
        <v>59</v>
      </c>
      <c r="F42" s="10">
        <v>2707</v>
      </c>
      <c r="G42" s="10">
        <v>103</v>
      </c>
      <c r="H42" s="10">
        <v>51</v>
      </c>
      <c r="I42" s="10">
        <v>55302</v>
      </c>
      <c r="J42" s="10">
        <v>18801</v>
      </c>
      <c r="K42" s="10">
        <v>147</v>
      </c>
      <c r="L42" s="10" t="s">
        <v>14</v>
      </c>
      <c r="M42" s="10" t="s">
        <v>34</v>
      </c>
      <c r="N42" s="10">
        <f>(Posts5[[#This Row],[Likes]]+Posts5[[#This Row],[Shares]]+Posts5[[#This Row],[Comments]])/Posts5[[#This Row],[Impressions]]</f>
        <v>5.173411449857148E-2</v>
      </c>
      <c r="O42" s="11">
        <f>_xlfn.XLOOKUP(Posts5[[#This Row],[Campaign_Name]],'[1]Campaign Metadata'!A:A,'[1]Campaign Metadata'!B:B)</f>
        <v>45667</v>
      </c>
      <c r="P42" s="10">
        <f>_xlfn.XLOOKUP(Posts5[[#This Row],[Campaign_Name]],'[1]Campaign Metadata'!A:A,'[1]Campaign Metadata'!C:C)</f>
        <v>45698</v>
      </c>
      <c r="Q42" s="10" t="str">
        <f>IF(AND(Posts5[[#This Row],[Date]] &gt;=Posts5[[#This Row],[Campaign Start Date]], Posts5[[#This Row],[Date]]&lt;= Posts5[[#This Row],[Campaign end date]]), "During","Before")</f>
        <v>Before</v>
      </c>
    </row>
    <row r="43" spans="1:17" x14ac:dyDescent="0.3">
      <c r="A43" s="10" t="s">
        <v>76</v>
      </c>
      <c r="B43" s="10" t="s">
        <v>7</v>
      </c>
      <c r="C43" s="11">
        <v>45625</v>
      </c>
      <c r="D43" s="10" t="s">
        <v>15</v>
      </c>
      <c r="E43" s="10" t="s">
        <v>47</v>
      </c>
      <c r="F43" s="10">
        <v>2824</v>
      </c>
      <c r="G43" s="10">
        <v>425</v>
      </c>
      <c r="H43" s="10">
        <v>274</v>
      </c>
      <c r="I43" s="10">
        <v>31004</v>
      </c>
      <c r="J43" s="10">
        <v>53488</v>
      </c>
      <c r="K43" s="10">
        <v>268</v>
      </c>
      <c r="L43" s="10" t="s">
        <v>12</v>
      </c>
      <c r="M43" s="10" t="s">
        <v>34</v>
      </c>
      <c r="N43" s="10">
        <f>(Posts5[[#This Row],[Likes]]+Posts5[[#This Row],[Shares]]+Posts5[[#This Row],[Comments]])/Posts5[[#This Row],[Impressions]]</f>
        <v>0.11363049929041415</v>
      </c>
      <c r="O43" s="11">
        <f>_xlfn.XLOOKUP(Posts5[[#This Row],[Campaign_Name]],'[1]Campaign Metadata'!A:A,'[1]Campaign Metadata'!B:B)</f>
        <v>45667</v>
      </c>
      <c r="P43" s="10">
        <f>_xlfn.XLOOKUP(Posts5[[#This Row],[Campaign_Name]],'[1]Campaign Metadata'!A:A,'[1]Campaign Metadata'!C:C)</f>
        <v>45698</v>
      </c>
      <c r="Q43" s="10" t="str">
        <f>IF(AND(Posts5[[#This Row],[Date]] &gt;=Posts5[[#This Row],[Campaign Start Date]], Posts5[[#This Row],[Date]]&lt;= Posts5[[#This Row],[Campaign end date]]), "During","Before")</f>
        <v>Before</v>
      </c>
    </row>
    <row r="44" spans="1:17" x14ac:dyDescent="0.3">
      <c r="A44" s="10" t="s">
        <v>76</v>
      </c>
      <c r="B44" s="10" t="s">
        <v>7</v>
      </c>
      <c r="C44" s="11">
        <v>45625</v>
      </c>
      <c r="D44" s="10" t="s">
        <v>15</v>
      </c>
      <c r="E44" s="10" t="s">
        <v>47</v>
      </c>
      <c r="F44" s="10">
        <v>2824</v>
      </c>
      <c r="G44" s="10">
        <v>425</v>
      </c>
      <c r="H44" s="10">
        <v>274</v>
      </c>
      <c r="I44" s="10">
        <v>31004</v>
      </c>
      <c r="J44" s="10">
        <v>53488</v>
      </c>
      <c r="K44" s="10">
        <v>268</v>
      </c>
      <c r="L44" s="10" t="s">
        <v>5</v>
      </c>
      <c r="M44" s="10" t="s">
        <v>34</v>
      </c>
      <c r="N44" s="10">
        <f>(Posts5[[#This Row],[Likes]]+Posts5[[#This Row],[Shares]]+Posts5[[#This Row],[Comments]])/Posts5[[#This Row],[Impressions]]</f>
        <v>0.11363049929041415</v>
      </c>
      <c r="O44" s="11">
        <f>_xlfn.XLOOKUP(Posts5[[#This Row],[Campaign_Name]],'[1]Campaign Metadata'!A:A,'[1]Campaign Metadata'!B:B)</f>
        <v>45667</v>
      </c>
      <c r="P44" s="10">
        <f>_xlfn.XLOOKUP(Posts5[[#This Row],[Campaign_Name]],'[1]Campaign Metadata'!A:A,'[1]Campaign Metadata'!C:C)</f>
        <v>45698</v>
      </c>
      <c r="Q44" s="10" t="str">
        <f>IF(AND(Posts5[[#This Row],[Date]] &gt;=Posts5[[#This Row],[Campaign Start Date]], Posts5[[#This Row],[Date]]&lt;= Posts5[[#This Row],[Campaign end date]]), "During","Before")</f>
        <v>Before</v>
      </c>
    </row>
    <row r="45" spans="1:17" x14ac:dyDescent="0.3">
      <c r="A45" s="10" t="s">
        <v>77</v>
      </c>
      <c r="B45" s="10" t="s">
        <v>9</v>
      </c>
      <c r="C45" s="11">
        <v>45356</v>
      </c>
      <c r="D45" s="10" t="s">
        <v>11</v>
      </c>
      <c r="E45" s="10" t="s">
        <v>36</v>
      </c>
      <c r="F45" s="10">
        <v>3558</v>
      </c>
      <c r="G45" s="10">
        <v>314</v>
      </c>
      <c r="H45" s="10">
        <v>199</v>
      </c>
      <c r="I45" s="10">
        <v>49612</v>
      </c>
      <c r="J45" s="10">
        <v>53929</v>
      </c>
      <c r="K45" s="10">
        <v>206</v>
      </c>
      <c r="L45" s="10" t="s">
        <v>10</v>
      </c>
      <c r="M45" s="10" t="s">
        <v>68</v>
      </c>
      <c r="N45" s="10">
        <f>(Posts5[[#This Row],[Likes]]+Posts5[[#This Row],[Shares]]+Posts5[[#This Row],[Comments]])/Posts5[[#This Row],[Impressions]]</f>
        <v>8.205676046117874E-2</v>
      </c>
      <c r="O45" s="11">
        <f>_xlfn.XLOOKUP(Posts5[[#This Row],[Campaign_Name]],'[1]Campaign Metadata'!A:A,'[1]Campaign Metadata'!B:B)</f>
        <v>45458</v>
      </c>
      <c r="P45" s="10">
        <f>_xlfn.XLOOKUP(Posts5[[#This Row],[Campaign_Name]],'[1]Campaign Metadata'!A:A,'[1]Campaign Metadata'!C:C)</f>
        <v>45488</v>
      </c>
      <c r="Q45" s="10" t="str">
        <f>IF(AND(Posts5[[#This Row],[Date]] &gt;=Posts5[[#This Row],[Campaign Start Date]], Posts5[[#This Row],[Date]]&lt;= Posts5[[#This Row],[Campaign end date]]), "During","Before")</f>
        <v>Before</v>
      </c>
    </row>
    <row r="46" spans="1:17" x14ac:dyDescent="0.3">
      <c r="A46" s="10" t="s">
        <v>77</v>
      </c>
      <c r="B46" s="10" t="s">
        <v>9</v>
      </c>
      <c r="C46" s="11">
        <v>45356</v>
      </c>
      <c r="D46" s="10" t="s">
        <v>11</v>
      </c>
      <c r="E46" s="10" t="s">
        <v>36</v>
      </c>
      <c r="F46" s="10">
        <v>3558</v>
      </c>
      <c r="G46" s="10">
        <v>314</v>
      </c>
      <c r="H46" s="10">
        <v>199</v>
      </c>
      <c r="I46" s="10">
        <v>49612</v>
      </c>
      <c r="J46" s="10">
        <v>53929</v>
      </c>
      <c r="K46" s="10">
        <v>206</v>
      </c>
      <c r="L46" s="10" t="s">
        <v>12</v>
      </c>
      <c r="M46" s="10" t="s">
        <v>68</v>
      </c>
      <c r="N46" s="10">
        <f>(Posts5[[#This Row],[Likes]]+Posts5[[#This Row],[Shares]]+Posts5[[#This Row],[Comments]])/Posts5[[#This Row],[Impressions]]</f>
        <v>8.205676046117874E-2</v>
      </c>
      <c r="O46" s="11">
        <f>_xlfn.XLOOKUP(Posts5[[#This Row],[Campaign_Name]],'[1]Campaign Metadata'!A:A,'[1]Campaign Metadata'!B:B)</f>
        <v>45458</v>
      </c>
      <c r="P46" s="10">
        <f>_xlfn.XLOOKUP(Posts5[[#This Row],[Campaign_Name]],'[1]Campaign Metadata'!A:A,'[1]Campaign Metadata'!C:C)</f>
        <v>45488</v>
      </c>
      <c r="Q46" s="10" t="str">
        <f>IF(AND(Posts5[[#This Row],[Date]] &gt;=Posts5[[#This Row],[Campaign Start Date]], Posts5[[#This Row],[Date]]&lt;= Posts5[[#This Row],[Campaign end date]]), "During","Before")</f>
        <v>Before</v>
      </c>
    </row>
    <row r="47" spans="1:17" x14ac:dyDescent="0.3">
      <c r="A47" s="10" t="s">
        <v>78</v>
      </c>
      <c r="B47" s="10" t="s">
        <v>8</v>
      </c>
      <c r="C47" s="11">
        <v>45734</v>
      </c>
      <c r="D47" s="10" t="s">
        <v>13</v>
      </c>
      <c r="E47" s="10" t="s">
        <v>36</v>
      </c>
      <c r="F47" s="10">
        <v>3418</v>
      </c>
      <c r="G47" s="10">
        <v>188</v>
      </c>
      <c r="H47" s="10">
        <v>387</v>
      </c>
      <c r="I47" s="10">
        <v>57431</v>
      </c>
      <c r="J47" s="10">
        <v>36933</v>
      </c>
      <c r="K47" s="10">
        <v>202</v>
      </c>
      <c r="L47" s="10" t="s">
        <v>14</v>
      </c>
      <c r="M47" s="10" t="s">
        <v>34</v>
      </c>
      <c r="N47" s="10">
        <f>(Posts5[[#This Row],[Likes]]+Posts5[[#This Row],[Shares]]+Posts5[[#This Row],[Comments]])/Posts5[[#This Row],[Impressions]]</f>
        <v>6.9526910553533799E-2</v>
      </c>
      <c r="O47" s="11">
        <f>_xlfn.XLOOKUP(Posts5[[#This Row],[Campaign_Name]],'[1]Campaign Metadata'!A:A,'[1]Campaign Metadata'!B:B)</f>
        <v>45667</v>
      </c>
      <c r="P47" s="10">
        <f>_xlfn.XLOOKUP(Posts5[[#This Row],[Campaign_Name]],'[1]Campaign Metadata'!A:A,'[1]Campaign Metadata'!C:C)</f>
        <v>45698</v>
      </c>
      <c r="Q47" s="10" t="str">
        <f>IF(AND(Posts5[[#This Row],[Date]] &gt;=Posts5[[#This Row],[Campaign Start Date]], Posts5[[#This Row],[Date]]&lt;= Posts5[[#This Row],[Campaign end date]]), "During","Before")</f>
        <v>Before</v>
      </c>
    </row>
    <row r="48" spans="1:17" x14ac:dyDescent="0.3">
      <c r="A48" s="10" t="s">
        <v>78</v>
      </c>
      <c r="B48" s="10" t="s">
        <v>8</v>
      </c>
      <c r="C48" s="11">
        <v>45734</v>
      </c>
      <c r="D48" s="10" t="s">
        <v>13</v>
      </c>
      <c r="E48" s="10" t="s">
        <v>36</v>
      </c>
      <c r="F48" s="10">
        <v>3418</v>
      </c>
      <c r="G48" s="10">
        <v>188</v>
      </c>
      <c r="H48" s="10">
        <v>387</v>
      </c>
      <c r="I48" s="10">
        <v>57431</v>
      </c>
      <c r="J48" s="10">
        <v>36933</v>
      </c>
      <c r="K48" s="10">
        <v>202</v>
      </c>
      <c r="L48" s="10" t="s">
        <v>5</v>
      </c>
      <c r="M48" s="10" t="s">
        <v>34</v>
      </c>
      <c r="N48" s="10">
        <f>(Posts5[[#This Row],[Likes]]+Posts5[[#This Row],[Shares]]+Posts5[[#This Row],[Comments]])/Posts5[[#This Row],[Impressions]]</f>
        <v>6.9526910553533799E-2</v>
      </c>
      <c r="O48" s="11">
        <f>_xlfn.XLOOKUP(Posts5[[#This Row],[Campaign_Name]],'[1]Campaign Metadata'!A:A,'[1]Campaign Metadata'!B:B)</f>
        <v>45667</v>
      </c>
      <c r="P48" s="10">
        <f>_xlfn.XLOOKUP(Posts5[[#This Row],[Campaign_Name]],'[1]Campaign Metadata'!A:A,'[1]Campaign Metadata'!C:C)</f>
        <v>45698</v>
      </c>
      <c r="Q48" s="10" t="str">
        <f>IF(AND(Posts5[[#This Row],[Date]] &gt;=Posts5[[#This Row],[Campaign Start Date]], Posts5[[#This Row],[Date]]&lt;= Posts5[[#This Row],[Campaign end date]]), "During","Before")</f>
        <v>Before</v>
      </c>
    </row>
    <row r="49" spans="1:17" x14ac:dyDescent="0.3">
      <c r="A49" s="10" t="s">
        <v>79</v>
      </c>
      <c r="B49" s="10" t="s">
        <v>8</v>
      </c>
      <c r="C49" s="11">
        <v>45773</v>
      </c>
      <c r="D49" s="10" t="s">
        <v>15</v>
      </c>
      <c r="E49" s="10" t="s">
        <v>32</v>
      </c>
      <c r="F49" s="10">
        <v>2411</v>
      </c>
      <c r="G49" s="10">
        <v>194</v>
      </c>
      <c r="H49" s="10">
        <v>168</v>
      </c>
      <c r="I49" s="10">
        <v>26665</v>
      </c>
      <c r="J49" s="10">
        <v>71699</v>
      </c>
      <c r="K49" s="10">
        <v>197</v>
      </c>
      <c r="L49" s="10" t="s">
        <v>5</v>
      </c>
      <c r="M49" s="10" t="s">
        <v>34</v>
      </c>
      <c r="N49" s="10">
        <f>(Posts5[[#This Row],[Likes]]+Posts5[[#This Row],[Shares]]+Posts5[[#This Row],[Comments]])/Posts5[[#This Row],[Impressions]]</f>
        <v>0.10399399962497656</v>
      </c>
      <c r="O49" s="11">
        <f>_xlfn.XLOOKUP(Posts5[[#This Row],[Campaign_Name]],'[1]Campaign Metadata'!A:A,'[1]Campaign Metadata'!B:B)</f>
        <v>45667</v>
      </c>
      <c r="P49" s="10">
        <f>_xlfn.XLOOKUP(Posts5[[#This Row],[Campaign_Name]],'[1]Campaign Metadata'!A:A,'[1]Campaign Metadata'!C:C)</f>
        <v>45698</v>
      </c>
      <c r="Q49" s="10" t="str">
        <f>IF(AND(Posts5[[#This Row],[Date]] &gt;=Posts5[[#This Row],[Campaign Start Date]], Posts5[[#This Row],[Date]]&lt;= Posts5[[#This Row],[Campaign end date]]), "During","Before")</f>
        <v>Before</v>
      </c>
    </row>
    <row r="50" spans="1:17" x14ac:dyDescent="0.3">
      <c r="A50" s="10" t="s">
        <v>80</v>
      </c>
      <c r="B50" s="10" t="s">
        <v>7</v>
      </c>
      <c r="C50" s="11">
        <v>45658</v>
      </c>
      <c r="D50" s="10" t="s">
        <v>15</v>
      </c>
      <c r="E50" s="10" t="s">
        <v>39</v>
      </c>
      <c r="F50" s="10">
        <v>4036</v>
      </c>
      <c r="G50" s="10">
        <v>112</v>
      </c>
      <c r="H50" s="10">
        <v>382</v>
      </c>
      <c r="I50" s="10">
        <v>56284</v>
      </c>
      <c r="J50" s="10">
        <v>29440</v>
      </c>
      <c r="K50" s="10">
        <v>279</v>
      </c>
      <c r="L50" s="10" t="s">
        <v>12</v>
      </c>
      <c r="M50" s="10" t="s">
        <v>34</v>
      </c>
      <c r="N50" s="10">
        <f>(Posts5[[#This Row],[Likes]]+Posts5[[#This Row],[Shares]]+Posts5[[#This Row],[Comments]])/Posts5[[#This Row],[Impressions]]</f>
        <v>8.0484684812735408E-2</v>
      </c>
      <c r="O50" s="11">
        <f>_xlfn.XLOOKUP(Posts5[[#This Row],[Campaign_Name]],'[1]Campaign Metadata'!A:A,'[1]Campaign Metadata'!B:B)</f>
        <v>45667</v>
      </c>
      <c r="P50" s="10">
        <f>_xlfn.XLOOKUP(Posts5[[#This Row],[Campaign_Name]],'[1]Campaign Metadata'!A:A,'[1]Campaign Metadata'!C:C)</f>
        <v>45698</v>
      </c>
      <c r="Q50" s="10" t="str">
        <f>IF(AND(Posts5[[#This Row],[Date]] &gt;=Posts5[[#This Row],[Campaign Start Date]], Posts5[[#This Row],[Date]]&lt;= Posts5[[#This Row],[Campaign end date]]), "During","Before")</f>
        <v>Before</v>
      </c>
    </row>
    <row r="51" spans="1:17" x14ac:dyDescent="0.3">
      <c r="A51" s="10" t="s">
        <v>80</v>
      </c>
      <c r="B51" s="10" t="s">
        <v>7</v>
      </c>
      <c r="C51" s="11">
        <v>45658</v>
      </c>
      <c r="D51" s="10" t="s">
        <v>15</v>
      </c>
      <c r="E51" s="10" t="s">
        <v>39</v>
      </c>
      <c r="F51" s="10">
        <v>4036</v>
      </c>
      <c r="G51" s="10">
        <v>112</v>
      </c>
      <c r="H51" s="10">
        <v>382</v>
      </c>
      <c r="I51" s="10">
        <v>56284</v>
      </c>
      <c r="J51" s="10">
        <v>29440</v>
      </c>
      <c r="K51" s="10">
        <v>279</v>
      </c>
      <c r="L51" s="10" t="s">
        <v>5</v>
      </c>
      <c r="M51" s="10" t="s">
        <v>34</v>
      </c>
      <c r="N51" s="10">
        <f>(Posts5[[#This Row],[Likes]]+Posts5[[#This Row],[Shares]]+Posts5[[#This Row],[Comments]])/Posts5[[#This Row],[Impressions]]</f>
        <v>8.0484684812735408E-2</v>
      </c>
      <c r="O51" s="11">
        <f>_xlfn.XLOOKUP(Posts5[[#This Row],[Campaign_Name]],'[1]Campaign Metadata'!A:A,'[1]Campaign Metadata'!B:B)</f>
        <v>45667</v>
      </c>
      <c r="P51" s="10">
        <f>_xlfn.XLOOKUP(Posts5[[#This Row],[Campaign_Name]],'[1]Campaign Metadata'!A:A,'[1]Campaign Metadata'!C:C)</f>
        <v>45698</v>
      </c>
      <c r="Q51" s="10" t="str">
        <f>IF(AND(Posts5[[#This Row],[Date]] &gt;=Posts5[[#This Row],[Campaign Start Date]], Posts5[[#This Row],[Date]]&lt;= Posts5[[#This Row],[Campaign end date]]), "During","Before")</f>
        <v>Before</v>
      </c>
    </row>
    <row r="52" spans="1:17" x14ac:dyDescent="0.3">
      <c r="A52" s="10" t="s">
        <v>81</v>
      </c>
      <c r="B52" s="10" t="s">
        <v>8</v>
      </c>
      <c r="C52" s="11">
        <v>45419</v>
      </c>
      <c r="D52" s="10" t="s">
        <v>13</v>
      </c>
      <c r="E52" s="10" t="s">
        <v>36</v>
      </c>
      <c r="F52" s="10">
        <v>2776</v>
      </c>
      <c r="G52" s="10">
        <v>307</v>
      </c>
      <c r="H52" s="10">
        <v>178</v>
      </c>
      <c r="I52" s="10">
        <v>43365</v>
      </c>
      <c r="J52" s="10">
        <v>48408</v>
      </c>
      <c r="K52" s="10">
        <v>138</v>
      </c>
      <c r="L52" s="10" t="s">
        <v>12</v>
      </c>
      <c r="M52" s="10" t="s">
        <v>34</v>
      </c>
      <c r="N52" s="10">
        <f>(Posts5[[#This Row],[Likes]]+Posts5[[#This Row],[Shares]]+Posts5[[#This Row],[Comments]])/Posts5[[#This Row],[Impressions]]</f>
        <v>7.519889311656866E-2</v>
      </c>
      <c r="O52" s="11">
        <f>_xlfn.XLOOKUP(Posts5[[#This Row],[Campaign_Name]],'[1]Campaign Metadata'!A:A,'[1]Campaign Metadata'!B:B)</f>
        <v>45667</v>
      </c>
      <c r="P52" s="10">
        <f>_xlfn.XLOOKUP(Posts5[[#This Row],[Campaign_Name]],'[1]Campaign Metadata'!A:A,'[1]Campaign Metadata'!C:C)</f>
        <v>45698</v>
      </c>
      <c r="Q52" s="10" t="str">
        <f>IF(AND(Posts5[[#This Row],[Date]] &gt;=Posts5[[#This Row],[Campaign Start Date]], Posts5[[#This Row],[Date]]&lt;= Posts5[[#This Row],[Campaign end date]]), "During","Before")</f>
        <v>Before</v>
      </c>
    </row>
    <row r="53" spans="1:17" x14ac:dyDescent="0.3">
      <c r="A53" s="10" t="s">
        <v>81</v>
      </c>
      <c r="B53" s="10" t="s">
        <v>8</v>
      </c>
      <c r="C53" s="11">
        <v>45419</v>
      </c>
      <c r="D53" s="10" t="s">
        <v>13</v>
      </c>
      <c r="E53" s="10" t="s">
        <v>36</v>
      </c>
      <c r="F53" s="10">
        <v>2776</v>
      </c>
      <c r="G53" s="10">
        <v>307</v>
      </c>
      <c r="H53" s="10">
        <v>178</v>
      </c>
      <c r="I53" s="10">
        <v>43365</v>
      </c>
      <c r="J53" s="10">
        <v>48408</v>
      </c>
      <c r="K53" s="10">
        <v>138</v>
      </c>
      <c r="L53" s="10" t="s">
        <v>5</v>
      </c>
      <c r="M53" s="10" t="s">
        <v>34</v>
      </c>
      <c r="N53" s="10">
        <f>(Posts5[[#This Row],[Likes]]+Posts5[[#This Row],[Shares]]+Posts5[[#This Row],[Comments]])/Posts5[[#This Row],[Impressions]]</f>
        <v>7.519889311656866E-2</v>
      </c>
      <c r="O53" s="11">
        <f>_xlfn.XLOOKUP(Posts5[[#This Row],[Campaign_Name]],'[1]Campaign Metadata'!A:A,'[1]Campaign Metadata'!B:B)</f>
        <v>45667</v>
      </c>
      <c r="P53" s="10">
        <f>_xlfn.XLOOKUP(Posts5[[#This Row],[Campaign_Name]],'[1]Campaign Metadata'!A:A,'[1]Campaign Metadata'!C:C)</f>
        <v>45698</v>
      </c>
      <c r="Q53" s="10" t="str">
        <f>IF(AND(Posts5[[#This Row],[Date]] &gt;=Posts5[[#This Row],[Campaign Start Date]], Posts5[[#This Row],[Date]]&lt;= Posts5[[#This Row],[Campaign end date]]), "During","Before")</f>
        <v>Before</v>
      </c>
    </row>
    <row r="54" spans="1:17" x14ac:dyDescent="0.3">
      <c r="A54" s="10" t="s">
        <v>82</v>
      </c>
      <c r="B54" s="10" t="s">
        <v>8</v>
      </c>
      <c r="C54" s="11">
        <v>45574</v>
      </c>
      <c r="D54" s="10" t="s">
        <v>13</v>
      </c>
      <c r="E54" s="10" t="s">
        <v>32</v>
      </c>
      <c r="F54" s="10">
        <v>4929</v>
      </c>
      <c r="G54" s="10">
        <v>182</v>
      </c>
      <c r="H54" s="10">
        <v>95</v>
      </c>
      <c r="I54" s="10">
        <v>32181</v>
      </c>
      <c r="J54" s="10">
        <v>31084</v>
      </c>
      <c r="K54" s="10">
        <v>289</v>
      </c>
      <c r="L54" s="10" t="s">
        <v>10</v>
      </c>
      <c r="M54" s="10" t="s">
        <v>34</v>
      </c>
      <c r="N54" s="10">
        <f>(Posts5[[#This Row],[Likes]]+Posts5[[#This Row],[Shares]]+Posts5[[#This Row],[Comments]])/Posts5[[#This Row],[Impressions]]</f>
        <v>0.16177247444144061</v>
      </c>
      <c r="O54" s="11">
        <f>_xlfn.XLOOKUP(Posts5[[#This Row],[Campaign_Name]],'[1]Campaign Metadata'!A:A,'[1]Campaign Metadata'!B:B)</f>
        <v>45667</v>
      </c>
      <c r="P54" s="10">
        <f>_xlfn.XLOOKUP(Posts5[[#This Row],[Campaign_Name]],'[1]Campaign Metadata'!A:A,'[1]Campaign Metadata'!C:C)</f>
        <v>45698</v>
      </c>
      <c r="Q54" s="10" t="str">
        <f>IF(AND(Posts5[[#This Row],[Date]] &gt;=Posts5[[#This Row],[Campaign Start Date]], Posts5[[#This Row],[Date]]&lt;= Posts5[[#This Row],[Campaign end date]]), "During","Before")</f>
        <v>Before</v>
      </c>
    </row>
    <row r="55" spans="1:17" x14ac:dyDescent="0.3">
      <c r="A55" s="10" t="s">
        <v>82</v>
      </c>
      <c r="B55" s="10" t="s">
        <v>8</v>
      </c>
      <c r="C55" s="11">
        <v>45574</v>
      </c>
      <c r="D55" s="10" t="s">
        <v>13</v>
      </c>
      <c r="E55" s="10" t="s">
        <v>32</v>
      </c>
      <c r="F55" s="10">
        <v>4929</v>
      </c>
      <c r="G55" s="10">
        <v>182</v>
      </c>
      <c r="H55" s="10">
        <v>95</v>
      </c>
      <c r="I55" s="10">
        <v>32181</v>
      </c>
      <c r="J55" s="10">
        <v>31084</v>
      </c>
      <c r="K55" s="10">
        <v>289</v>
      </c>
      <c r="L55" s="10" t="s">
        <v>14</v>
      </c>
      <c r="M55" s="10" t="s">
        <v>34</v>
      </c>
      <c r="N55" s="10">
        <f>(Posts5[[#This Row],[Likes]]+Posts5[[#This Row],[Shares]]+Posts5[[#This Row],[Comments]])/Posts5[[#This Row],[Impressions]]</f>
        <v>0.16177247444144061</v>
      </c>
      <c r="O55" s="11">
        <f>_xlfn.XLOOKUP(Posts5[[#This Row],[Campaign_Name]],'[1]Campaign Metadata'!A:A,'[1]Campaign Metadata'!B:B)</f>
        <v>45667</v>
      </c>
      <c r="P55" s="10">
        <f>_xlfn.XLOOKUP(Posts5[[#This Row],[Campaign_Name]],'[1]Campaign Metadata'!A:A,'[1]Campaign Metadata'!C:C)</f>
        <v>45698</v>
      </c>
      <c r="Q55" s="10" t="str">
        <f>IF(AND(Posts5[[#This Row],[Date]] &gt;=Posts5[[#This Row],[Campaign Start Date]], Posts5[[#This Row],[Date]]&lt;= Posts5[[#This Row],[Campaign end date]]), "During","Before")</f>
        <v>Before</v>
      </c>
    </row>
    <row r="56" spans="1:17" x14ac:dyDescent="0.3">
      <c r="A56" s="10" t="s">
        <v>83</v>
      </c>
      <c r="B56" s="10" t="s">
        <v>7</v>
      </c>
      <c r="C56" s="11">
        <v>45666</v>
      </c>
      <c r="D56" s="10" t="s">
        <v>15</v>
      </c>
      <c r="E56" s="10" t="s">
        <v>39</v>
      </c>
      <c r="F56" s="10">
        <v>1015</v>
      </c>
      <c r="G56" s="10">
        <v>366</v>
      </c>
      <c r="H56" s="10">
        <v>308</v>
      </c>
      <c r="I56" s="10">
        <v>38127</v>
      </c>
      <c r="J56" s="10">
        <v>63790</v>
      </c>
      <c r="K56" s="10">
        <v>287</v>
      </c>
      <c r="L56" s="10" t="s">
        <v>12</v>
      </c>
      <c r="M56" s="10" t="s">
        <v>34</v>
      </c>
      <c r="N56" s="10">
        <f>(Posts5[[#This Row],[Likes]]+Posts5[[#This Row],[Shares]]+Posts5[[#This Row],[Comments]])/Posts5[[#This Row],[Impressions]]</f>
        <v>4.4299315445747112E-2</v>
      </c>
      <c r="O56" s="11">
        <f>_xlfn.XLOOKUP(Posts5[[#This Row],[Campaign_Name]],'[1]Campaign Metadata'!A:A,'[1]Campaign Metadata'!B:B)</f>
        <v>45667</v>
      </c>
      <c r="P56" s="10">
        <f>_xlfn.XLOOKUP(Posts5[[#This Row],[Campaign_Name]],'[1]Campaign Metadata'!A:A,'[1]Campaign Metadata'!C:C)</f>
        <v>45698</v>
      </c>
      <c r="Q56" s="10" t="str">
        <f>IF(AND(Posts5[[#This Row],[Date]] &gt;=Posts5[[#This Row],[Campaign Start Date]], Posts5[[#This Row],[Date]]&lt;= Posts5[[#This Row],[Campaign end date]]), "During","Before")</f>
        <v>Before</v>
      </c>
    </row>
    <row r="57" spans="1:17" x14ac:dyDescent="0.3">
      <c r="A57" s="10" t="s">
        <v>83</v>
      </c>
      <c r="B57" s="10" t="s">
        <v>7</v>
      </c>
      <c r="C57" s="11">
        <v>45666</v>
      </c>
      <c r="D57" s="10" t="s">
        <v>15</v>
      </c>
      <c r="E57" s="10" t="s">
        <v>39</v>
      </c>
      <c r="F57" s="10">
        <v>1015</v>
      </c>
      <c r="G57" s="10">
        <v>366</v>
      </c>
      <c r="H57" s="10">
        <v>308</v>
      </c>
      <c r="I57" s="10">
        <v>38127</v>
      </c>
      <c r="J57" s="10">
        <v>63790</v>
      </c>
      <c r="K57" s="10">
        <v>287</v>
      </c>
      <c r="L57" s="10" t="s">
        <v>5</v>
      </c>
      <c r="M57" s="10" t="s">
        <v>34</v>
      </c>
      <c r="N57" s="10">
        <f>(Posts5[[#This Row],[Likes]]+Posts5[[#This Row],[Shares]]+Posts5[[#This Row],[Comments]])/Posts5[[#This Row],[Impressions]]</f>
        <v>4.4299315445747112E-2</v>
      </c>
      <c r="O57" s="11">
        <f>_xlfn.XLOOKUP(Posts5[[#This Row],[Campaign_Name]],'[1]Campaign Metadata'!A:A,'[1]Campaign Metadata'!B:B)</f>
        <v>45667</v>
      </c>
      <c r="P57" s="10">
        <f>_xlfn.XLOOKUP(Posts5[[#This Row],[Campaign_Name]],'[1]Campaign Metadata'!A:A,'[1]Campaign Metadata'!C:C)</f>
        <v>45698</v>
      </c>
      <c r="Q57" s="10" t="str">
        <f>IF(AND(Posts5[[#This Row],[Date]] &gt;=Posts5[[#This Row],[Campaign Start Date]], Posts5[[#This Row],[Date]]&lt;= Posts5[[#This Row],[Campaign end date]]), "During","Before")</f>
        <v>Before</v>
      </c>
    </row>
    <row r="58" spans="1:17" x14ac:dyDescent="0.3">
      <c r="A58" s="10" t="s">
        <v>84</v>
      </c>
      <c r="B58" s="10" t="s">
        <v>8</v>
      </c>
      <c r="C58" s="11">
        <v>45785</v>
      </c>
      <c r="D58" s="10" t="s">
        <v>13</v>
      </c>
      <c r="E58" s="10" t="s">
        <v>61</v>
      </c>
      <c r="F58" s="10">
        <v>3316</v>
      </c>
      <c r="G58" s="10">
        <v>332</v>
      </c>
      <c r="H58" s="10">
        <v>268</v>
      </c>
      <c r="I58" s="10">
        <v>40095</v>
      </c>
      <c r="J58" s="10">
        <v>36913</v>
      </c>
      <c r="K58" s="10">
        <v>265</v>
      </c>
      <c r="L58" s="10" t="s">
        <v>14</v>
      </c>
      <c r="M58" s="10" t="s">
        <v>34</v>
      </c>
      <c r="N58" s="10">
        <f>(Posts5[[#This Row],[Likes]]+Posts5[[#This Row],[Shares]]+Posts5[[#This Row],[Comments]])/Posts5[[#This Row],[Impressions]]</f>
        <v>9.7668038408779148E-2</v>
      </c>
      <c r="O58" s="11">
        <f>_xlfn.XLOOKUP(Posts5[[#This Row],[Campaign_Name]],'[1]Campaign Metadata'!A:A,'[1]Campaign Metadata'!B:B)</f>
        <v>45667</v>
      </c>
      <c r="P58" s="10">
        <f>_xlfn.XLOOKUP(Posts5[[#This Row],[Campaign_Name]],'[1]Campaign Metadata'!A:A,'[1]Campaign Metadata'!C:C)</f>
        <v>45698</v>
      </c>
      <c r="Q58" s="10" t="str">
        <f>IF(AND(Posts5[[#This Row],[Date]] &gt;=Posts5[[#This Row],[Campaign Start Date]], Posts5[[#This Row],[Date]]&lt;= Posts5[[#This Row],[Campaign end date]]), "During","Before")</f>
        <v>Before</v>
      </c>
    </row>
    <row r="59" spans="1:17" x14ac:dyDescent="0.3">
      <c r="A59" s="10" t="s">
        <v>84</v>
      </c>
      <c r="B59" s="10" t="s">
        <v>8</v>
      </c>
      <c r="C59" s="11">
        <v>45785</v>
      </c>
      <c r="D59" s="10" t="s">
        <v>13</v>
      </c>
      <c r="E59" s="10" t="s">
        <v>61</v>
      </c>
      <c r="F59" s="10">
        <v>3316</v>
      </c>
      <c r="G59" s="10">
        <v>332</v>
      </c>
      <c r="H59" s="10">
        <v>268</v>
      </c>
      <c r="I59" s="10">
        <v>40095</v>
      </c>
      <c r="J59" s="10">
        <v>36913</v>
      </c>
      <c r="K59" s="10">
        <v>265</v>
      </c>
      <c r="L59" s="10" t="s">
        <v>5</v>
      </c>
      <c r="M59" s="10" t="s">
        <v>34</v>
      </c>
      <c r="N59" s="10">
        <f>(Posts5[[#This Row],[Likes]]+Posts5[[#This Row],[Shares]]+Posts5[[#This Row],[Comments]])/Posts5[[#This Row],[Impressions]]</f>
        <v>9.7668038408779148E-2</v>
      </c>
      <c r="O59" s="11">
        <f>_xlfn.XLOOKUP(Posts5[[#This Row],[Campaign_Name]],'[1]Campaign Metadata'!A:A,'[1]Campaign Metadata'!B:B)</f>
        <v>45667</v>
      </c>
      <c r="P59" s="10">
        <f>_xlfn.XLOOKUP(Posts5[[#This Row],[Campaign_Name]],'[1]Campaign Metadata'!A:A,'[1]Campaign Metadata'!C:C)</f>
        <v>45698</v>
      </c>
      <c r="Q59" s="10" t="str">
        <f>IF(AND(Posts5[[#This Row],[Date]] &gt;=Posts5[[#This Row],[Campaign Start Date]], Posts5[[#This Row],[Date]]&lt;= Posts5[[#This Row],[Campaign end date]]), "During","Before")</f>
        <v>Before</v>
      </c>
    </row>
    <row r="60" spans="1:17" x14ac:dyDescent="0.3">
      <c r="A60" s="10" t="s">
        <v>85</v>
      </c>
      <c r="B60" s="10" t="s">
        <v>7</v>
      </c>
      <c r="C60" s="11">
        <v>45416</v>
      </c>
      <c r="D60" s="10" t="s">
        <v>15</v>
      </c>
      <c r="E60" s="10" t="s">
        <v>42</v>
      </c>
      <c r="F60" s="10">
        <v>2274</v>
      </c>
      <c r="G60" s="10">
        <v>243</v>
      </c>
      <c r="H60" s="10">
        <v>222</v>
      </c>
      <c r="I60" s="10">
        <v>43066</v>
      </c>
      <c r="J60" s="10">
        <v>59174</v>
      </c>
      <c r="K60" s="10">
        <v>80</v>
      </c>
      <c r="L60" s="10" t="s">
        <v>10</v>
      </c>
      <c r="M60" s="10" t="s">
        <v>37</v>
      </c>
      <c r="N60" s="10">
        <f>(Posts5[[#This Row],[Likes]]+Posts5[[#This Row],[Shares]]+Posts5[[#This Row],[Comments]])/Posts5[[#This Row],[Impressions]]</f>
        <v>6.3600055728416843E-2</v>
      </c>
      <c r="O60" s="11">
        <f>_xlfn.XLOOKUP(Posts5[[#This Row],[Campaign_Name]],'[1]Campaign Metadata'!A:A,'[1]Campaign Metadata'!B:B)</f>
        <v>45717</v>
      </c>
      <c r="P60" s="10">
        <f>_xlfn.XLOOKUP(Posts5[[#This Row],[Campaign_Name]],'[1]Campaign Metadata'!A:A,'[1]Campaign Metadata'!C:C)</f>
        <v>45747</v>
      </c>
      <c r="Q60" s="10" t="str">
        <f>IF(AND(Posts5[[#This Row],[Date]] &gt;=Posts5[[#This Row],[Campaign Start Date]], Posts5[[#This Row],[Date]]&lt;= Posts5[[#This Row],[Campaign end date]]), "During","Before")</f>
        <v>Before</v>
      </c>
    </row>
    <row r="61" spans="1:17" x14ac:dyDescent="0.3">
      <c r="A61" s="10" t="s">
        <v>86</v>
      </c>
      <c r="B61" s="10" t="s">
        <v>8</v>
      </c>
      <c r="C61" s="11">
        <v>45804</v>
      </c>
      <c r="D61" s="10" t="s">
        <v>13</v>
      </c>
      <c r="E61" s="10" t="s">
        <v>36</v>
      </c>
      <c r="F61" s="10">
        <v>4095</v>
      </c>
      <c r="G61" s="10">
        <v>385</v>
      </c>
      <c r="H61" s="10">
        <v>400</v>
      </c>
      <c r="I61" s="10">
        <v>45300</v>
      </c>
      <c r="J61" s="10">
        <v>31795</v>
      </c>
      <c r="K61" s="10">
        <v>80</v>
      </c>
      <c r="L61" s="10" t="s">
        <v>14</v>
      </c>
      <c r="M61" s="10" t="s">
        <v>34</v>
      </c>
      <c r="N61" s="10">
        <f>(Posts5[[#This Row],[Likes]]+Posts5[[#This Row],[Shares]]+Posts5[[#This Row],[Comments]])/Posts5[[#This Row],[Impressions]]</f>
        <v>0.10772626931567329</v>
      </c>
      <c r="O61" s="11">
        <f>_xlfn.XLOOKUP(Posts5[[#This Row],[Campaign_Name]],'[1]Campaign Metadata'!A:A,'[1]Campaign Metadata'!B:B)</f>
        <v>45667</v>
      </c>
      <c r="P61" s="10">
        <f>_xlfn.XLOOKUP(Posts5[[#This Row],[Campaign_Name]],'[1]Campaign Metadata'!A:A,'[1]Campaign Metadata'!C:C)</f>
        <v>45698</v>
      </c>
      <c r="Q61" s="10" t="str">
        <f>IF(AND(Posts5[[#This Row],[Date]] &gt;=Posts5[[#This Row],[Campaign Start Date]], Posts5[[#This Row],[Date]]&lt;= Posts5[[#This Row],[Campaign end date]]), "During","Before")</f>
        <v>Before</v>
      </c>
    </row>
    <row r="62" spans="1:17" x14ac:dyDescent="0.3">
      <c r="A62" s="10" t="s">
        <v>86</v>
      </c>
      <c r="B62" s="10" t="s">
        <v>8</v>
      </c>
      <c r="C62" s="11">
        <v>45804</v>
      </c>
      <c r="D62" s="10" t="s">
        <v>13</v>
      </c>
      <c r="E62" s="10" t="s">
        <v>36</v>
      </c>
      <c r="F62" s="10">
        <v>4095</v>
      </c>
      <c r="G62" s="10">
        <v>385</v>
      </c>
      <c r="H62" s="10">
        <v>400</v>
      </c>
      <c r="I62" s="10">
        <v>45300</v>
      </c>
      <c r="J62" s="10">
        <v>31795</v>
      </c>
      <c r="K62" s="10">
        <v>80</v>
      </c>
      <c r="L62" s="10" t="s">
        <v>5</v>
      </c>
      <c r="M62" s="10" t="s">
        <v>34</v>
      </c>
      <c r="N62" s="10">
        <f>(Posts5[[#This Row],[Likes]]+Posts5[[#This Row],[Shares]]+Posts5[[#This Row],[Comments]])/Posts5[[#This Row],[Impressions]]</f>
        <v>0.10772626931567329</v>
      </c>
      <c r="O62" s="11">
        <f>_xlfn.XLOOKUP(Posts5[[#This Row],[Campaign_Name]],'[1]Campaign Metadata'!A:A,'[1]Campaign Metadata'!B:B)</f>
        <v>45667</v>
      </c>
      <c r="P62" s="10">
        <f>_xlfn.XLOOKUP(Posts5[[#This Row],[Campaign_Name]],'[1]Campaign Metadata'!A:A,'[1]Campaign Metadata'!C:C)</f>
        <v>45698</v>
      </c>
      <c r="Q62" s="10" t="str">
        <f>IF(AND(Posts5[[#This Row],[Date]] &gt;=Posts5[[#This Row],[Campaign Start Date]], Posts5[[#This Row],[Date]]&lt;= Posts5[[#This Row],[Campaign end date]]), "During","Before")</f>
        <v>Before</v>
      </c>
    </row>
    <row r="63" spans="1:17" x14ac:dyDescent="0.3">
      <c r="A63" s="10" t="s">
        <v>87</v>
      </c>
      <c r="B63" s="10" t="s">
        <v>7</v>
      </c>
      <c r="C63" s="11">
        <v>45545</v>
      </c>
      <c r="D63" s="10" t="s">
        <v>13</v>
      </c>
      <c r="E63" s="10" t="s">
        <v>39</v>
      </c>
      <c r="F63" s="10">
        <v>1230</v>
      </c>
      <c r="G63" s="10">
        <v>309</v>
      </c>
      <c r="H63" s="10">
        <v>207</v>
      </c>
      <c r="I63" s="10">
        <v>44629</v>
      </c>
      <c r="J63" s="10">
        <v>40699</v>
      </c>
      <c r="K63" s="10">
        <v>195</v>
      </c>
      <c r="L63" s="10" t="s">
        <v>5</v>
      </c>
      <c r="M63" s="10" t="s">
        <v>65</v>
      </c>
      <c r="N63" s="10">
        <f>(Posts5[[#This Row],[Likes]]+Posts5[[#This Row],[Shares]]+Posts5[[#This Row],[Comments]])/Posts5[[#This Row],[Impressions]]</f>
        <v>3.9122543637545096E-2</v>
      </c>
      <c r="O63" s="11">
        <f>_xlfn.XLOOKUP(Posts5[[#This Row],[Campaign_Name]],'[1]Campaign Metadata'!A:A,'[1]Campaign Metadata'!B:B)</f>
        <v>45627</v>
      </c>
      <c r="P63" s="10">
        <f>_xlfn.XLOOKUP(Posts5[[#This Row],[Campaign_Name]],'[1]Campaign Metadata'!A:A,'[1]Campaign Metadata'!C:C)</f>
        <v>45657</v>
      </c>
      <c r="Q63" s="10" t="str">
        <f>IF(AND(Posts5[[#This Row],[Date]] &gt;=Posts5[[#This Row],[Campaign Start Date]], Posts5[[#This Row],[Date]]&lt;= Posts5[[#This Row],[Campaign end date]]), "During","Before")</f>
        <v>Before</v>
      </c>
    </row>
    <row r="64" spans="1:17" x14ac:dyDescent="0.3">
      <c r="A64" s="10" t="s">
        <v>88</v>
      </c>
      <c r="B64" s="10" t="s">
        <v>7</v>
      </c>
      <c r="C64" s="11">
        <v>45621</v>
      </c>
      <c r="D64" s="10" t="s">
        <v>15</v>
      </c>
      <c r="E64" s="10" t="s">
        <v>59</v>
      </c>
      <c r="F64" s="10">
        <v>1341</v>
      </c>
      <c r="G64" s="10">
        <v>472</v>
      </c>
      <c r="H64" s="10">
        <v>238</v>
      </c>
      <c r="I64" s="10">
        <v>51386</v>
      </c>
      <c r="J64" s="10">
        <v>51706</v>
      </c>
      <c r="K64" s="10">
        <v>133</v>
      </c>
      <c r="L64" s="10" t="s">
        <v>10</v>
      </c>
      <c r="M64" s="10" t="s">
        <v>37</v>
      </c>
      <c r="N64" s="10">
        <f>(Posts5[[#This Row],[Likes]]+Posts5[[#This Row],[Shares]]+Posts5[[#This Row],[Comments]])/Posts5[[#This Row],[Impressions]]</f>
        <v>3.9913595142645857E-2</v>
      </c>
      <c r="O64" s="11">
        <f>_xlfn.XLOOKUP(Posts5[[#This Row],[Campaign_Name]],'[1]Campaign Metadata'!A:A,'[1]Campaign Metadata'!B:B)</f>
        <v>45717</v>
      </c>
      <c r="P64" s="10">
        <f>_xlfn.XLOOKUP(Posts5[[#This Row],[Campaign_Name]],'[1]Campaign Metadata'!A:A,'[1]Campaign Metadata'!C:C)</f>
        <v>45747</v>
      </c>
      <c r="Q64" s="10" t="str">
        <f>IF(AND(Posts5[[#This Row],[Date]] &gt;=Posts5[[#This Row],[Campaign Start Date]], Posts5[[#This Row],[Date]]&lt;= Posts5[[#This Row],[Campaign end date]]), "During","Before")</f>
        <v>Before</v>
      </c>
    </row>
    <row r="65" spans="1:17" x14ac:dyDescent="0.3">
      <c r="A65" s="10" t="s">
        <v>89</v>
      </c>
      <c r="B65" s="10" t="s">
        <v>8</v>
      </c>
      <c r="C65" s="11">
        <v>45818</v>
      </c>
      <c r="D65" s="10" t="s">
        <v>15</v>
      </c>
      <c r="E65" s="10" t="s">
        <v>36</v>
      </c>
      <c r="F65" s="10">
        <v>3615</v>
      </c>
      <c r="G65" s="10">
        <v>192</v>
      </c>
      <c r="H65" s="10">
        <v>162</v>
      </c>
      <c r="I65" s="10">
        <v>27492</v>
      </c>
      <c r="J65" s="10">
        <v>35341</v>
      </c>
      <c r="K65" s="10">
        <v>125</v>
      </c>
      <c r="L65" s="10" t="s">
        <v>5</v>
      </c>
      <c r="M65" s="10" t="s">
        <v>34</v>
      </c>
      <c r="N65" s="10">
        <f>(Posts5[[#This Row],[Likes]]+Posts5[[#This Row],[Shares]]+Posts5[[#This Row],[Comments]])/Posts5[[#This Row],[Impressions]]</f>
        <v>0.14436927106067218</v>
      </c>
      <c r="O65" s="11">
        <f>_xlfn.XLOOKUP(Posts5[[#This Row],[Campaign_Name]],'[1]Campaign Metadata'!A:A,'[1]Campaign Metadata'!B:B)</f>
        <v>45667</v>
      </c>
      <c r="P65" s="10">
        <f>_xlfn.XLOOKUP(Posts5[[#This Row],[Campaign_Name]],'[1]Campaign Metadata'!A:A,'[1]Campaign Metadata'!C:C)</f>
        <v>45698</v>
      </c>
      <c r="Q65" s="10" t="str">
        <f>IF(AND(Posts5[[#This Row],[Date]] &gt;=Posts5[[#This Row],[Campaign Start Date]], Posts5[[#This Row],[Date]]&lt;= Posts5[[#This Row],[Campaign end date]]), "During","Before")</f>
        <v>Before</v>
      </c>
    </row>
    <row r="66" spans="1:17" x14ac:dyDescent="0.3">
      <c r="A66" s="10" t="s">
        <v>90</v>
      </c>
      <c r="B66" s="10" t="s">
        <v>7</v>
      </c>
      <c r="C66" s="11">
        <v>45401</v>
      </c>
      <c r="D66" s="10" t="s">
        <v>15</v>
      </c>
      <c r="E66" s="10" t="s">
        <v>39</v>
      </c>
      <c r="F66" s="10">
        <v>4001</v>
      </c>
      <c r="G66" s="10">
        <v>353</v>
      </c>
      <c r="H66" s="10">
        <v>129</v>
      </c>
      <c r="I66" s="10">
        <v>41265</v>
      </c>
      <c r="J66" s="10">
        <v>37279</v>
      </c>
      <c r="K66" s="10">
        <v>275</v>
      </c>
      <c r="L66" s="10" t="s">
        <v>12</v>
      </c>
      <c r="M66" s="10" t="s">
        <v>34</v>
      </c>
      <c r="N66" s="10">
        <f>(Posts5[[#This Row],[Likes]]+Posts5[[#This Row],[Shares]]+Posts5[[#This Row],[Comments]])/Posts5[[#This Row],[Impressions]]</f>
        <v>0.10863928268508422</v>
      </c>
      <c r="O66" s="11">
        <f>_xlfn.XLOOKUP(Posts5[[#This Row],[Campaign_Name]],'[1]Campaign Metadata'!A:A,'[1]Campaign Metadata'!B:B)</f>
        <v>45667</v>
      </c>
      <c r="P66" s="10">
        <f>_xlfn.XLOOKUP(Posts5[[#This Row],[Campaign_Name]],'[1]Campaign Metadata'!A:A,'[1]Campaign Metadata'!C:C)</f>
        <v>45698</v>
      </c>
      <c r="Q66" s="10" t="str">
        <f>IF(AND(Posts5[[#This Row],[Date]] &gt;=Posts5[[#This Row],[Campaign Start Date]], Posts5[[#This Row],[Date]]&lt;= Posts5[[#This Row],[Campaign end date]]), "During","Before")</f>
        <v>Before</v>
      </c>
    </row>
    <row r="67" spans="1:17" x14ac:dyDescent="0.3">
      <c r="A67" s="10" t="s">
        <v>90</v>
      </c>
      <c r="B67" s="10" t="s">
        <v>7</v>
      </c>
      <c r="C67" s="11">
        <v>45401</v>
      </c>
      <c r="D67" s="10" t="s">
        <v>15</v>
      </c>
      <c r="E67" s="10" t="s">
        <v>39</v>
      </c>
      <c r="F67" s="10">
        <v>4001</v>
      </c>
      <c r="G67" s="10">
        <v>353</v>
      </c>
      <c r="H67" s="10">
        <v>129</v>
      </c>
      <c r="I67" s="10">
        <v>41265</v>
      </c>
      <c r="J67" s="10">
        <v>37279</v>
      </c>
      <c r="K67" s="10">
        <v>275</v>
      </c>
      <c r="L67" s="10" t="s">
        <v>5</v>
      </c>
      <c r="M67" s="10" t="s">
        <v>34</v>
      </c>
      <c r="N67" s="10">
        <f>(Posts5[[#This Row],[Likes]]+Posts5[[#This Row],[Shares]]+Posts5[[#This Row],[Comments]])/Posts5[[#This Row],[Impressions]]</f>
        <v>0.10863928268508422</v>
      </c>
      <c r="O67" s="11">
        <f>_xlfn.XLOOKUP(Posts5[[#This Row],[Campaign_Name]],'[1]Campaign Metadata'!A:A,'[1]Campaign Metadata'!B:B)</f>
        <v>45667</v>
      </c>
      <c r="P67" s="10">
        <f>_xlfn.XLOOKUP(Posts5[[#This Row],[Campaign_Name]],'[1]Campaign Metadata'!A:A,'[1]Campaign Metadata'!C:C)</f>
        <v>45698</v>
      </c>
      <c r="Q67" s="10" t="str">
        <f>IF(AND(Posts5[[#This Row],[Date]] &gt;=Posts5[[#This Row],[Campaign Start Date]], Posts5[[#This Row],[Date]]&lt;= Posts5[[#This Row],[Campaign end date]]), "During","Before")</f>
        <v>Before</v>
      </c>
    </row>
    <row r="68" spans="1:17" x14ac:dyDescent="0.3">
      <c r="A68" s="10" t="s">
        <v>91</v>
      </c>
      <c r="B68" s="10" t="s">
        <v>7</v>
      </c>
      <c r="C68" s="11">
        <v>45683</v>
      </c>
      <c r="D68" s="10" t="s">
        <v>13</v>
      </c>
      <c r="E68" s="10" t="s">
        <v>47</v>
      </c>
      <c r="F68" s="10">
        <v>3451</v>
      </c>
      <c r="G68" s="10">
        <v>363</v>
      </c>
      <c r="H68" s="10">
        <v>393</v>
      </c>
      <c r="I68" s="10">
        <v>44853</v>
      </c>
      <c r="J68" s="10">
        <v>69032</v>
      </c>
      <c r="K68" s="10">
        <v>211</v>
      </c>
      <c r="L68" s="10" t="s">
        <v>5</v>
      </c>
      <c r="M68" s="10" t="s">
        <v>65</v>
      </c>
      <c r="N68" s="10">
        <f>(Posts5[[#This Row],[Likes]]+Posts5[[#This Row],[Shares]]+Posts5[[#This Row],[Comments]])/Posts5[[#This Row],[Impressions]]</f>
        <v>9.379528682585335E-2</v>
      </c>
      <c r="O68" s="11">
        <f>_xlfn.XLOOKUP(Posts5[[#This Row],[Campaign_Name]],'[1]Campaign Metadata'!A:A,'[1]Campaign Metadata'!B:B)</f>
        <v>45627</v>
      </c>
      <c r="P68" s="10">
        <f>_xlfn.XLOOKUP(Posts5[[#This Row],[Campaign_Name]],'[1]Campaign Metadata'!A:A,'[1]Campaign Metadata'!C:C)</f>
        <v>45657</v>
      </c>
      <c r="Q68" s="10" t="str">
        <f>IF(AND(Posts5[[#This Row],[Date]] &gt;=Posts5[[#This Row],[Campaign Start Date]], Posts5[[#This Row],[Date]]&lt;= Posts5[[#This Row],[Campaign end date]]), "During","Before")</f>
        <v>Before</v>
      </c>
    </row>
    <row r="69" spans="1:17" x14ac:dyDescent="0.3">
      <c r="A69" s="10" t="s">
        <v>92</v>
      </c>
      <c r="B69" s="10" t="s">
        <v>7</v>
      </c>
      <c r="C69" s="11">
        <v>45702</v>
      </c>
      <c r="D69" s="10" t="s">
        <v>15</v>
      </c>
      <c r="E69" s="10" t="s">
        <v>53</v>
      </c>
      <c r="F69" s="10">
        <v>4891</v>
      </c>
      <c r="G69" s="10">
        <v>450</v>
      </c>
      <c r="H69" s="10">
        <v>387</v>
      </c>
      <c r="I69" s="10">
        <v>48746</v>
      </c>
      <c r="J69" s="10">
        <v>37312</v>
      </c>
      <c r="K69" s="10">
        <v>154</v>
      </c>
      <c r="L69" s="10" t="s">
        <v>12</v>
      </c>
      <c r="M69" s="10" t="s">
        <v>34</v>
      </c>
      <c r="N69" s="10">
        <f>(Posts5[[#This Row],[Likes]]+Posts5[[#This Row],[Shares]]+Posts5[[#This Row],[Comments]])/Posts5[[#This Row],[Impressions]]</f>
        <v>0.11750707750379519</v>
      </c>
      <c r="O69" s="11">
        <f>_xlfn.XLOOKUP(Posts5[[#This Row],[Campaign_Name]],'[1]Campaign Metadata'!A:A,'[1]Campaign Metadata'!B:B)</f>
        <v>45667</v>
      </c>
      <c r="P69" s="10">
        <f>_xlfn.XLOOKUP(Posts5[[#This Row],[Campaign_Name]],'[1]Campaign Metadata'!A:A,'[1]Campaign Metadata'!C:C)</f>
        <v>45698</v>
      </c>
      <c r="Q69" s="10" t="str">
        <f>IF(AND(Posts5[[#This Row],[Date]] &gt;=Posts5[[#This Row],[Campaign Start Date]], Posts5[[#This Row],[Date]]&lt;= Posts5[[#This Row],[Campaign end date]]), "During","Before")</f>
        <v>Before</v>
      </c>
    </row>
    <row r="70" spans="1:17" x14ac:dyDescent="0.3">
      <c r="A70" s="10" t="s">
        <v>92</v>
      </c>
      <c r="B70" s="10" t="s">
        <v>7</v>
      </c>
      <c r="C70" s="11">
        <v>45702</v>
      </c>
      <c r="D70" s="10" t="s">
        <v>15</v>
      </c>
      <c r="E70" s="10" t="s">
        <v>53</v>
      </c>
      <c r="F70" s="10">
        <v>4891</v>
      </c>
      <c r="G70" s="10">
        <v>450</v>
      </c>
      <c r="H70" s="10">
        <v>387</v>
      </c>
      <c r="I70" s="10">
        <v>48746</v>
      </c>
      <c r="J70" s="10">
        <v>37312</v>
      </c>
      <c r="K70" s="10">
        <v>154</v>
      </c>
      <c r="L70" s="10" t="s">
        <v>5</v>
      </c>
      <c r="M70" s="10" t="s">
        <v>34</v>
      </c>
      <c r="N70" s="10">
        <f>(Posts5[[#This Row],[Likes]]+Posts5[[#This Row],[Shares]]+Posts5[[#This Row],[Comments]])/Posts5[[#This Row],[Impressions]]</f>
        <v>0.11750707750379519</v>
      </c>
      <c r="O70" s="11">
        <f>_xlfn.XLOOKUP(Posts5[[#This Row],[Campaign_Name]],'[1]Campaign Metadata'!A:A,'[1]Campaign Metadata'!B:B)</f>
        <v>45667</v>
      </c>
      <c r="P70" s="10">
        <f>_xlfn.XLOOKUP(Posts5[[#This Row],[Campaign_Name]],'[1]Campaign Metadata'!A:A,'[1]Campaign Metadata'!C:C)</f>
        <v>45698</v>
      </c>
      <c r="Q70" s="10" t="str">
        <f>IF(AND(Posts5[[#This Row],[Date]] &gt;=Posts5[[#This Row],[Campaign Start Date]], Posts5[[#This Row],[Date]]&lt;= Posts5[[#This Row],[Campaign end date]]), "During","Before")</f>
        <v>Before</v>
      </c>
    </row>
    <row r="71" spans="1:17" x14ac:dyDescent="0.3">
      <c r="A71" s="10" t="s">
        <v>93</v>
      </c>
      <c r="B71" s="10" t="s">
        <v>7</v>
      </c>
      <c r="C71" s="11">
        <v>45541</v>
      </c>
      <c r="D71" s="10" t="s">
        <v>15</v>
      </c>
      <c r="E71" s="10" t="s">
        <v>39</v>
      </c>
      <c r="F71" s="10">
        <v>1452</v>
      </c>
      <c r="G71" s="10">
        <v>281</v>
      </c>
      <c r="H71" s="10">
        <v>326</v>
      </c>
      <c r="I71" s="10">
        <v>51556</v>
      </c>
      <c r="J71" s="10">
        <v>62599</v>
      </c>
      <c r="K71" s="10">
        <v>290</v>
      </c>
      <c r="L71" s="10" t="s">
        <v>10</v>
      </c>
      <c r="M71" s="10" t="s">
        <v>37</v>
      </c>
      <c r="N71" s="10">
        <f>(Posts5[[#This Row],[Likes]]+Posts5[[#This Row],[Shares]]+Posts5[[#This Row],[Comments]])/Posts5[[#This Row],[Impressions]]</f>
        <v>3.9937155714174881E-2</v>
      </c>
      <c r="O71" s="11">
        <f>_xlfn.XLOOKUP(Posts5[[#This Row],[Campaign_Name]],'[1]Campaign Metadata'!A:A,'[1]Campaign Metadata'!B:B)</f>
        <v>45717</v>
      </c>
      <c r="P71" s="10">
        <f>_xlfn.XLOOKUP(Posts5[[#This Row],[Campaign_Name]],'[1]Campaign Metadata'!A:A,'[1]Campaign Metadata'!C:C)</f>
        <v>45747</v>
      </c>
      <c r="Q71" s="10" t="str">
        <f>IF(AND(Posts5[[#This Row],[Date]] &gt;=Posts5[[#This Row],[Campaign Start Date]], Posts5[[#This Row],[Date]]&lt;= Posts5[[#This Row],[Campaign end date]]), "During","Before")</f>
        <v>Before</v>
      </c>
    </row>
    <row r="72" spans="1:17" x14ac:dyDescent="0.3">
      <c r="A72" s="10" t="s">
        <v>94</v>
      </c>
      <c r="B72" s="10" t="s">
        <v>9</v>
      </c>
      <c r="C72" s="11">
        <v>45487</v>
      </c>
      <c r="D72" s="10" t="s">
        <v>15</v>
      </c>
      <c r="E72" s="10" t="s">
        <v>61</v>
      </c>
      <c r="F72" s="10">
        <v>3806</v>
      </c>
      <c r="G72" s="10">
        <v>114</v>
      </c>
      <c r="H72" s="10">
        <v>278</v>
      </c>
      <c r="I72" s="10">
        <v>36148</v>
      </c>
      <c r="J72" s="10">
        <v>24209</v>
      </c>
      <c r="K72" s="10">
        <v>201</v>
      </c>
      <c r="L72" s="10" t="s">
        <v>10</v>
      </c>
      <c r="M72" s="10" t="s">
        <v>37</v>
      </c>
      <c r="N72" s="10">
        <f>(Posts5[[#This Row],[Likes]]+Posts5[[#This Row],[Shares]]+Posts5[[#This Row],[Comments]])/Posts5[[#This Row],[Impressions]]</f>
        <v>0.11613367267898639</v>
      </c>
      <c r="O72" s="11">
        <f>_xlfn.XLOOKUP(Posts5[[#This Row],[Campaign_Name]],'[1]Campaign Metadata'!A:A,'[1]Campaign Metadata'!B:B)</f>
        <v>45717</v>
      </c>
      <c r="P72" s="10">
        <f>_xlfn.XLOOKUP(Posts5[[#This Row],[Campaign_Name]],'[1]Campaign Metadata'!A:A,'[1]Campaign Metadata'!C:C)</f>
        <v>45747</v>
      </c>
      <c r="Q72" s="10" t="str">
        <f>IF(AND(Posts5[[#This Row],[Date]] &gt;=Posts5[[#This Row],[Campaign Start Date]], Posts5[[#This Row],[Date]]&lt;= Posts5[[#This Row],[Campaign end date]]), "During","Before")</f>
        <v>Before</v>
      </c>
    </row>
    <row r="73" spans="1:17" x14ac:dyDescent="0.3">
      <c r="A73" s="10" t="s">
        <v>94</v>
      </c>
      <c r="B73" s="10" t="s">
        <v>9</v>
      </c>
      <c r="C73" s="11">
        <v>45487</v>
      </c>
      <c r="D73" s="10" t="s">
        <v>15</v>
      </c>
      <c r="E73" s="10" t="s">
        <v>61</v>
      </c>
      <c r="F73" s="10">
        <v>3806</v>
      </c>
      <c r="G73" s="10">
        <v>114</v>
      </c>
      <c r="H73" s="10">
        <v>278</v>
      </c>
      <c r="I73" s="10">
        <v>36148</v>
      </c>
      <c r="J73" s="10">
        <v>24209</v>
      </c>
      <c r="K73" s="10">
        <v>201</v>
      </c>
      <c r="L73" s="10" t="s">
        <v>16</v>
      </c>
      <c r="M73" s="10" t="s">
        <v>37</v>
      </c>
      <c r="N73" s="10">
        <f>(Posts5[[#This Row],[Likes]]+Posts5[[#This Row],[Shares]]+Posts5[[#This Row],[Comments]])/Posts5[[#This Row],[Impressions]]</f>
        <v>0.11613367267898639</v>
      </c>
      <c r="O73" s="11">
        <f>_xlfn.XLOOKUP(Posts5[[#This Row],[Campaign_Name]],'[1]Campaign Metadata'!A:A,'[1]Campaign Metadata'!B:B)</f>
        <v>45717</v>
      </c>
      <c r="P73" s="10">
        <f>_xlfn.XLOOKUP(Posts5[[#This Row],[Campaign_Name]],'[1]Campaign Metadata'!A:A,'[1]Campaign Metadata'!C:C)</f>
        <v>45747</v>
      </c>
      <c r="Q73" s="10" t="str">
        <f>IF(AND(Posts5[[#This Row],[Date]] &gt;=Posts5[[#This Row],[Campaign Start Date]], Posts5[[#This Row],[Date]]&lt;= Posts5[[#This Row],[Campaign end date]]), "During","Before")</f>
        <v>Before</v>
      </c>
    </row>
    <row r="74" spans="1:17" x14ac:dyDescent="0.3">
      <c r="A74" s="10" t="s">
        <v>95</v>
      </c>
      <c r="B74" s="10" t="s">
        <v>7</v>
      </c>
      <c r="C74" s="11">
        <v>45334</v>
      </c>
      <c r="D74" s="10" t="s">
        <v>15</v>
      </c>
      <c r="E74" s="10" t="s">
        <v>36</v>
      </c>
      <c r="F74" s="10">
        <v>2923</v>
      </c>
      <c r="G74" s="10">
        <v>330</v>
      </c>
      <c r="H74" s="10">
        <v>250</v>
      </c>
      <c r="I74" s="10">
        <v>23993</v>
      </c>
      <c r="J74" s="10">
        <v>74590</v>
      </c>
      <c r="K74" s="10">
        <v>92</v>
      </c>
      <c r="L74" s="10" t="s">
        <v>10</v>
      </c>
      <c r="M74" s="10" t="s">
        <v>37</v>
      </c>
      <c r="N74" s="10">
        <f>(Posts5[[#This Row],[Likes]]+Posts5[[#This Row],[Shares]]+Posts5[[#This Row],[Comments]])/Posts5[[#This Row],[Impressions]]</f>
        <v>0.14600091693410577</v>
      </c>
      <c r="O74" s="11">
        <f>_xlfn.XLOOKUP(Posts5[[#This Row],[Campaign_Name]],'[1]Campaign Metadata'!A:A,'[1]Campaign Metadata'!B:B)</f>
        <v>45717</v>
      </c>
      <c r="P74" s="10">
        <f>_xlfn.XLOOKUP(Posts5[[#This Row],[Campaign_Name]],'[1]Campaign Metadata'!A:A,'[1]Campaign Metadata'!C:C)</f>
        <v>45747</v>
      </c>
      <c r="Q74" s="10" t="str">
        <f>IF(AND(Posts5[[#This Row],[Date]] &gt;=Posts5[[#This Row],[Campaign Start Date]], Posts5[[#This Row],[Date]]&lt;= Posts5[[#This Row],[Campaign end date]]), "During","Before")</f>
        <v>Before</v>
      </c>
    </row>
    <row r="75" spans="1:17" x14ac:dyDescent="0.3">
      <c r="A75" s="10" t="s">
        <v>96</v>
      </c>
      <c r="B75" s="10" t="s">
        <v>9</v>
      </c>
      <c r="C75" s="11">
        <v>45365</v>
      </c>
      <c r="D75" s="10" t="s">
        <v>11</v>
      </c>
      <c r="E75" s="10" t="s">
        <v>59</v>
      </c>
      <c r="F75" s="10">
        <v>3361</v>
      </c>
      <c r="G75" s="10">
        <v>188</v>
      </c>
      <c r="H75" s="10">
        <v>358</v>
      </c>
      <c r="I75" s="10">
        <v>39838</v>
      </c>
      <c r="J75" s="10">
        <v>24536</v>
      </c>
      <c r="K75" s="10">
        <v>120</v>
      </c>
      <c r="L75" s="10" t="s">
        <v>10</v>
      </c>
      <c r="M75" s="10" t="s">
        <v>68</v>
      </c>
      <c r="N75" s="10">
        <f>(Posts5[[#This Row],[Likes]]+Posts5[[#This Row],[Shares]]+Posts5[[#This Row],[Comments]])/Posts5[[#This Row],[Impressions]]</f>
        <v>9.8072192379135503E-2</v>
      </c>
      <c r="O75" s="11">
        <f>_xlfn.XLOOKUP(Posts5[[#This Row],[Campaign_Name]],'[1]Campaign Metadata'!A:A,'[1]Campaign Metadata'!B:B)</f>
        <v>45458</v>
      </c>
      <c r="P75" s="10">
        <f>_xlfn.XLOOKUP(Posts5[[#This Row],[Campaign_Name]],'[1]Campaign Metadata'!A:A,'[1]Campaign Metadata'!C:C)</f>
        <v>45488</v>
      </c>
      <c r="Q75" s="10" t="str">
        <f>IF(AND(Posts5[[#This Row],[Date]] &gt;=Posts5[[#This Row],[Campaign Start Date]], Posts5[[#This Row],[Date]]&lt;= Posts5[[#This Row],[Campaign end date]]), "During","Before")</f>
        <v>Before</v>
      </c>
    </row>
    <row r="76" spans="1:17" x14ac:dyDescent="0.3">
      <c r="A76" s="10" t="s">
        <v>96</v>
      </c>
      <c r="B76" s="10" t="s">
        <v>9</v>
      </c>
      <c r="C76" s="11">
        <v>45365</v>
      </c>
      <c r="D76" s="10" t="s">
        <v>11</v>
      </c>
      <c r="E76" s="10" t="s">
        <v>59</v>
      </c>
      <c r="F76" s="10">
        <v>3361</v>
      </c>
      <c r="G76" s="10">
        <v>188</v>
      </c>
      <c r="H76" s="10">
        <v>358</v>
      </c>
      <c r="I76" s="10">
        <v>39838</v>
      </c>
      <c r="J76" s="10">
        <v>24536</v>
      </c>
      <c r="K76" s="10">
        <v>120</v>
      </c>
      <c r="L76" s="10" t="s">
        <v>12</v>
      </c>
      <c r="M76" s="10" t="s">
        <v>68</v>
      </c>
      <c r="N76" s="10">
        <f>(Posts5[[#This Row],[Likes]]+Posts5[[#This Row],[Shares]]+Posts5[[#This Row],[Comments]])/Posts5[[#This Row],[Impressions]]</f>
        <v>9.8072192379135503E-2</v>
      </c>
      <c r="O76" s="11">
        <f>_xlfn.XLOOKUP(Posts5[[#This Row],[Campaign_Name]],'[1]Campaign Metadata'!A:A,'[1]Campaign Metadata'!B:B)</f>
        <v>45458</v>
      </c>
      <c r="P76" s="10">
        <f>_xlfn.XLOOKUP(Posts5[[#This Row],[Campaign_Name]],'[1]Campaign Metadata'!A:A,'[1]Campaign Metadata'!C:C)</f>
        <v>45488</v>
      </c>
      <c r="Q76" s="10" t="str">
        <f>IF(AND(Posts5[[#This Row],[Date]] &gt;=Posts5[[#This Row],[Campaign Start Date]], Posts5[[#This Row],[Date]]&lt;= Posts5[[#This Row],[Campaign end date]]), "During","Before")</f>
        <v>Before</v>
      </c>
    </row>
    <row r="77" spans="1:17" x14ac:dyDescent="0.3">
      <c r="A77" s="10" t="s">
        <v>97</v>
      </c>
      <c r="B77" s="10" t="s">
        <v>7</v>
      </c>
      <c r="C77" s="11">
        <v>45693</v>
      </c>
      <c r="D77" s="10" t="s">
        <v>13</v>
      </c>
      <c r="E77" s="10" t="s">
        <v>44</v>
      </c>
      <c r="F77" s="10">
        <v>3074</v>
      </c>
      <c r="G77" s="10">
        <v>371</v>
      </c>
      <c r="H77" s="10">
        <v>348</v>
      </c>
      <c r="I77" s="10">
        <v>24104</v>
      </c>
      <c r="J77" s="10">
        <v>57803</v>
      </c>
      <c r="K77" s="10">
        <v>213</v>
      </c>
      <c r="L77" s="10" t="s">
        <v>5</v>
      </c>
      <c r="M77" s="10" t="s">
        <v>65</v>
      </c>
      <c r="N77" s="10">
        <f>(Posts5[[#This Row],[Likes]]+Posts5[[#This Row],[Shares]]+Posts5[[#This Row],[Comments]])/Posts5[[#This Row],[Impressions]]</f>
        <v>0.15735977431131762</v>
      </c>
      <c r="O77" s="11">
        <f>_xlfn.XLOOKUP(Posts5[[#This Row],[Campaign_Name]],'[1]Campaign Metadata'!A:A,'[1]Campaign Metadata'!B:B)</f>
        <v>45627</v>
      </c>
      <c r="P77" s="10">
        <f>_xlfn.XLOOKUP(Posts5[[#This Row],[Campaign_Name]],'[1]Campaign Metadata'!A:A,'[1]Campaign Metadata'!C:C)</f>
        <v>45657</v>
      </c>
      <c r="Q77" s="10" t="str">
        <f>IF(AND(Posts5[[#This Row],[Date]] &gt;=Posts5[[#This Row],[Campaign Start Date]], Posts5[[#This Row],[Date]]&lt;= Posts5[[#This Row],[Campaign end date]]), "During","Before")</f>
        <v>Before</v>
      </c>
    </row>
    <row r="78" spans="1:17" x14ac:dyDescent="0.3">
      <c r="A78" s="10" t="s">
        <v>98</v>
      </c>
      <c r="B78" s="10" t="s">
        <v>8</v>
      </c>
      <c r="C78" s="11">
        <v>45533</v>
      </c>
      <c r="D78" s="10" t="s">
        <v>13</v>
      </c>
      <c r="E78" s="10" t="s">
        <v>49</v>
      </c>
      <c r="F78" s="10">
        <v>4276</v>
      </c>
      <c r="G78" s="10">
        <v>227</v>
      </c>
      <c r="H78" s="10">
        <v>223</v>
      </c>
      <c r="I78" s="10">
        <v>43443</v>
      </c>
      <c r="J78" s="10">
        <v>41005</v>
      </c>
      <c r="K78" s="10">
        <v>191</v>
      </c>
      <c r="L78" s="10" t="s">
        <v>10</v>
      </c>
      <c r="M78" s="10" t="s">
        <v>34</v>
      </c>
      <c r="N78" s="10">
        <f>(Posts5[[#This Row],[Likes]]+Posts5[[#This Row],[Shares]]+Posts5[[#This Row],[Comments]])/Posts5[[#This Row],[Impressions]]</f>
        <v>0.1087862256289851</v>
      </c>
      <c r="O78" s="11">
        <f>_xlfn.XLOOKUP(Posts5[[#This Row],[Campaign_Name]],'[1]Campaign Metadata'!A:A,'[1]Campaign Metadata'!B:B)</f>
        <v>45667</v>
      </c>
      <c r="P78" s="10">
        <f>_xlfn.XLOOKUP(Posts5[[#This Row],[Campaign_Name]],'[1]Campaign Metadata'!A:A,'[1]Campaign Metadata'!C:C)</f>
        <v>45698</v>
      </c>
      <c r="Q78" s="10" t="str">
        <f>IF(AND(Posts5[[#This Row],[Date]] &gt;=Posts5[[#This Row],[Campaign Start Date]], Posts5[[#This Row],[Date]]&lt;= Posts5[[#This Row],[Campaign end date]]), "During","Before")</f>
        <v>Before</v>
      </c>
    </row>
    <row r="79" spans="1:17" x14ac:dyDescent="0.3">
      <c r="A79" s="10" t="s">
        <v>98</v>
      </c>
      <c r="B79" s="10" t="s">
        <v>8</v>
      </c>
      <c r="C79" s="11">
        <v>45533</v>
      </c>
      <c r="D79" s="10" t="s">
        <v>13</v>
      </c>
      <c r="E79" s="10" t="s">
        <v>49</v>
      </c>
      <c r="F79" s="10">
        <v>4276</v>
      </c>
      <c r="G79" s="10">
        <v>227</v>
      </c>
      <c r="H79" s="10">
        <v>223</v>
      </c>
      <c r="I79" s="10">
        <v>43443</v>
      </c>
      <c r="J79" s="10">
        <v>41005</v>
      </c>
      <c r="K79" s="10">
        <v>191</v>
      </c>
      <c r="L79" s="10" t="s">
        <v>14</v>
      </c>
      <c r="M79" s="10" t="s">
        <v>34</v>
      </c>
      <c r="N79" s="10">
        <f>(Posts5[[#This Row],[Likes]]+Posts5[[#This Row],[Shares]]+Posts5[[#This Row],[Comments]])/Posts5[[#This Row],[Impressions]]</f>
        <v>0.1087862256289851</v>
      </c>
      <c r="O79" s="11">
        <f>_xlfn.XLOOKUP(Posts5[[#This Row],[Campaign_Name]],'[1]Campaign Metadata'!A:A,'[1]Campaign Metadata'!B:B)</f>
        <v>45667</v>
      </c>
      <c r="P79" s="10">
        <f>_xlfn.XLOOKUP(Posts5[[#This Row],[Campaign_Name]],'[1]Campaign Metadata'!A:A,'[1]Campaign Metadata'!C:C)</f>
        <v>45698</v>
      </c>
      <c r="Q79" s="10" t="str">
        <f>IF(AND(Posts5[[#This Row],[Date]] &gt;=Posts5[[#This Row],[Campaign Start Date]], Posts5[[#This Row],[Date]]&lt;= Posts5[[#This Row],[Campaign end date]]), "During","Before")</f>
        <v>Before</v>
      </c>
    </row>
    <row r="80" spans="1:17" x14ac:dyDescent="0.3">
      <c r="A80" s="10" t="s">
        <v>99</v>
      </c>
      <c r="B80" s="10" t="s">
        <v>8</v>
      </c>
      <c r="C80" s="11">
        <v>45769</v>
      </c>
      <c r="D80" s="10" t="s">
        <v>15</v>
      </c>
      <c r="E80" s="10" t="s">
        <v>32</v>
      </c>
      <c r="F80" s="10">
        <v>4401</v>
      </c>
      <c r="G80" s="10">
        <v>421</v>
      </c>
      <c r="H80" s="10">
        <v>216</v>
      </c>
      <c r="I80" s="10">
        <v>24890</v>
      </c>
      <c r="J80" s="10">
        <v>54361</v>
      </c>
      <c r="K80" s="10">
        <v>148</v>
      </c>
      <c r="L80" s="10" t="s">
        <v>5</v>
      </c>
      <c r="M80" s="10" t="s">
        <v>34</v>
      </c>
      <c r="N80" s="10">
        <f>(Posts5[[#This Row],[Likes]]+Posts5[[#This Row],[Shares]]+Posts5[[#This Row],[Comments]])/Posts5[[#This Row],[Impressions]]</f>
        <v>0.20241060666934513</v>
      </c>
      <c r="O80" s="11">
        <f>_xlfn.XLOOKUP(Posts5[[#This Row],[Campaign_Name]],'[1]Campaign Metadata'!A:A,'[1]Campaign Metadata'!B:B)</f>
        <v>45667</v>
      </c>
      <c r="P80" s="10">
        <f>_xlfn.XLOOKUP(Posts5[[#This Row],[Campaign_Name]],'[1]Campaign Metadata'!A:A,'[1]Campaign Metadata'!C:C)</f>
        <v>45698</v>
      </c>
      <c r="Q80" s="10" t="str">
        <f>IF(AND(Posts5[[#This Row],[Date]] &gt;=Posts5[[#This Row],[Campaign Start Date]], Posts5[[#This Row],[Date]]&lt;= Posts5[[#This Row],[Campaign end date]]), "During","Before")</f>
        <v>Before</v>
      </c>
    </row>
    <row r="81" spans="1:17" x14ac:dyDescent="0.3">
      <c r="A81" s="10" t="s">
        <v>100</v>
      </c>
      <c r="B81" s="10" t="s">
        <v>9</v>
      </c>
      <c r="C81" s="11">
        <v>45425</v>
      </c>
      <c r="D81" s="10" t="s">
        <v>11</v>
      </c>
      <c r="E81" s="10" t="s">
        <v>36</v>
      </c>
      <c r="F81" s="10">
        <v>4161</v>
      </c>
      <c r="G81" s="10">
        <v>481</v>
      </c>
      <c r="H81" s="10">
        <v>61</v>
      </c>
      <c r="I81" s="10">
        <v>45884</v>
      </c>
      <c r="J81" s="10">
        <v>48955</v>
      </c>
      <c r="K81" s="10">
        <v>215</v>
      </c>
      <c r="L81" s="10" t="s">
        <v>10</v>
      </c>
      <c r="M81" s="10" t="s">
        <v>68</v>
      </c>
      <c r="N81" s="10">
        <f>(Posts5[[#This Row],[Likes]]+Posts5[[#This Row],[Shares]]+Posts5[[#This Row],[Comments]])/Posts5[[#This Row],[Impressions]]</f>
        <v>0.10249760265016128</v>
      </c>
      <c r="O81" s="11">
        <f>_xlfn.XLOOKUP(Posts5[[#This Row],[Campaign_Name]],'[1]Campaign Metadata'!A:A,'[1]Campaign Metadata'!B:B)</f>
        <v>45458</v>
      </c>
      <c r="P81" s="10">
        <f>_xlfn.XLOOKUP(Posts5[[#This Row],[Campaign_Name]],'[1]Campaign Metadata'!A:A,'[1]Campaign Metadata'!C:C)</f>
        <v>45488</v>
      </c>
      <c r="Q81" s="10" t="str">
        <f>IF(AND(Posts5[[#This Row],[Date]] &gt;=Posts5[[#This Row],[Campaign Start Date]], Posts5[[#This Row],[Date]]&lt;= Posts5[[#This Row],[Campaign end date]]), "During","Before")</f>
        <v>Before</v>
      </c>
    </row>
    <row r="82" spans="1:17" x14ac:dyDescent="0.3">
      <c r="A82" s="10" t="s">
        <v>100</v>
      </c>
      <c r="B82" s="10" t="s">
        <v>9</v>
      </c>
      <c r="C82" s="11">
        <v>45425</v>
      </c>
      <c r="D82" s="10" t="s">
        <v>11</v>
      </c>
      <c r="E82" s="10" t="s">
        <v>36</v>
      </c>
      <c r="F82" s="10">
        <v>4161</v>
      </c>
      <c r="G82" s="10">
        <v>481</v>
      </c>
      <c r="H82" s="10">
        <v>61</v>
      </c>
      <c r="I82" s="10">
        <v>45884</v>
      </c>
      <c r="J82" s="10">
        <v>48955</v>
      </c>
      <c r="K82" s="10">
        <v>215</v>
      </c>
      <c r="L82" s="10" t="s">
        <v>12</v>
      </c>
      <c r="M82" s="10" t="s">
        <v>68</v>
      </c>
      <c r="N82" s="10">
        <f>(Posts5[[#This Row],[Likes]]+Posts5[[#This Row],[Shares]]+Posts5[[#This Row],[Comments]])/Posts5[[#This Row],[Impressions]]</f>
        <v>0.10249760265016128</v>
      </c>
      <c r="O82" s="11">
        <f>_xlfn.XLOOKUP(Posts5[[#This Row],[Campaign_Name]],'[1]Campaign Metadata'!A:A,'[1]Campaign Metadata'!B:B)</f>
        <v>45458</v>
      </c>
      <c r="P82" s="10">
        <f>_xlfn.XLOOKUP(Posts5[[#This Row],[Campaign_Name]],'[1]Campaign Metadata'!A:A,'[1]Campaign Metadata'!C:C)</f>
        <v>45488</v>
      </c>
      <c r="Q82" s="10" t="str">
        <f>IF(AND(Posts5[[#This Row],[Date]] &gt;=Posts5[[#This Row],[Campaign Start Date]], Posts5[[#This Row],[Date]]&lt;= Posts5[[#This Row],[Campaign end date]]), "During","Before")</f>
        <v>Before</v>
      </c>
    </row>
    <row r="83" spans="1:17" x14ac:dyDescent="0.3">
      <c r="A83" s="10" t="s">
        <v>101</v>
      </c>
      <c r="B83" s="10" t="s">
        <v>8</v>
      </c>
      <c r="C83" s="11">
        <v>45539</v>
      </c>
      <c r="D83" s="10" t="s">
        <v>13</v>
      </c>
      <c r="E83" s="10" t="s">
        <v>39</v>
      </c>
      <c r="F83" s="10">
        <v>2613</v>
      </c>
      <c r="G83" s="10">
        <v>455</v>
      </c>
      <c r="H83" s="10">
        <v>228</v>
      </c>
      <c r="I83" s="10">
        <v>21645</v>
      </c>
      <c r="J83" s="10">
        <v>61334</v>
      </c>
      <c r="K83" s="10">
        <v>261</v>
      </c>
      <c r="L83" s="10" t="s">
        <v>10</v>
      </c>
      <c r="M83" s="10" t="s">
        <v>34</v>
      </c>
      <c r="N83" s="10">
        <f>(Posts5[[#This Row],[Likes]]+Posts5[[#This Row],[Shares]]+Posts5[[#This Row],[Comments]])/Posts5[[#This Row],[Impressions]]</f>
        <v>0.15227535227535227</v>
      </c>
      <c r="O83" s="11">
        <f>_xlfn.XLOOKUP(Posts5[[#This Row],[Campaign_Name]],'[1]Campaign Metadata'!A:A,'[1]Campaign Metadata'!B:B)</f>
        <v>45667</v>
      </c>
      <c r="P83" s="10">
        <f>_xlfn.XLOOKUP(Posts5[[#This Row],[Campaign_Name]],'[1]Campaign Metadata'!A:A,'[1]Campaign Metadata'!C:C)</f>
        <v>45698</v>
      </c>
      <c r="Q83" s="10" t="str">
        <f>IF(AND(Posts5[[#This Row],[Date]] &gt;=Posts5[[#This Row],[Campaign Start Date]], Posts5[[#This Row],[Date]]&lt;= Posts5[[#This Row],[Campaign end date]]), "During","Before")</f>
        <v>Before</v>
      </c>
    </row>
    <row r="84" spans="1:17" x14ac:dyDescent="0.3">
      <c r="A84" s="10" t="s">
        <v>101</v>
      </c>
      <c r="B84" s="10" t="s">
        <v>8</v>
      </c>
      <c r="C84" s="11">
        <v>45539</v>
      </c>
      <c r="D84" s="10" t="s">
        <v>13</v>
      </c>
      <c r="E84" s="10" t="s">
        <v>39</v>
      </c>
      <c r="F84" s="10">
        <v>2613</v>
      </c>
      <c r="G84" s="10">
        <v>455</v>
      </c>
      <c r="H84" s="10">
        <v>228</v>
      </c>
      <c r="I84" s="10">
        <v>21645</v>
      </c>
      <c r="J84" s="10">
        <v>61334</v>
      </c>
      <c r="K84" s="10">
        <v>261</v>
      </c>
      <c r="L84" s="10" t="s">
        <v>14</v>
      </c>
      <c r="M84" s="10" t="s">
        <v>34</v>
      </c>
      <c r="N84" s="10">
        <f>(Posts5[[#This Row],[Likes]]+Posts5[[#This Row],[Shares]]+Posts5[[#This Row],[Comments]])/Posts5[[#This Row],[Impressions]]</f>
        <v>0.15227535227535227</v>
      </c>
      <c r="O84" s="11">
        <f>_xlfn.XLOOKUP(Posts5[[#This Row],[Campaign_Name]],'[1]Campaign Metadata'!A:A,'[1]Campaign Metadata'!B:B)</f>
        <v>45667</v>
      </c>
      <c r="P84" s="10">
        <f>_xlfn.XLOOKUP(Posts5[[#This Row],[Campaign_Name]],'[1]Campaign Metadata'!A:A,'[1]Campaign Metadata'!C:C)</f>
        <v>45698</v>
      </c>
      <c r="Q84" s="10" t="str">
        <f>IF(AND(Posts5[[#This Row],[Date]] &gt;=Posts5[[#This Row],[Campaign Start Date]], Posts5[[#This Row],[Date]]&lt;= Posts5[[#This Row],[Campaign end date]]), "During","Before")</f>
        <v>Before</v>
      </c>
    </row>
    <row r="85" spans="1:17" x14ac:dyDescent="0.3">
      <c r="A85" s="10" t="s">
        <v>102</v>
      </c>
      <c r="B85" s="10" t="s">
        <v>8</v>
      </c>
      <c r="C85" s="11">
        <v>45516</v>
      </c>
      <c r="D85" s="10" t="s">
        <v>13</v>
      </c>
      <c r="E85" s="10" t="s">
        <v>47</v>
      </c>
      <c r="F85" s="10">
        <v>2842</v>
      </c>
      <c r="G85" s="10">
        <v>213</v>
      </c>
      <c r="H85" s="10">
        <v>331</v>
      </c>
      <c r="I85" s="10">
        <v>57660</v>
      </c>
      <c r="J85" s="10">
        <v>68606</v>
      </c>
      <c r="K85" s="10">
        <v>87</v>
      </c>
      <c r="L85" s="10" t="s">
        <v>14</v>
      </c>
      <c r="M85" s="10" t="s">
        <v>34</v>
      </c>
      <c r="N85" s="10">
        <f>(Posts5[[#This Row],[Likes]]+Posts5[[#This Row],[Shares]]+Posts5[[#This Row],[Comments]])/Posts5[[#This Row],[Impressions]]</f>
        <v>5.8723551855705859E-2</v>
      </c>
      <c r="O85" s="11">
        <f>_xlfn.XLOOKUP(Posts5[[#This Row],[Campaign_Name]],'[1]Campaign Metadata'!A:A,'[1]Campaign Metadata'!B:B)</f>
        <v>45667</v>
      </c>
      <c r="P85" s="10">
        <f>_xlfn.XLOOKUP(Posts5[[#This Row],[Campaign_Name]],'[1]Campaign Metadata'!A:A,'[1]Campaign Metadata'!C:C)</f>
        <v>45698</v>
      </c>
      <c r="Q85" s="10" t="str">
        <f>IF(AND(Posts5[[#This Row],[Date]] &gt;=Posts5[[#This Row],[Campaign Start Date]], Posts5[[#This Row],[Date]]&lt;= Posts5[[#This Row],[Campaign end date]]), "During","Before")</f>
        <v>Before</v>
      </c>
    </row>
    <row r="86" spans="1:17" x14ac:dyDescent="0.3">
      <c r="A86" s="10" t="s">
        <v>102</v>
      </c>
      <c r="B86" s="10" t="s">
        <v>8</v>
      </c>
      <c r="C86" s="11">
        <v>45516</v>
      </c>
      <c r="D86" s="10" t="s">
        <v>13</v>
      </c>
      <c r="E86" s="10" t="s">
        <v>47</v>
      </c>
      <c r="F86" s="10">
        <v>2842</v>
      </c>
      <c r="G86" s="10">
        <v>213</v>
      </c>
      <c r="H86" s="10">
        <v>331</v>
      </c>
      <c r="I86" s="10">
        <v>57660</v>
      </c>
      <c r="J86" s="10">
        <v>68606</v>
      </c>
      <c r="K86" s="10">
        <v>87</v>
      </c>
      <c r="L86" s="10" t="s">
        <v>5</v>
      </c>
      <c r="M86" s="10" t="s">
        <v>34</v>
      </c>
      <c r="N86" s="10">
        <f>(Posts5[[#This Row],[Likes]]+Posts5[[#This Row],[Shares]]+Posts5[[#This Row],[Comments]])/Posts5[[#This Row],[Impressions]]</f>
        <v>5.8723551855705859E-2</v>
      </c>
      <c r="O86" s="11">
        <f>_xlfn.XLOOKUP(Posts5[[#This Row],[Campaign_Name]],'[1]Campaign Metadata'!A:A,'[1]Campaign Metadata'!B:B)</f>
        <v>45667</v>
      </c>
      <c r="P86" s="10">
        <f>_xlfn.XLOOKUP(Posts5[[#This Row],[Campaign_Name]],'[1]Campaign Metadata'!A:A,'[1]Campaign Metadata'!C:C)</f>
        <v>45698</v>
      </c>
      <c r="Q86" s="10" t="str">
        <f>IF(AND(Posts5[[#This Row],[Date]] &gt;=Posts5[[#This Row],[Campaign Start Date]], Posts5[[#This Row],[Date]]&lt;= Posts5[[#This Row],[Campaign end date]]), "During","Before")</f>
        <v>Before</v>
      </c>
    </row>
    <row r="87" spans="1:17" x14ac:dyDescent="0.3">
      <c r="A87" s="10" t="s">
        <v>103</v>
      </c>
      <c r="B87" s="10" t="s">
        <v>7</v>
      </c>
      <c r="C87" s="11">
        <v>45722</v>
      </c>
      <c r="D87" s="10" t="s">
        <v>15</v>
      </c>
      <c r="E87" s="10" t="s">
        <v>49</v>
      </c>
      <c r="F87" s="10">
        <v>4851</v>
      </c>
      <c r="G87" s="10">
        <v>460</v>
      </c>
      <c r="H87" s="10">
        <v>212</v>
      </c>
      <c r="I87" s="10">
        <v>58075</v>
      </c>
      <c r="J87" s="10">
        <v>59574</v>
      </c>
      <c r="K87" s="10">
        <v>239</v>
      </c>
      <c r="L87" s="10" t="s">
        <v>10</v>
      </c>
      <c r="M87" s="10" t="s">
        <v>37</v>
      </c>
      <c r="N87" s="10">
        <f>(Posts5[[#This Row],[Likes]]+Posts5[[#This Row],[Shares]]+Posts5[[#This Row],[Comments]])/Posts5[[#This Row],[Impressions]]</f>
        <v>9.5101162290142052E-2</v>
      </c>
      <c r="O87" s="11">
        <f>_xlfn.XLOOKUP(Posts5[[#This Row],[Campaign_Name]],'[1]Campaign Metadata'!A:A,'[1]Campaign Metadata'!B:B)</f>
        <v>45717</v>
      </c>
      <c r="P87" s="10">
        <f>_xlfn.XLOOKUP(Posts5[[#This Row],[Campaign_Name]],'[1]Campaign Metadata'!A:A,'[1]Campaign Metadata'!C:C)</f>
        <v>45747</v>
      </c>
      <c r="Q87" s="10" t="str">
        <f>IF(AND(Posts5[[#This Row],[Date]] &gt;=Posts5[[#This Row],[Campaign Start Date]], Posts5[[#This Row],[Date]]&lt;= Posts5[[#This Row],[Campaign end date]]), "During","Before")</f>
        <v>During</v>
      </c>
    </row>
    <row r="88" spans="1:17" x14ac:dyDescent="0.3">
      <c r="A88" s="10" t="s">
        <v>104</v>
      </c>
      <c r="B88" s="10" t="s">
        <v>8</v>
      </c>
      <c r="C88" s="11">
        <v>45420</v>
      </c>
      <c r="D88" s="10" t="s">
        <v>15</v>
      </c>
      <c r="E88" s="10" t="s">
        <v>36</v>
      </c>
      <c r="F88" s="10">
        <v>1828</v>
      </c>
      <c r="G88" s="10">
        <v>450</v>
      </c>
      <c r="H88" s="10">
        <v>214</v>
      </c>
      <c r="I88" s="10">
        <v>52115</v>
      </c>
      <c r="J88" s="10">
        <v>19166</v>
      </c>
      <c r="K88" s="10">
        <v>190</v>
      </c>
      <c r="L88" s="10" t="s">
        <v>5</v>
      </c>
      <c r="M88" s="10" t="s">
        <v>34</v>
      </c>
      <c r="N88" s="10">
        <f>(Posts5[[#This Row],[Likes]]+Posts5[[#This Row],[Shares]]+Posts5[[#This Row],[Comments]])/Posts5[[#This Row],[Impressions]]</f>
        <v>4.781732706514439E-2</v>
      </c>
      <c r="O88" s="11">
        <f>_xlfn.XLOOKUP(Posts5[[#This Row],[Campaign_Name]],'[1]Campaign Metadata'!A:A,'[1]Campaign Metadata'!B:B)</f>
        <v>45667</v>
      </c>
      <c r="P88" s="10">
        <f>_xlfn.XLOOKUP(Posts5[[#This Row],[Campaign_Name]],'[1]Campaign Metadata'!A:A,'[1]Campaign Metadata'!C:C)</f>
        <v>45698</v>
      </c>
      <c r="Q88" s="10" t="str">
        <f>IF(AND(Posts5[[#This Row],[Date]] &gt;=Posts5[[#This Row],[Campaign Start Date]], Posts5[[#This Row],[Date]]&lt;= Posts5[[#This Row],[Campaign end date]]), "During","Before")</f>
        <v>Before</v>
      </c>
    </row>
    <row r="89" spans="1:17" x14ac:dyDescent="0.3">
      <c r="A89" s="10" t="s">
        <v>105</v>
      </c>
      <c r="B89" s="10" t="s">
        <v>7</v>
      </c>
      <c r="C89" s="11">
        <v>45707</v>
      </c>
      <c r="D89" s="10" t="s">
        <v>13</v>
      </c>
      <c r="E89" s="10" t="s">
        <v>59</v>
      </c>
      <c r="F89" s="10">
        <v>2422</v>
      </c>
      <c r="G89" s="10">
        <v>455</v>
      </c>
      <c r="H89" s="10">
        <v>376</v>
      </c>
      <c r="I89" s="10">
        <v>23428</v>
      </c>
      <c r="J89" s="10">
        <v>46775</v>
      </c>
      <c r="K89" s="10">
        <v>259</v>
      </c>
      <c r="L89" s="10" t="s">
        <v>5</v>
      </c>
      <c r="M89" s="10" t="s">
        <v>65</v>
      </c>
      <c r="N89" s="10">
        <f>(Posts5[[#This Row],[Likes]]+Posts5[[#This Row],[Shares]]+Posts5[[#This Row],[Comments]])/Posts5[[#This Row],[Impressions]]</f>
        <v>0.13885094758408742</v>
      </c>
      <c r="O89" s="11">
        <f>_xlfn.XLOOKUP(Posts5[[#This Row],[Campaign_Name]],'[1]Campaign Metadata'!A:A,'[1]Campaign Metadata'!B:B)</f>
        <v>45627</v>
      </c>
      <c r="P89" s="10">
        <f>_xlfn.XLOOKUP(Posts5[[#This Row],[Campaign_Name]],'[1]Campaign Metadata'!A:A,'[1]Campaign Metadata'!C:C)</f>
        <v>45657</v>
      </c>
      <c r="Q89" s="10" t="str">
        <f>IF(AND(Posts5[[#This Row],[Date]] &gt;=Posts5[[#This Row],[Campaign Start Date]], Posts5[[#This Row],[Date]]&lt;= Posts5[[#This Row],[Campaign end date]]), "During","Before")</f>
        <v>Before</v>
      </c>
    </row>
    <row r="90" spans="1:17" x14ac:dyDescent="0.3">
      <c r="A90" s="10" t="s">
        <v>106</v>
      </c>
      <c r="B90" s="10" t="s">
        <v>7</v>
      </c>
      <c r="C90" s="11">
        <v>45299</v>
      </c>
      <c r="D90" s="10" t="s">
        <v>15</v>
      </c>
      <c r="E90" s="10" t="s">
        <v>53</v>
      </c>
      <c r="F90" s="10">
        <v>2683</v>
      </c>
      <c r="G90" s="10">
        <v>405</v>
      </c>
      <c r="H90" s="10">
        <v>223</v>
      </c>
      <c r="I90" s="10">
        <v>31233</v>
      </c>
      <c r="J90" s="10">
        <v>58106</v>
      </c>
      <c r="K90" s="10">
        <v>291</v>
      </c>
      <c r="L90" s="10" t="s">
        <v>10</v>
      </c>
      <c r="M90" s="10" t="s">
        <v>37</v>
      </c>
      <c r="N90" s="10">
        <f>(Posts5[[#This Row],[Likes]]+Posts5[[#This Row],[Shares]]+Posts5[[#This Row],[Comments]])/Posts5[[#This Row],[Impressions]]</f>
        <v>0.10600966926007749</v>
      </c>
      <c r="O90" s="11">
        <f>_xlfn.XLOOKUP(Posts5[[#This Row],[Campaign_Name]],'[1]Campaign Metadata'!A:A,'[1]Campaign Metadata'!B:B)</f>
        <v>45717</v>
      </c>
      <c r="P90" s="10">
        <f>_xlfn.XLOOKUP(Posts5[[#This Row],[Campaign_Name]],'[1]Campaign Metadata'!A:A,'[1]Campaign Metadata'!C:C)</f>
        <v>45747</v>
      </c>
      <c r="Q90" s="10" t="str">
        <f>IF(AND(Posts5[[#This Row],[Date]] &gt;=Posts5[[#This Row],[Campaign Start Date]], Posts5[[#This Row],[Date]]&lt;= Posts5[[#This Row],[Campaign end date]]), "During","Before")</f>
        <v>Before</v>
      </c>
    </row>
    <row r="91" spans="1:17" x14ac:dyDescent="0.3">
      <c r="A91" s="10" t="s">
        <v>107</v>
      </c>
      <c r="B91" s="10" t="s">
        <v>9</v>
      </c>
      <c r="C91" s="11">
        <v>45490</v>
      </c>
      <c r="D91" s="10" t="s">
        <v>15</v>
      </c>
      <c r="E91" s="10" t="s">
        <v>53</v>
      </c>
      <c r="F91" s="10">
        <v>3135</v>
      </c>
      <c r="G91" s="10">
        <v>110</v>
      </c>
      <c r="H91" s="10">
        <v>215</v>
      </c>
      <c r="I91" s="10">
        <v>39192</v>
      </c>
      <c r="J91" s="10">
        <v>24744</v>
      </c>
      <c r="K91" s="10">
        <v>177</v>
      </c>
      <c r="L91" s="10" t="s">
        <v>10</v>
      </c>
      <c r="M91" s="10" t="s">
        <v>37</v>
      </c>
      <c r="N91" s="10">
        <f>(Posts5[[#This Row],[Likes]]+Posts5[[#This Row],[Shares]]+Posts5[[#This Row],[Comments]])/Posts5[[#This Row],[Impressions]]</f>
        <v>8.8283323127168814E-2</v>
      </c>
      <c r="O91" s="11">
        <f>_xlfn.XLOOKUP(Posts5[[#This Row],[Campaign_Name]],'[1]Campaign Metadata'!A:A,'[1]Campaign Metadata'!B:B)</f>
        <v>45717</v>
      </c>
      <c r="P91" s="10">
        <f>_xlfn.XLOOKUP(Posts5[[#This Row],[Campaign_Name]],'[1]Campaign Metadata'!A:A,'[1]Campaign Metadata'!C:C)</f>
        <v>45747</v>
      </c>
      <c r="Q91" s="10" t="str">
        <f>IF(AND(Posts5[[#This Row],[Date]] &gt;=Posts5[[#This Row],[Campaign Start Date]], Posts5[[#This Row],[Date]]&lt;= Posts5[[#This Row],[Campaign end date]]), "During","Before")</f>
        <v>Before</v>
      </c>
    </row>
    <row r="92" spans="1:17" x14ac:dyDescent="0.3">
      <c r="A92" s="10" t="s">
        <v>107</v>
      </c>
      <c r="B92" s="10" t="s">
        <v>9</v>
      </c>
      <c r="C92" s="11">
        <v>45490</v>
      </c>
      <c r="D92" s="10" t="s">
        <v>15</v>
      </c>
      <c r="E92" s="10" t="s">
        <v>53</v>
      </c>
      <c r="F92" s="10">
        <v>3135</v>
      </c>
      <c r="G92" s="10">
        <v>110</v>
      </c>
      <c r="H92" s="10">
        <v>215</v>
      </c>
      <c r="I92" s="10">
        <v>39192</v>
      </c>
      <c r="J92" s="10">
        <v>24744</v>
      </c>
      <c r="K92" s="10">
        <v>177</v>
      </c>
      <c r="L92" s="10" t="s">
        <v>16</v>
      </c>
      <c r="M92" s="10" t="s">
        <v>37</v>
      </c>
      <c r="N92" s="10">
        <f>(Posts5[[#This Row],[Likes]]+Posts5[[#This Row],[Shares]]+Posts5[[#This Row],[Comments]])/Posts5[[#This Row],[Impressions]]</f>
        <v>8.8283323127168814E-2</v>
      </c>
      <c r="O92" s="11">
        <f>_xlfn.XLOOKUP(Posts5[[#This Row],[Campaign_Name]],'[1]Campaign Metadata'!A:A,'[1]Campaign Metadata'!B:B)</f>
        <v>45717</v>
      </c>
      <c r="P92" s="10">
        <f>_xlfn.XLOOKUP(Posts5[[#This Row],[Campaign_Name]],'[1]Campaign Metadata'!A:A,'[1]Campaign Metadata'!C:C)</f>
        <v>45747</v>
      </c>
      <c r="Q92" s="10" t="str">
        <f>IF(AND(Posts5[[#This Row],[Date]] &gt;=Posts5[[#This Row],[Campaign Start Date]], Posts5[[#This Row],[Date]]&lt;= Posts5[[#This Row],[Campaign end date]]), "During","Before")</f>
        <v>Before</v>
      </c>
    </row>
    <row r="93" spans="1:17" x14ac:dyDescent="0.3">
      <c r="A93" s="10" t="s">
        <v>108</v>
      </c>
      <c r="B93" s="10" t="s">
        <v>9</v>
      </c>
      <c r="C93" s="11">
        <v>45514</v>
      </c>
      <c r="D93" s="10" t="s">
        <v>15</v>
      </c>
      <c r="E93" s="10" t="s">
        <v>59</v>
      </c>
      <c r="F93" s="10">
        <v>1105</v>
      </c>
      <c r="G93" s="10">
        <v>181</v>
      </c>
      <c r="H93" s="10">
        <v>55</v>
      </c>
      <c r="I93" s="10">
        <v>53581</v>
      </c>
      <c r="J93" s="10">
        <v>74048</v>
      </c>
      <c r="K93" s="10">
        <v>220</v>
      </c>
      <c r="L93" s="10" t="s">
        <v>10</v>
      </c>
      <c r="M93" s="10" t="s">
        <v>37</v>
      </c>
      <c r="N93" s="10">
        <f>(Posts5[[#This Row],[Likes]]+Posts5[[#This Row],[Shares]]+Posts5[[#This Row],[Comments]])/Posts5[[#This Row],[Impressions]]</f>
        <v>2.50275284149232E-2</v>
      </c>
      <c r="O93" s="11">
        <f>_xlfn.XLOOKUP(Posts5[[#This Row],[Campaign_Name]],'[1]Campaign Metadata'!A:A,'[1]Campaign Metadata'!B:B)</f>
        <v>45717</v>
      </c>
      <c r="P93" s="10">
        <f>_xlfn.XLOOKUP(Posts5[[#This Row],[Campaign_Name]],'[1]Campaign Metadata'!A:A,'[1]Campaign Metadata'!C:C)</f>
        <v>45747</v>
      </c>
      <c r="Q93" s="10" t="str">
        <f>IF(AND(Posts5[[#This Row],[Date]] &gt;=Posts5[[#This Row],[Campaign Start Date]], Posts5[[#This Row],[Date]]&lt;= Posts5[[#This Row],[Campaign end date]]), "During","Before")</f>
        <v>Before</v>
      </c>
    </row>
    <row r="94" spans="1:17" x14ac:dyDescent="0.3">
      <c r="A94" s="10" t="s">
        <v>108</v>
      </c>
      <c r="B94" s="10" t="s">
        <v>9</v>
      </c>
      <c r="C94" s="11">
        <v>45514</v>
      </c>
      <c r="D94" s="10" t="s">
        <v>15</v>
      </c>
      <c r="E94" s="10" t="s">
        <v>59</v>
      </c>
      <c r="F94" s="10">
        <v>1105</v>
      </c>
      <c r="G94" s="10">
        <v>181</v>
      </c>
      <c r="H94" s="10">
        <v>55</v>
      </c>
      <c r="I94" s="10">
        <v>53581</v>
      </c>
      <c r="J94" s="10">
        <v>74048</v>
      </c>
      <c r="K94" s="10">
        <v>220</v>
      </c>
      <c r="L94" s="10" t="s">
        <v>16</v>
      </c>
      <c r="M94" s="10" t="s">
        <v>37</v>
      </c>
      <c r="N94" s="10">
        <f>(Posts5[[#This Row],[Likes]]+Posts5[[#This Row],[Shares]]+Posts5[[#This Row],[Comments]])/Posts5[[#This Row],[Impressions]]</f>
        <v>2.50275284149232E-2</v>
      </c>
      <c r="O94" s="11">
        <f>_xlfn.XLOOKUP(Posts5[[#This Row],[Campaign_Name]],'[1]Campaign Metadata'!A:A,'[1]Campaign Metadata'!B:B)</f>
        <v>45717</v>
      </c>
      <c r="P94" s="10">
        <f>_xlfn.XLOOKUP(Posts5[[#This Row],[Campaign_Name]],'[1]Campaign Metadata'!A:A,'[1]Campaign Metadata'!C:C)</f>
        <v>45747</v>
      </c>
      <c r="Q94" s="10" t="str">
        <f>IF(AND(Posts5[[#This Row],[Date]] &gt;=Posts5[[#This Row],[Campaign Start Date]], Posts5[[#This Row],[Date]]&lt;= Posts5[[#This Row],[Campaign end date]]), "During","Before")</f>
        <v>Before</v>
      </c>
    </row>
    <row r="95" spans="1:17" x14ac:dyDescent="0.3">
      <c r="A95" s="10" t="s">
        <v>109</v>
      </c>
      <c r="B95" s="10" t="s">
        <v>9</v>
      </c>
      <c r="C95" s="11">
        <v>45398</v>
      </c>
      <c r="D95" s="10" t="s">
        <v>15</v>
      </c>
      <c r="E95" s="10" t="s">
        <v>32</v>
      </c>
      <c r="F95" s="10">
        <v>4674</v>
      </c>
      <c r="G95" s="10">
        <v>326</v>
      </c>
      <c r="H95" s="10">
        <v>62</v>
      </c>
      <c r="I95" s="10">
        <v>45503</v>
      </c>
      <c r="J95" s="10">
        <v>46814</v>
      </c>
      <c r="K95" s="10">
        <v>116</v>
      </c>
      <c r="L95" s="10" t="s">
        <v>10</v>
      </c>
      <c r="M95" s="10" t="s">
        <v>37</v>
      </c>
      <c r="N95" s="10">
        <f>(Posts5[[#This Row],[Likes]]+Posts5[[#This Row],[Shares]]+Posts5[[#This Row],[Comments]])/Posts5[[#This Row],[Impressions]]</f>
        <v>0.11124541239039185</v>
      </c>
      <c r="O95" s="11">
        <f>_xlfn.XLOOKUP(Posts5[[#This Row],[Campaign_Name]],'[1]Campaign Metadata'!A:A,'[1]Campaign Metadata'!B:B)</f>
        <v>45717</v>
      </c>
      <c r="P95" s="10">
        <f>_xlfn.XLOOKUP(Posts5[[#This Row],[Campaign_Name]],'[1]Campaign Metadata'!A:A,'[1]Campaign Metadata'!C:C)</f>
        <v>45747</v>
      </c>
      <c r="Q95" s="10" t="str">
        <f>IF(AND(Posts5[[#This Row],[Date]] &gt;=Posts5[[#This Row],[Campaign Start Date]], Posts5[[#This Row],[Date]]&lt;= Posts5[[#This Row],[Campaign end date]]), "During","Before")</f>
        <v>Before</v>
      </c>
    </row>
    <row r="96" spans="1:17" x14ac:dyDescent="0.3">
      <c r="A96" s="10" t="s">
        <v>109</v>
      </c>
      <c r="B96" s="10" t="s">
        <v>9</v>
      </c>
      <c r="C96" s="11">
        <v>45398</v>
      </c>
      <c r="D96" s="10" t="s">
        <v>15</v>
      </c>
      <c r="E96" s="10" t="s">
        <v>32</v>
      </c>
      <c r="F96" s="10">
        <v>4674</v>
      </c>
      <c r="G96" s="10">
        <v>326</v>
      </c>
      <c r="H96" s="10">
        <v>62</v>
      </c>
      <c r="I96" s="10">
        <v>45503</v>
      </c>
      <c r="J96" s="10">
        <v>46814</v>
      </c>
      <c r="K96" s="10">
        <v>116</v>
      </c>
      <c r="L96" s="10" t="s">
        <v>16</v>
      </c>
      <c r="M96" s="10" t="s">
        <v>37</v>
      </c>
      <c r="N96" s="10">
        <f>(Posts5[[#This Row],[Likes]]+Posts5[[#This Row],[Shares]]+Posts5[[#This Row],[Comments]])/Posts5[[#This Row],[Impressions]]</f>
        <v>0.11124541239039185</v>
      </c>
      <c r="O96" s="11">
        <f>_xlfn.XLOOKUP(Posts5[[#This Row],[Campaign_Name]],'[1]Campaign Metadata'!A:A,'[1]Campaign Metadata'!B:B)</f>
        <v>45717</v>
      </c>
      <c r="P96" s="10">
        <f>_xlfn.XLOOKUP(Posts5[[#This Row],[Campaign_Name]],'[1]Campaign Metadata'!A:A,'[1]Campaign Metadata'!C:C)</f>
        <v>45747</v>
      </c>
      <c r="Q96" s="10" t="str">
        <f>IF(AND(Posts5[[#This Row],[Date]] &gt;=Posts5[[#This Row],[Campaign Start Date]], Posts5[[#This Row],[Date]]&lt;= Posts5[[#This Row],[Campaign end date]]), "During","Before")</f>
        <v>Before</v>
      </c>
    </row>
    <row r="97" spans="1:17" x14ac:dyDescent="0.3">
      <c r="A97" s="10" t="s">
        <v>110</v>
      </c>
      <c r="B97" s="10" t="s">
        <v>9</v>
      </c>
      <c r="C97" s="11">
        <v>45292</v>
      </c>
      <c r="D97" s="10" t="s">
        <v>11</v>
      </c>
      <c r="E97" s="10" t="s">
        <v>36</v>
      </c>
      <c r="F97" s="10">
        <v>3437</v>
      </c>
      <c r="G97" s="10">
        <v>129</v>
      </c>
      <c r="H97" s="10">
        <v>359</v>
      </c>
      <c r="I97" s="10">
        <v>44558</v>
      </c>
      <c r="J97" s="10">
        <v>30854</v>
      </c>
      <c r="K97" s="10">
        <v>171</v>
      </c>
      <c r="L97" s="10" t="s">
        <v>10</v>
      </c>
      <c r="M97" s="10" t="s">
        <v>68</v>
      </c>
      <c r="N97" s="10">
        <f>(Posts5[[#This Row],[Likes]]+Posts5[[#This Row],[Shares]]+Posts5[[#This Row],[Comments]])/Posts5[[#This Row],[Impressions]]</f>
        <v>8.8087436599488311E-2</v>
      </c>
      <c r="O97" s="11">
        <f>_xlfn.XLOOKUP(Posts5[[#This Row],[Campaign_Name]],'[1]Campaign Metadata'!A:A,'[1]Campaign Metadata'!B:B)</f>
        <v>45458</v>
      </c>
      <c r="P97" s="10">
        <f>_xlfn.XLOOKUP(Posts5[[#This Row],[Campaign_Name]],'[1]Campaign Metadata'!A:A,'[1]Campaign Metadata'!C:C)</f>
        <v>45488</v>
      </c>
      <c r="Q97" s="10" t="str">
        <f>IF(AND(Posts5[[#This Row],[Date]] &gt;=Posts5[[#This Row],[Campaign Start Date]], Posts5[[#This Row],[Date]]&lt;= Posts5[[#This Row],[Campaign end date]]), "During","Before")</f>
        <v>Before</v>
      </c>
    </row>
    <row r="98" spans="1:17" x14ac:dyDescent="0.3">
      <c r="A98" s="10" t="s">
        <v>110</v>
      </c>
      <c r="B98" s="10" t="s">
        <v>9</v>
      </c>
      <c r="C98" s="11">
        <v>45292</v>
      </c>
      <c r="D98" s="10" t="s">
        <v>11</v>
      </c>
      <c r="E98" s="10" t="s">
        <v>36</v>
      </c>
      <c r="F98" s="10">
        <v>3437</v>
      </c>
      <c r="G98" s="10">
        <v>129</v>
      </c>
      <c r="H98" s="10">
        <v>359</v>
      </c>
      <c r="I98" s="10">
        <v>44558</v>
      </c>
      <c r="J98" s="10">
        <v>30854</v>
      </c>
      <c r="K98" s="10">
        <v>171</v>
      </c>
      <c r="L98" s="10" t="s">
        <v>12</v>
      </c>
      <c r="M98" s="10" t="s">
        <v>68</v>
      </c>
      <c r="N98" s="10">
        <f>(Posts5[[#This Row],[Likes]]+Posts5[[#This Row],[Shares]]+Posts5[[#This Row],[Comments]])/Posts5[[#This Row],[Impressions]]</f>
        <v>8.8087436599488311E-2</v>
      </c>
      <c r="O98" s="11">
        <f>_xlfn.XLOOKUP(Posts5[[#This Row],[Campaign_Name]],'[1]Campaign Metadata'!A:A,'[1]Campaign Metadata'!B:B)</f>
        <v>45458</v>
      </c>
      <c r="P98" s="10">
        <f>_xlfn.XLOOKUP(Posts5[[#This Row],[Campaign_Name]],'[1]Campaign Metadata'!A:A,'[1]Campaign Metadata'!C:C)</f>
        <v>45488</v>
      </c>
      <c r="Q98" s="10" t="str">
        <f>IF(AND(Posts5[[#This Row],[Date]] &gt;=Posts5[[#This Row],[Campaign Start Date]], Posts5[[#This Row],[Date]]&lt;= Posts5[[#This Row],[Campaign end date]]), "During","Before")</f>
        <v>Before</v>
      </c>
    </row>
    <row r="99" spans="1:17" x14ac:dyDescent="0.3">
      <c r="A99" s="10" t="s">
        <v>111</v>
      </c>
      <c r="B99" s="10" t="s">
        <v>8</v>
      </c>
      <c r="C99" s="11">
        <v>45599</v>
      </c>
      <c r="D99" s="10" t="s">
        <v>13</v>
      </c>
      <c r="E99" s="10" t="s">
        <v>42</v>
      </c>
      <c r="F99" s="10">
        <v>1959</v>
      </c>
      <c r="G99" s="10">
        <v>316</v>
      </c>
      <c r="H99" s="10">
        <v>82</v>
      </c>
      <c r="I99" s="10">
        <v>54036</v>
      </c>
      <c r="J99" s="10">
        <v>69015</v>
      </c>
      <c r="K99" s="10">
        <v>182</v>
      </c>
      <c r="L99" s="10" t="s">
        <v>14</v>
      </c>
      <c r="M99" s="10" t="s">
        <v>34</v>
      </c>
      <c r="N99" s="10">
        <f>(Posts5[[#This Row],[Likes]]+Posts5[[#This Row],[Shares]]+Posts5[[#This Row],[Comments]])/Posts5[[#This Row],[Impressions]]</f>
        <v>4.3619068768968837E-2</v>
      </c>
      <c r="O99" s="11">
        <f>_xlfn.XLOOKUP(Posts5[[#This Row],[Campaign_Name]],'[1]Campaign Metadata'!A:A,'[1]Campaign Metadata'!B:B)</f>
        <v>45667</v>
      </c>
      <c r="P99" s="10">
        <f>_xlfn.XLOOKUP(Posts5[[#This Row],[Campaign_Name]],'[1]Campaign Metadata'!A:A,'[1]Campaign Metadata'!C:C)</f>
        <v>45698</v>
      </c>
      <c r="Q99" s="10" t="str">
        <f>IF(AND(Posts5[[#This Row],[Date]] &gt;=Posts5[[#This Row],[Campaign Start Date]], Posts5[[#This Row],[Date]]&lt;= Posts5[[#This Row],[Campaign end date]]), "During","Before")</f>
        <v>Before</v>
      </c>
    </row>
    <row r="100" spans="1:17" x14ac:dyDescent="0.3">
      <c r="A100" s="10" t="s">
        <v>111</v>
      </c>
      <c r="B100" s="10" t="s">
        <v>8</v>
      </c>
      <c r="C100" s="11">
        <v>45599</v>
      </c>
      <c r="D100" s="10" t="s">
        <v>13</v>
      </c>
      <c r="E100" s="10" t="s">
        <v>42</v>
      </c>
      <c r="F100" s="10">
        <v>1959</v>
      </c>
      <c r="G100" s="10">
        <v>316</v>
      </c>
      <c r="H100" s="10">
        <v>82</v>
      </c>
      <c r="I100" s="10">
        <v>54036</v>
      </c>
      <c r="J100" s="10">
        <v>69015</v>
      </c>
      <c r="K100" s="10">
        <v>182</v>
      </c>
      <c r="L100" s="10" t="s">
        <v>5</v>
      </c>
      <c r="M100" s="10" t="s">
        <v>34</v>
      </c>
      <c r="N100" s="10">
        <f>(Posts5[[#This Row],[Likes]]+Posts5[[#This Row],[Shares]]+Posts5[[#This Row],[Comments]])/Posts5[[#This Row],[Impressions]]</f>
        <v>4.3619068768968837E-2</v>
      </c>
      <c r="O100" s="11">
        <f>_xlfn.XLOOKUP(Posts5[[#This Row],[Campaign_Name]],'[1]Campaign Metadata'!A:A,'[1]Campaign Metadata'!B:B)</f>
        <v>45667</v>
      </c>
      <c r="P100" s="10">
        <f>_xlfn.XLOOKUP(Posts5[[#This Row],[Campaign_Name]],'[1]Campaign Metadata'!A:A,'[1]Campaign Metadata'!C:C)</f>
        <v>45698</v>
      </c>
      <c r="Q100" s="10" t="str">
        <f>IF(AND(Posts5[[#This Row],[Date]] &gt;=Posts5[[#This Row],[Campaign Start Date]], Posts5[[#This Row],[Date]]&lt;= Posts5[[#This Row],[Campaign end date]]), "During","Before")</f>
        <v>Before</v>
      </c>
    </row>
    <row r="101" spans="1:17" x14ac:dyDescent="0.3">
      <c r="A101" s="10" t="s">
        <v>112</v>
      </c>
      <c r="B101" s="10" t="s">
        <v>8</v>
      </c>
      <c r="C101" s="11">
        <v>45480</v>
      </c>
      <c r="D101" s="10" t="s">
        <v>15</v>
      </c>
      <c r="E101" s="10" t="s">
        <v>39</v>
      </c>
      <c r="F101" s="10">
        <v>1035</v>
      </c>
      <c r="G101" s="10">
        <v>137</v>
      </c>
      <c r="H101" s="10">
        <v>184</v>
      </c>
      <c r="I101" s="10">
        <v>37302</v>
      </c>
      <c r="J101" s="10">
        <v>68953</v>
      </c>
      <c r="K101" s="10">
        <v>237</v>
      </c>
      <c r="L101" s="10" t="s">
        <v>12</v>
      </c>
      <c r="M101" s="10" t="s">
        <v>37</v>
      </c>
      <c r="N101" s="10">
        <f>(Posts5[[#This Row],[Likes]]+Posts5[[#This Row],[Shares]]+Posts5[[#This Row],[Comments]])/Posts5[[#This Row],[Impressions]]</f>
        <v>3.6351938233874857E-2</v>
      </c>
      <c r="O101" s="11">
        <f>_xlfn.XLOOKUP(Posts5[[#This Row],[Campaign_Name]],'[1]Campaign Metadata'!A:A,'[1]Campaign Metadata'!B:B)</f>
        <v>45717</v>
      </c>
      <c r="P101" s="10">
        <f>_xlfn.XLOOKUP(Posts5[[#This Row],[Campaign_Name]],'[1]Campaign Metadata'!A:A,'[1]Campaign Metadata'!C:C)</f>
        <v>45747</v>
      </c>
      <c r="Q101" s="10" t="str">
        <f>IF(AND(Posts5[[#This Row],[Date]] &gt;=Posts5[[#This Row],[Campaign Start Date]], Posts5[[#This Row],[Date]]&lt;= Posts5[[#This Row],[Campaign end date]]), "During","Before")</f>
        <v>Before</v>
      </c>
    </row>
    <row r="102" spans="1:17" x14ac:dyDescent="0.3">
      <c r="A102" s="10" t="s">
        <v>113</v>
      </c>
      <c r="B102" s="10" t="s">
        <v>8</v>
      </c>
      <c r="C102" s="11">
        <v>45679</v>
      </c>
      <c r="D102" s="10" t="s">
        <v>13</v>
      </c>
      <c r="E102" s="10" t="s">
        <v>39</v>
      </c>
      <c r="F102" s="10">
        <v>4478</v>
      </c>
      <c r="G102" s="10">
        <v>101</v>
      </c>
      <c r="H102" s="10">
        <v>121</v>
      </c>
      <c r="I102" s="10">
        <v>51035</v>
      </c>
      <c r="J102" s="10">
        <v>58207</v>
      </c>
      <c r="K102" s="10">
        <v>205</v>
      </c>
      <c r="L102" s="10" t="s">
        <v>14</v>
      </c>
      <c r="M102" s="10" t="s">
        <v>34</v>
      </c>
      <c r="N102" s="10">
        <f>(Posts5[[#This Row],[Likes]]+Posts5[[#This Row],[Shares]]+Posts5[[#This Row],[Comments]])/Posts5[[#This Row],[Impressions]]</f>
        <v>9.2093661212893113E-2</v>
      </c>
      <c r="O102" s="11">
        <f>_xlfn.XLOOKUP(Posts5[[#This Row],[Campaign_Name]],'[1]Campaign Metadata'!A:A,'[1]Campaign Metadata'!B:B)</f>
        <v>45667</v>
      </c>
      <c r="P102" s="10">
        <f>_xlfn.XLOOKUP(Posts5[[#This Row],[Campaign_Name]],'[1]Campaign Metadata'!A:A,'[1]Campaign Metadata'!C:C)</f>
        <v>45698</v>
      </c>
      <c r="Q102" s="10" t="str">
        <f>IF(AND(Posts5[[#This Row],[Date]] &gt;=Posts5[[#This Row],[Campaign Start Date]], Posts5[[#This Row],[Date]]&lt;= Posts5[[#This Row],[Campaign end date]]), "During","Before")</f>
        <v>During</v>
      </c>
    </row>
    <row r="103" spans="1:17" x14ac:dyDescent="0.3">
      <c r="A103" s="10" t="s">
        <v>113</v>
      </c>
      <c r="B103" s="10" t="s">
        <v>8</v>
      </c>
      <c r="C103" s="11">
        <v>45679</v>
      </c>
      <c r="D103" s="10" t="s">
        <v>13</v>
      </c>
      <c r="E103" s="10" t="s">
        <v>39</v>
      </c>
      <c r="F103" s="10">
        <v>4478</v>
      </c>
      <c r="G103" s="10">
        <v>101</v>
      </c>
      <c r="H103" s="10">
        <v>121</v>
      </c>
      <c r="I103" s="10">
        <v>51035</v>
      </c>
      <c r="J103" s="10">
        <v>58207</v>
      </c>
      <c r="K103" s="10">
        <v>205</v>
      </c>
      <c r="L103" s="10" t="s">
        <v>5</v>
      </c>
      <c r="M103" s="10" t="s">
        <v>34</v>
      </c>
      <c r="N103" s="10">
        <f>(Posts5[[#This Row],[Likes]]+Posts5[[#This Row],[Shares]]+Posts5[[#This Row],[Comments]])/Posts5[[#This Row],[Impressions]]</f>
        <v>9.2093661212893113E-2</v>
      </c>
      <c r="O103" s="11">
        <f>_xlfn.XLOOKUP(Posts5[[#This Row],[Campaign_Name]],'[1]Campaign Metadata'!A:A,'[1]Campaign Metadata'!B:B)</f>
        <v>45667</v>
      </c>
      <c r="P103" s="10">
        <f>_xlfn.XLOOKUP(Posts5[[#This Row],[Campaign_Name]],'[1]Campaign Metadata'!A:A,'[1]Campaign Metadata'!C:C)</f>
        <v>45698</v>
      </c>
      <c r="Q103" s="10" t="str">
        <f>IF(AND(Posts5[[#This Row],[Date]] &gt;=Posts5[[#This Row],[Campaign Start Date]], Posts5[[#This Row],[Date]]&lt;= Posts5[[#This Row],[Campaign end date]]), "During","Before")</f>
        <v>During</v>
      </c>
    </row>
    <row r="104" spans="1:17" x14ac:dyDescent="0.3">
      <c r="A104" s="10" t="s">
        <v>114</v>
      </c>
      <c r="B104" s="10" t="s">
        <v>9</v>
      </c>
      <c r="C104" s="11">
        <v>45438</v>
      </c>
      <c r="D104" s="10" t="s">
        <v>15</v>
      </c>
      <c r="E104" s="10" t="s">
        <v>59</v>
      </c>
      <c r="F104" s="10">
        <v>1488</v>
      </c>
      <c r="G104" s="10">
        <v>327</v>
      </c>
      <c r="H104" s="10">
        <v>110</v>
      </c>
      <c r="I104" s="10">
        <v>53805</v>
      </c>
      <c r="J104" s="10">
        <v>30239</v>
      </c>
      <c r="K104" s="10">
        <v>109</v>
      </c>
      <c r="L104" s="10" t="s">
        <v>10</v>
      </c>
      <c r="M104" s="10" t="s">
        <v>37</v>
      </c>
      <c r="N104" s="10">
        <f>(Posts5[[#This Row],[Likes]]+Posts5[[#This Row],[Shares]]+Posts5[[#This Row],[Comments]])/Posts5[[#This Row],[Impressions]]</f>
        <v>3.5777344113000653E-2</v>
      </c>
      <c r="O104" s="11">
        <f>_xlfn.XLOOKUP(Posts5[[#This Row],[Campaign_Name]],'[1]Campaign Metadata'!A:A,'[1]Campaign Metadata'!B:B)</f>
        <v>45717</v>
      </c>
      <c r="P104" s="10">
        <f>_xlfn.XLOOKUP(Posts5[[#This Row],[Campaign_Name]],'[1]Campaign Metadata'!A:A,'[1]Campaign Metadata'!C:C)</f>
        <v>45747</v>
      </c>
      <c r="Q104" s="10" t="str">
        <f>IF(AND(Posts5[[#This Row],[Date]] &gt;=Posts5[[#This Row],[Campaign Start Date]], Posts5[[#This Row],[Date]]&lt;= Posts5[[#This Row],[Campaign end date]]), "During","Before")</f>
        <v>Before</v>
      </c>
    </row>
    <row r="105" spans="1:17" x14ac:dyDescent="0.3">
      <c r="A105" s="10" t="s">
        <v>114</v>
      </c>
      <c r="B105" s="10" t="s">
        <v>9</v>
      </c>
      <c r="C105" s="11">
        <v>45438</v>
      </c>
      <c r="D105" s="10" t="s">
        <v>15</v>
      </c>
      <c r="E105" s="10" t="s">
        <v>59</v>
      </c>
      <c r="F105" s="10">
        <v>1488</v>
      </c>
      <c r="G105" s="10">
        <v>327</v>
      </c>
      <c r="H105" s="10">
        <v>110</v>
      </c>
      <c r="I105" s="10">
        <v>53805</v>
      </c>
      <c r="J105" s="10">
        <v>30239</v>
      </c>
      <c r="K105" s="10">
        <v>109</v>
      </c>
      <c r="L105" s="10" t="s">
        <v>16</v>
      </c>
      <c r="M105" s="10" t="s">
        <v>37</v>
      </c>
      <c r="N105" s="10">
        <f>(Posts5[[#This Row],[Likes]]+Posts5[[#This Row],[Shares]]+Posts5[[#This Row],[Comments]])/Posts5[[#This Row],[Impressions]]</f>
        <v>3.5777344113000653E-2</v>
      </c>
      <c r="O105" s="11">
        <f>_xlfn.XLOOKUP(Posts5[[#This Row],[Campaign_Name]],'[1]Campaign Metadata'!A:A,'[1]Campaign Metadata'!B:B)</f>
        <v>45717</v>
      </c>
      <c r="P105" s="10">
        <f>_xlfn.XLOOKUP(Posts5[[#This Row],[Campaign_Name]],'[1]Campaign Metadata'!A:A,'[1]Campaign Metadata'!C:C)</f>
        <v>45747</v>
      </c>
      <c r="Q105" s="10" t="str">
        <f>IF(AND(Posts5[[#This Row],[Date]] &gt;=Posts5[[#This Row],[Campaign Start Date]], Posts5[[#This Row],[Date]]&lt;= Posts5[[#This Row],[Campaign end date]]), "During","Before")</f>
        <v>Before</v>
      </c>
    </row>
    <row r="106" spans="1:17" x14ac:dyDescent="0.3">
      <c r="A106" s="10" t="s">
        <v>115</v>
      </c>
      <c r="B106" s="10" t="s">
        <v>7</v>
      </c>
      <c r="C106" s="11">
        <v>45763</v>
      </c>
      <c r="D106" s="10" t="s">
        <v>15</v>
      </c>
      <c r="E106" s="10" t="s">
        <v>42</v>
      </c>
      <c r="F106" s="10">
        <v>4836</v>
      </c>
      <c r="G106" s="10">
        <v>331</v>
      </c>
      <c r="H106" s="10">
        <v>140</v>
      </c>
      <c r="I106" s="10">
        <v>58792</v>
      </c>
      <c r="J106" s="10">
        <v>47711</v>
      </c>
      <c r="K106" s="10">
        <v>227</v>
      </c>
      <c r="L106" s="10" t="s">
        <v>12</v>
      </c>
      <c r="M106" s="10" t="s">
        <v>34</v>
      </c>
      <c r="N106" s="10">
        <f>(Posts5[[#This Row],[Likes]]+Posts5[[#This Row],[Shares]]+Posts5[[#This Row],[Comments]])/Posts5[[#This Row],[Impressions]]</f>
        <v>9.0267383317458164E-2</v>
      </c>
      <c r="O106" s="11">
        <f>_xlfn.XLOOKUP(Posts5[[#This Row],[Campaign_Name]],'[1]Campaign Metadata'!A:A,'[1]Campaign Metadata'!B:B)</f>
        <v>45667</v>
      </c>
      <c r="P106" s="10">
        <f>_xlfn.XLOOKUP(Posts5[[#This Row],[Campaign_Name]],'[1]Campaign Metadata'!A:A,'[1]Campaign Metadata'!C:C)</f>
        <v>45698</v>
      </c>
      <c r="Q106" s="10" t="str">
        <f>IF(AND(Posts5[[#This Row],[Date]] &gt;=Posts5[[#This Row],[Campaign Start Date]], Posts5[[#This Row],[Date]]&lt;= Posts5[[#This Row],[Campaign end date]]), "During","Before")</f>
        <v>Before</v>
      </c>
    </row>
    <row r="107" spans="1:17" x14ac:dyDescent="0.3">
      <c r="A107" s="10" t="s">
        <v>115</v>
      </c>
      <c r="B107" s="10" t="s">
        <v>7</v>
      </c>
      <c r="C107" s="11">
        <v>45763</v>
      </c>
      <c r="D107" s="10" t="s">
        <v>15</v>
      </c>
      <c r="E107" s="10" t="s">
        <v>42</v>
      </c>
      <c r="F107" s="10">
        <v>4836</v>
      </c>
      <c r="G107" s="10">
        <v>331</v>
      </c>
      <c r="H107" s="10">
        <v>140</v>
      </c>
      <c r="I107" s="10">
        <v>58792</v>
      </c>
      <c r="J107" s="10">
        <v>47711</v>
      </c>
      <c r="K107" s="10">
        <v>227</v>
      </c>
      <c r="L107" s="10" t="s">
        <v>5</v>
      </c>
      <c r="M107" s="10" t="s">
        <v>34</v>
      </c>
      <c r="N107" s="10">
        <f>(Posts5[[#This Row],[Likes]]+Posts5[[#This Row],[Shares]]+Posts5[[#This Row],[Comments]])/Posts5[[#This Row],[Impressions]]</f>
        <v>9.0267383317458164E-2</v>
      </c>
      <c r="O107" s="11">
        <f>_xlfn.XLOOKUP(Posts5[[#This Row],[Campaign_Name]],'[1]Campaign Metadata'!A:A,'[1]Campaign Metadata'!B:B)</f>
        <v>45667</v>
      </c>
      <c r="P107" s="10">
        <f>_xlfn.XLOOKUP(Posts5[[#This Row],[Campaign_Name]],'[1]Campaign Metadata'!A:A,'[1]Campaign Metadata'!C:C)</f>
        <v>45698</v>
      </c>
      <c r="Q107" s="10" t="str">
        <f>IF(AND(Posts5[[#This Row],[Date]] &gt;=Posts5[[#This Row],[Campaign Start Date]], Posts5[[#This Row],[Date]]&lt;= Posts5[[#This Row],[Campaign end date]]), "During","Before")</f>
        <v>Before</v>
      </c>
    </row>
    <row r="108" spans="1:17" x14ac:dyDescent="0.3">
      <c r="A108" s="10" t="s">
        <v>116</v>
      </c>
      <c r="B108" s="10" t="s">
        <v>9</v>
      </c>
      <c r="C108" s="11">
        <v>45384</v>
      </c>
      <c r="D108" s="10" t="s">
        <v>11</v>
      </c>
      <c r="E108" s="10" t="s">
        <v>61</v>
      </c>
      <c r="F108" s="10">
        <v>4563</v>
      </c>
      <c r="G108" s="10">
        <v>488</v>
      </c>
      <c r="H108" s="10">
        <v>356</v>
      </c>
      <c r="I108" s="10">
        <v>30619</v>
      </c>
      <c r="J108" s="10">
        <v>23328</v>
      </c>
      <c r="K108" s="10">
        <v>267</v>
      </c>
      <c r="L108" s="10" t="s">
        <v>10</v>
      </c>
      <c r="M108" s="10" t="s">
        <v>68</v>
      </c>
      <c r="N108" s="10">
        <f>(Posts5[[#This Row],[Likes]]+Posts5[[#This Row],[Shares]]+Posts5[[#This Row],[Comments]])/Posts5[[#This Row],[Impressions]]</f>
        <v>0.17658969920637513</v>
      </c>
      <c r="O108" s="11">
        <f>_xlfn.XLOOKUP(Posts5[[#This Row],[Campaign_Name]],'[1]Campaign Metadata'!A:A,'[1]Campaign Metadata'!B:B)</f>
        <v>45458</v>
      </c>
      <c r="P108" s="10">
        <f>_xlfn.XLOOKUP(Posts5[[#This Row],[Campaign_Name]],'[1]Campaign Metadata'!A:A,'[1]Campaign Metadata'!C:C)</f>
        <v>45488</v>
      </c>
      <c r="Q108" s="10" t="str">
        <f>IF(AND(Posts5[[#This Row],[Date]] &gt;=Posts5[[#This Row],[Campaign Start Date]], Posts5[[#This Row],[Date]]&lt;= Posts5[[#This Row],[Campaign end date]]), "During","Before")</f>
        <v>Before</v>
      </c>
    </row>
    <row r="109" spans="1:17" x14ac:dyDescent="0.3">
      <c r="A109" s="10" t="s">
        <v>116</v>
      </c>
      <c r="B109" s="10" t="s">
        <v>9</v>
      </c>
      <c r="C109" s="11">
        <v>45384</v>
      </c>
      <c r="D109" s="10" t="s">
        <v>11</v>
      </c>
      <c r="E109" s="10" t="s">
        <v>61</v>
      </c>
      <c r="F109" s="10">
        <v>4563</v>
      </c>
      <c r="G109" s="10">
        <v>488</v>
      </c>
      <c r="H109" s="10">
        <v>356</v>
      </c>
      <c r="I109" s="10">
        <v>30619</v>
      </c>
      <c r="J109" s="10">
        <v>23328</v>
      </c>
      <c r="K109" s="10">
        <v>267</v>
      </c>
      <c r="L109" s="10" t="s">
        <v>12</v>
      </c>
      <c r="M109" s="10" t="s">
        <v>68</v>
      </c>
      <c r="N109" s="10">
        <f>(Posts5[[#This Row],[Likes]]+Posts5[[#This Row],[Shares]]+Posts5[[#This Row],[Comments]])/Posts5[[#This Row],[Impressions]]</f>
        <v>0.17658969920637513</v>
      </c>
      <c r="O109" s="11">
        <f>_xlfn.XLOOKUP(Posts5[[#This Row],[Campaign_Name]],'[1]Campaign Metadata'!A:A,'[1]Campaign Metadata'!B:B)</f>
        <v>45458</v>
      </c>
      <c r="P109" s="10">
        <f>_xlfn.XLOOKUP(Posts5[[#This Row],[Campaign_Name]],'[1]Campaign Metadata'!A:A,'[1]Campaign Metadata'!C:C)</f>
        <v>45488</v>
      </c>
      <c r="Q109" s="10" t="str">
        <f>IF(AND(Posts5[[#This Row],[Date]] &gt;=Posts5[[#This Row],[Campaign Start Date]], Posts5[[#This Row],[Date]]&lt;= Posts5[[#This Row],[Campaign end date]]), "During","Before")</f>
        <v>Before</v>
      </c>
    </row>
    <row r="110" spans="1:17" x14ac:dyDescent="0.3">
      <c r="A110" s="10" t="s">
        <v>117</v>
      </c>
      <c r="B110" s="10" t="s">
        <v>8</v>
      </c>
      <c r="C110" s="11">
        <v>45379</v>
      </c>
      <c r="D110" s="10" t="s">
        <v>15</v>
      </c>
      <c r="E110" s="10" t="s">
        <v>44</v>
      </c>
      <c r="F110" s="10">
        <v>3276</v>
      </c>
      <c r="G110" s="10">
        <v>421</v>
      </c>
      <c r="H110" s="10">
        <v>114</v>
      </c>
      <c r="I110" s="10">
        <v>20580</v>
      </c>
      <c r="J110" s="10">
        <v>30324</v>
      </c>
      <c r="K110" s="10">
        <v>221</v>
      </c>
      <c r="L110" s="10" t="s">
        <v>12</v>
      </c>
      <c r="M110" s="10" t="s">
        <v>37</v>
      </c>
      <c r="N110" s="10">
        <f>(Posts5[[#This Row],[Likes]]+Posts5[[#This Row],[Shares]]+Posts5[[#This Row],[Comments]])/Posts5[[#This Row],[Impressions]]</f>
        <v>0.18517978620019437</v>
      </c>
      <c r="O110" s="11">
        <f>_xlfn.XLOOKUP(Posts5[[#This Row],[Campaign_Name]],'[1]Campaign Metadata'!A:A,'[1]Campaign Metadata'!B:B)</f>
        <v>45717</v>
      </c>
      <c r="P110" s="10">
        <f>_xlfn.XLOOKUP(Posts5[[#This Row],[Campaign_Name]],'[1]Campaign Metadata'!A:A,'[1]Campaign Metadata'!C:C)</f>
        <v>45747</v>
      </c>
      <c r="Q110" s="10" t="str">
        <f>IF(AND(Posts5[[#This Row],[Date]] &gt;=Posts5[[#This Row],[Campaign Start Date]], Posts5[[#This Row],[Date]]&lt;= Posts5[[#This Row],[Campaign end date]]), "During","Before")</f>
        <v>Before</v>
      </c>
    </row>
    <row r="111" spans="1:17" x14ac:dyDescent="0.3">
      <c r="A111" s="10" t="s">
        <v>118</v>
      </c>
      <c r="B111" s="10" t="s">
        <v>8</v>
      </c>
      <c r="C111" s="11">
        <v>45643</v>
      </c>
      <c r="D111" s="10" t="s">
        <v>13</v>
      </c>
      <c r="E111" s="10" t="s">
        <v>44</v>
      </c>
      <c r="F111" s="10">
        <v>1316</v>
      </c>
      <c r="G111" s="10">
        <v>472</v>
      </c>
      <c r="H111" s="10">
        <v>286</v>
      </c>
      <c r="I111" s="10">
        <v>44692</v>
      </c>
      <c r="J111" s="10">
        <v>53343</v>
      </c>
      <c r="K111" s="10">
        <v>227</v>
      </c>
      <c r="L111" s="10" t="s">
        <v>10</v>
      </c>
      <c r="M111" s="10" t="s">
        <v>34</v>
      </c>
      <c r="N111" s="10">
        <f>(Posts5[[#This Row],[Likes]]+Posts5[[#This Row],[Shares]]+Posts5[[#This Row],[Comments]])/Posts5[[#This Row],[Impressions]]</f>
        <v>4.6406515707509172E-2</v>
      </c>
      <c r="O111" s="11">
        <f>_xlfn.XLOOKUP(Posts5[[#This Row],[Campaign_Name]],'[1]Campaign Metadata'!A:A,'[1]Campaign Metadata'!B:B)</f>
        <v>45667</v>
      </c>
      <c r="P111" s="10">
        <f>_xlfn.XLOOKUP(Posts5[[#This Row],[Campaign_Name]],'[1]Campaign Metadata'!A:A,'[1]Campaign Metadata'!C:C)</f>
        <v>45698</v>
      </c>
      <c r="Q111" s="10" t="str">
        <f>IF(AND(Posts5[[#This Row],[Date]] &gt;=Posts5[[#This Row],[Campaign Start Date]], Posts5[[#This Row],[Date]]&lt;= Posts5[[#This Row],[Campaign end date]]), "During","Before")</f>
        <v>Before</v>
      </c>
    </row>
    <row r="112" spans="1:17" x14ac:dyDescent="0.3">
      <c r="A112" s="10" t="s">
        <v>118</v>
      </c>
      <c r="B112" s="10" t="s">
        <v>8</v>
      </c>
      <c r="C112" s="11">
        <v>45643</v>
      </c>
      <c r="D112" s="10" t="s">
        <v>13</v>
      </c>
      <c r="E112" s="10" t="s">
        <v>44</v>
      </c>
      <c r="F112" s="10">
        <v>1316</v>
      </c>
      <c r="G112" s="10">
        <v>472</v>
      </c>
      <c r="H112" s="10">
        <v>286</v>
      </c>
      <c r="I112" s="10">
        <v>44692</v>
      </c>
      <c r="J112" s="10">
        <v>53343</v>
      </c>
      <c r="K112" s="10">
        <v>227</v>
      </c>
      <c r="L112" s="10" t="s">
        <v>14</v>
      </c>
      <c r="M112" s="10" t="s">
        <v>34</v>
      </c>
      <c r="N112" s="10">
        <f>(Posts5[[#This Row],[Likes]]+Posts5[[#This Row],[Shares]]+Posts5[[#This Row],[Comments]])/Posts5[[#This Row],[Impressions]]</f>
        <v>4.6406515707509172E-2</v>
      </c>
      <c r="O112" s="11">
        <f>_xlfn.XLOOKUP(Posts5[[#This Row],[Campaign_Name]],'[1]Campaign Metadata'!A:A,'[1]Campaign Metadata'!B:B)</f>
        <v>45667</v>
      </c>
      <c r="P112" s="10">
        <f>_xlfn.XLOOKUP(Posts5[[#This Row],[Campaign_Name]],'[1]Campaign Metadata'!A:A,'[1]Campaign Metadata'!C:C)</f>
        <v>45698</v>
      </c>
      <c r="Q112" s="10" t="str">
        <f>IF(AND(Posts5[[#This Row],[Date]] &gt;=Posts5[[#This Row],[Campaign Start Date]], Posts5[[#This Row],[Date]]&lt;= Posts5[[#This Row],[Campaign end date]]), "During","Before")</f>
        <v>Before</v>
      </c>
    </row>
    <row r="113" spans="1:17" x14ac:dyDescent="0.3">
      <c r="A113" s="10" t="s">
        <v>119</v>
      </c>
      <c r="B113" s="10" t="s">
        <v>8</v>
      </c>
      <c r="C113" s="11">
        <v>45662</v>
      </c>
      <c r="D113" s="10" t="s">
        <v>15</v>
      </c>
      <c r="E113" s="10" t="s">
        <v>42</v>
      </c>
      <c r="F113" s="10">
        <v>4811</v>
      </c>
      <c r="G113" s="10">
        <v>473</v>
      </c>
      <c r="H113" s="10">
        <v>254</v>
      </c>
      <c r="I113" s="10">
        <v>51964</v>
      </c>
      <c r="J113" s="10">
        <v>68795</v>
      </c>
      <c r="K113" s="10">
        <v>107</v>
      </c>
      <c r="L113" s="10" t="s">
        <v>5</v>
      </c>
      <c r="M113" s="10" t="s">
        <v>34</v>
      </c>
      <c r="N113" s="10">
        <f>(Posts5[[#This Row],[Likes]]+Posts5[[#This Row],[Shares]]+Posts5[[#This Row],[Comments]])/Posts5[[#This Row],[Impressions]]</f>
        <v>0.10657378184897237</v>
      </c>
      <c r="O113" s="11">
        <f>_xlfn.XLOOKUP(Posts5[[#This Row],[Campaign_Name]],'[1]Campaign Metadata'!A:A,'[1]Campaign Metadata'!B:B)</f>
        <v>45667</v>
      </c>
      <c r="P113" s="10">
        <f>_xlfn.XLOOKUP(Posts5[[#This Row],[Campaign_Name]],'[1]Campaign Metadata'!A:A,'[1]Campaign Metadata'!C:C)</f>
        <v>45698</v>
      </c>
      <c r="Q113" s="10" t="str">
        <f>IF(AND(Posts5[[#This Row],[Date]] &gt;=Posts5[[#This Row],[Campaign Start Date]], Posts5[[#This Row],[Date]]&lt;= Posts5[[#This Row],[Campaign end date]]), "During","Before")</f>
        <v>Before</v>
      </c>
    </row>
    <row r="114" spans="1:17" x14ac:dyDescent="0.3">
      <c r="A114" s="10" t="s">
        <v>120</v>
      </c>
      <c r="B114" s="10" t="s">
        <v>8</v>
      </c>
      <c r="C114" s="11">
        <v>45302</v>
      </c>
      <c r="D114" s="10" t="s">
        <v>15</v>
      </c>
      <c r="E114" s="10" t="s">
        <v>47</v>
      </c>
      <c r="F114" s="10">
        <v>4218</v>
      </c>
      <c r="G114" s="10">
        <v>247</v>
      </c>
      <c r="H114" s="10">
        <v>183</v>
      </c>
      <c r="I114" s="10">
        <v>28914</v>
      </c>
      <c r="J114" s="10">
        <v>18310</v>
      </c>
      <c r="K114" s="10">
        <v>135</v>
      </c>
      <c r="L114" s="10" t="s">
        <v>12</v>
      </c>
      <c r="M114" s="10" t="s">
        <v>37</v>
      </c>
      <c r="N114" s="10">
        <f>(Posts5[[#This Row],[Likes]]+Posts5[[#This Row],[Shares]]+Posts5[[#This Row],[Comments]])/Posts5[[#This Row],[Impressions]]</f>
        <v>0.1607525766064882</v>
      </c>
      <c r="O114" s="11">
        <f>_xlfn.XLOOKUP(Posts5[[#This Row],[Campaign_Name]],'[1]Campaign Metadata'!A:A,'[1]Campaign Metadata'!B:B)</f>
        <v>45717</v>
      </c>
      <c r="P114" s="10">
        <f>_xlfn.XLOOKUP(Posts5[[#This Row],[Campaign_Name]],'[1]Campaign Metadata'!A:A,'[1]Campaign Metadata'!C:C)</f>
        <v>45747</v>
      </c>
      <c r="Q114" s="10" t="str">
        <f>IF(AND(Posts5[[#This Row],[Date]] &gt;=Posts5[[#This Row],[Campaign Start Date]], Posts5[[#This Row],[Date]]&lt;= Posts5[[#This Row],[Campaign end date]]), "During","Before")</f>
        <v>Before</v>
      </c>
    </row>
    <row r="115" spans="1:17" x14ac:dyDescent="0.3">
      <c r="A115" s="10" t="s">
        <v>121</v>
      </c>
      <c r="B115" s="10" t="s">
        <v>7</v>
      </c>
      <c r="C115" s="11">
        <v>45576</v>
      </c>
      <c r="D115" s="10" t="s">
        <v>15</v>
      </c>
      <c r="E115" s="10" t="s">
        <v>59</v>
      </c>
      <c r="F115" s="10">
        <v>1360</v>
      </c>
      <c r="G115" s="10">
        <v>249</v>
      </c>
      <c r="H115" s="10">
        <v>52</v>
      </c>
      <c r="I115" s="10">
        <v>20368</v>
      </c>
      <c r="J115" s="10">
        <v>42152</v>
      </c>
      <c r="K115" s="10">
        <v>193</v>
      </c>
      <c r="L115" s="10" t="s">
        <v>10</v>
      </c>
      <c r="M115" s="10" t="s">
        <v>37</v>
      </c>
      <c r="N115" s="10">
        <f>(Posts5[[#This Row],[Likes]]+Posts5[[#This Row],[Shares]]+Posts5[[#This Row],[Comments]])/Posts5[[#This Row],[Impressions]]</f>
        <v>8.1549489395129612E-2</v>
      </c>
      <c r="O115" s="11">
        <f>_xlfn.XLOOKUP(Posts5[[#This Row],[Campaign_Name]],'[1]Campaign Metadata'!A:A,'[1]Campaign Metadata'!B:B)</f>
        <v>45717</v>
      </c>
      <c r="P115" s="10">
        <f>_xlfn.XLOOKUP(Posts5[[#This Row],[Campaign_Name]],'[1]Campaign Metadata'!A:A,'[1]Campaign Metadata'!C:C)</f>
        <v>45747</v>
      </c>
      <c r="Q115" s="10" t="str">
        <f>IF(AND(Posts5[[#This Row],[Date]] &gt;=Posts5[[#This Row],[Campaign Start Date]], Posts5[[#This Row],[Date]]&lt;= Posts5[[#This Row],[Campaign end date]]), "During","Before")</f>
        <v>Before</v>
      </c>
    </row>
    <row r="116" spans="1:17" x14ac:dyDescent="0.3">
      <c r="A116" s="10" t="s">
        <v>122</v>
      </c>
      <c r="B116" s="10" t="s">
        <v>9</v>
      </c>
      <c r="C116" s="11">
        <v>45783</v>
      </c>
      <c r="D116" s="10" t="s">
        <v>11</v>
      </c>
      <c r="E116" s="10" t="s">
        <v>32</v>
      </c>
      <c r="F116" s="10">
        <v>1085</v>
      </c>
      <c r="G116" s="10">
        <v>496</v>
      </c>
      <c r="H116" s="10">
        <v>320</v>
      </c>
      <c r="I116" s="10">
        <v>36528</v>
      </c>
      <c r="J116" s="10">
        <v>38599</v>
      </c>
      <c r="K116" s="10">
        <v>270</v>
      </c>
      <c r="L116" s="10" t="s">
        <v>10</v>
      </c>
      <c r="M116" s="10" t="s">
        <v>68</v>
      </c>
      <c r="N116" s="10">
        <f>(Posts5[[#This Row],[Likes]]+Posts5[[#This Row],[Shares]]+Posts5[[#This Row],[Comments]])/Posts5[[#This Row],[Impressions]]</f>
        <v>5.2042268944371438E-2</v>
      </c>
      <c r="O116" s="11">
        <f>_xlfn.XLOOKUP(Posts5[[#This Row],[Campaign_Name]],'[1]Campaign Metadata'!A:A,'[1]Campaign Metadata'!B:B)</f>
        <v>45458</v>
      </c>
      <c r="P116" s="10">
        <f>_xlfn.XLOOKUP(Posts5[[#This Row],[Campaign_Name]],'[1]Campaign Metadata'!A:A,'[1]Campaign Metadata'!C:C)</f>
        <v>45488</v>
      </c>
      <c r="Q116" s="10" t="str">
        <f>IF(AND(Posts5[[#This Row],[Date]] &gt;=Posts5[[#This Row],[Campaign Start Date]], Posts5[[#This Row],[Date]]&lt;= Posts5[[#This Row],[Campaign end date]]), "During","Before")</f>
        <v>Before</v>
      </c>
    </row>
    <row r="117" spans="1:17" x14ac:dyDescent="0.3">
      <c r="A117" s="10" t="s">
        <v>122</v>
      </c>
      <c r="B117" s="10" t="s">
        <v>9</v>
      </c>
      <c r="C117" s="11">
        <v>45783</v>
      </c>
      <c r="D117" s="10" t="s">
        <v>11</v>
      </c>
      <c r="E117" s="10" t="s">
        <v>32</v>
      </c>
      <c r="F117" s="10">
        <v>1085</v>
      </c>
      <c r="G117" s="10">
        <v>496</v>
      </c>
      <c r="H117" s="10">
        <v>320</v>
      </c>
      <c r="I117" s="10">
        <v>36528</v>
      </c>
      <c r="J117" s="10">
        <v>38599</v>
      </c>
      <c r="K117" s="10">
        <v>270</v>
      </c>
      <c r="L117" s="10" t="s">
        <v>12</v>
      </c>
      <c r="M117" s="10" t="s">
        <v>68</v>
      </c>
      <c r="N117" s="10">
        <f>(Posts5[[#This Row],[Likes]]+Posts5[[#This Row],[Shares]]+Posts5[[#This Row],[Comments]])/Posts5[[#This Row],[Impressions]]</f>
        <v>5.2042268944371438E-2</v>
      </c>
      <c r="O117" s="11">
        <f>_xlfn.XLOOKUP(Posts5[[#This Row],[Campaign_Name]],'[1]Campaign Metadata'!A:A,'[1]Campaign Metadata'!B:B)</f>
        <v>45458</v>
      </c>
      <c r="P117" s="10">
        <f>_xlfn.XLOOKUP(Posts5[[#This Row],[Campaign_Name]],'[1]Campaign Metadata'!A:A,'[1]Campaign Metadata'!C:C)</f>
        <v>45488</v>
      </c>
      <c r="Q117" s="10" t="str">
        <f>IF(AND(Posts5[[#This Row],[Date]] &gt;=Posts5[[#This Row],[Campaign Start Date]], Posts5[[#This Row],[Date]]&lt;= Posts5[[#This Row],[Campaign end date]]), "During","Before")</f>
        <v>Before</v>
      </c>
    </row>
    <row r="118" spans="1:17" x14ac:dyDescent="0.3">
      <c r="A118" s="10" t="s">
        <v>123</v>
      </c>
      <c r="B118" s="10" t="s">
        <v>8</v>
      </c>
      <c r="C118" s="11">
        <v>45431</v>
      </c>
      <c r="D118" s="10" t="s">
        <v>13</v>
      </c>
      <c r="E118" s="10" t="s">
        <v>49</v>
      </c>
      <c r="F118" s="10">
        <v>1763</v>
      </c>
      <c r="G118" s="10">
        <v>206</v>
      </c>
      <c r="H118" s="10">
        <v>187</v>
      </c>
      <c r="I118" s="10">
        <v>53342</v>
      </c>
      <c r="J118" s="10">
        <v>25095</v>
      </c>
      <c r="K118" s="10">
        <v>88</v>
      </c>
      <c r="L118" s="10" t="s">
        <v>10</v>
      </c>
      <c r="M118" s="10" t="s">
        <v>34</v>
      </c>
      <c r="N118" s="10">
        <f>(Posts5[[#This Row],[Likes]]+Posts5[[#This Row],[Shares]]+Posts5[[#This Row],[Comments]])/Posts5[[#This Row],[Impressions]]</f>
        <v>4.0418432004799221E-2</v>
      </c>
      <c r="O118" s="11">
        <f>_xlfn.XLOOKUP(Posts5[[#This Row],[Campaign_Name]],'[1]Campaign Metadata'!A:A,'[1]Campaign Metadata'!B:B)</f>
        <v>45667</v>
      </c>
      <c r="P118" s="10">
        <f>_xlfn.XLOOKUP(Posts5[[#This Row],[Campaign_Name]],'[1]Campaign Metadata'!A:A,'[1]Campaign Metadata'!C:C)</f>
        <v>45698</v>
      </c>
      <c r="Q118" s="10" t="str">
        <f>IF(AND(Posts5[[#This Row],[Date]] &gt;=Posts5[[#This Row],[Campaign Start Date]], Posts5[[#This Row],[Date]]&lt;= Posts5[[#This Row],[Campaign end date]]), "During","Before")</f>
        <v>Before</v>
      </c>
    </row>
    <row r="119" spans="1:17" x14ac:dyDescent="0.3">
      <c r="A119" s="10" t="s">
        <v>123</v>
      </c>
      <c r="B119" s="10" t="s">
        <v>8</v>
      </c>
      <c r="C119" s="11">
        <v>45431</v>
      </c>
      <c r="D119" s="10" t="s">
        <v>13</v>
      </c>
      <c r="E119" s="10" t="s">
        <v>49</v>
      </c>
      <c r="F119" s="10">
        <v>1763</v>
      </c>
      <c r="G119" s="10">
        <v>206</v>
      </c>
      <c r="H119" s="10">
        <v>187</v>
      </c>
      <c r="I119" s="10">
        <v>53342</v>
      </c>
      <c r="J119" s="10">
        <v>25095</v>
      </c>
      <c r="K119" s="10">
        <v>88</v>
      </c>
      <c r="L119" s="10" t="s">
        <v>14</v>
      </c>
      <c r="M119" s="10" t="s">
        <v>34</v>
      </c>
      <c r="N119" s="10">
        <f>(Posts5[[#This Row],[Likes]]+Posts5[[#This Row],[Shares]]+Posts5[[#This Row],[Comments]])/Posts5[[#This Row],[Impressions]]</f>
        <v>4.0418432004799221E-2</v>
      </c>
      <c r="O119" s="11">
        <f>_xlfn.XLOOKUP(Posts5[[#This Row],[Campaign_Name]],'[1]Campaign Metadata'!A:A,'[1]Campaign Metadata'!B:B)</f>
        <v>45667</v>
      </c>
      <c r="P119" s="10">
        <f>_xlfn.XLOOKUP(Posts5[[#This Row],[Campaign_Name]],'[1]Campaign Metadata'!A:A,'[1]Campaign Metadata'!C:C)</f>
        <v>45698</v>
      </c>
      <c r="Q119" s="10" t="str">
        <f>IF(AND(Posts5[[#This Row],[Date]] &gt;=Posts5[[#This Row],[Campaign Start Date]], Posts5[[#This Row],[Date]]&lt;= Posts5[[#This Row],[Campaign end date]]), "During","Before")</f>
        <v>Before</v>
      </c>
    </row>
    <row r="120" spans="1:17" x14ac:dyDescent="0.3">
      <c r="A120" s="10" t="s">
        <v>124</v>
      </c>
      <c r="B120" s="10" t="s">
        <v>8</v>
      </c>
      <c r="C120" s="11">
        <v>45313</v>
      </c>
      <c r="D120" s="10" t="s">
        <v>13</v>
      </c>
      <c r="E120" s="10" t="s">
        <v>59</v>
      </c>
      <c r="F120" s="10">
        <v>1554</v>
      </c>
      <c r="G120" s="10">
        <v>455</v>
      </c>
      <c r="H120" s="10">
        <v>158</v>
      </c>
      <c r="I120" s="10">
        <v>41947</v>
      </c>
      <c r="J120" s="10">
        <v>48578</v>
      </c>
      <c r="K120" s="10">
        <v>101</v>
      </c>
      <c r="L120" s="10" t="s">
        <v>12</v>
      </c>
      <c r="M120" s="10" t="s">
        <v>34</v>
      </c>
      <c r="N120" s="10">
        <f>(Posts5[[#This Row],[Likes]]+Posts5[[#This Row],[Shares]]+Posts5[[#This Row],[Comments]])/Posts5[[#This Row],[Impressions]]</f>
        <v>5.1660428636136076E-2</v>
      </c>
      <c r="O120" s="11">
        <f>_xlfn.XLOOKUP(Posts5[[#This Row],[Campaign_Name]],'[1]Campaign Metadata'!A:A,'[1]Campaign Metadata'!B:B)</f>
        <v>45667</v>
      </c>
      <c r="P120" s="10">
        <f>_xlfn.XLOOKUP(Posts5[[#This Row],[Campaign_Name]],'[1]Campaign Metadata'!A:A,'[1]Campaign Metadata'!C:C)</f>
        <v>45698</v>
      </c>
      <c r="Q120" s="10" t="str">
        <f>IF(AND(Posts5[[#This Row],[Date]] &gt;=Posts5[[#This Row],[Campaign Start Date]], Posts5[[#This Row],[Date]]&lt;= Posts5[[#This Row],[Campaign end date]]), "During","Before")</f>
        <v>Before</v>
      </c>
    </row>
    <row r="121" spans="1:17" x14ac:dyDescent="0.3">
      <c r="A121" s="10" t="s">
        <v>124</v>
      </c>
      <c r="B121" s="10" t="s">
        <v>8</v>
      </c>
      <c r="C121" s="11">
        <v>45313</v>
      </c>
      <c r="D121" s="10" t="s">
        <v>13</v>
      </c>
      <c r="E121" s="10" t="s">
        <v>59</v>
      </c>
      <c r="F121" s="10">
        <v>1554</v>
      </c>
      <c r="G121" s="10">
        <v>455</v>
      </c>
      <c r="H121" s="10">
        <v>158</v>
      </c>
      <c r="I121" s="10">
        <v>41947</v>
      </c>
      <c r="J121" s="10">
        <v>48578</v>
      </c>
      <c r="K121" s="10">
        <v>101</v>
      </c>
      <c r="L121" s="10" t="s">
        <v>5</v>
      </c>
      <c r="M121" s="10" t="s">
        <v>34</v>
      </c>
      <c r="N121" s="10">
        <f>(Posts5[[#This Row],[Likes]]+Posts5[[#This Row],[Shares]]+Posts5[[#This Row],[Comments]])/Posts5[[#This Row],[Impressions]]</f>
        <v>5.1660428636136076E-2</v>
      </c>
      <c r="O121" s="11">
        <f>_xlfn.XLOOKUP(Posts5[[#This Row],[Campaign_Name]],'[1]Campaign Metadata'!A:A,'[1]Campaign Metadata'!B:B)</f>
        <v>45667</v>
      </c>
      <c r="P121" s="10">
        <f>_xlfn.XLOOKUP(Posts5[[#This Row],[Campaign_Name]],'[1]Campaign Metadata'!A:A,'[1]Campaign Metadata'!C:C)</f>
        <v>45698</v>
      </c>
      <c r="Q121" s="10" t="str">
        <f>IF(AND(Posts5[[#This Row],[Date]] &gt;=Posts5[[#This Row],[Campaign Start Date]], Posts5[[#This Row],[Date]]&lt;= Posts5[[#This Row],[Campaign end date]]), "During","Before")</f>
        <v>Before</v>
      </c>
    </row>
    <row r="122" spans="1:17" x14ac:dyDescent="0.3">
      <c r="A122" s="10" t="s">
        <v>125</v>
      </c>
      <c r="B122" s="10" t="s">
        <v>7</v>
      </c>
      <c r="C122" s="11">
        <v>45487</v>
      </c>
      <c r="D122" s="10" t="s">
        <v>15</v>
      </c>
      <c r="E122" s="10" t="s">
        <v>42</v>
      </c>
      <c r="F122" s="10">
        <v>2464</v>
      </c>
      <c r="G122" s="10">
        <v>401</v>
      </c>
      <c r="H122" s="10">
        <v>78</v>
      </c>
      <c r="I122" s="10">
        <v>38665</v>
      </c>
      <c r="J122" s="10">
        <v>73593</v>
      </c>
      <c r="K122" s="10">
        <v>207</v>
      </c>
      <c r="L122" s="10" t="s">
        <v>10</v>
      </c>
      <c r="M122" s="10" t="s">
        <v>37</v>
      </c>
      <c r="N122" s="10">
        <f>(Posts5[[#This Row],[Likes]]+Posts5[[#This Row],[Shares]]+Posts5[[#This Row],[Comments]])/Posts5[[#This Row],[Impressions]]</f>
        <v>7.611534979956032E-2</v>
      </c>
      <c r="O122" s="11">
        <f>_xlfn.XLOOKUP(Posts5[[#This Row],[Campaign_Name]],'[1]Campaign Metadata'!A:A,'[1]Campaign Metadata'!B:B)</f>
        <v>45717</v>
      </c>
      <c r="P122" s="10">
        <f>_xlfn.XLOOKUP(Posts5[[#This Row],[Campaign_Name]],'[1]Campaign Metadata'!A:A,'[1]Campaign Metadata'!C:C)</f>
        <v>45747</v>
      </c>
      <c r="Q122" s="10" t="str">
        <f>IF(AND(Posts5[[#This Row],[Date]] &gt;=Posts5[[#This Row],[Campaign Start Date]], Posts5[[#This Row],[Date]]&lt;= Posts5[[#This Row],[Campaign end date]]), "During","Before")</f>
        <v>Before</v>
      </c>
    </row>
    <row r="123" spans="1:17" x14ac:dyDescent="0.3">
      <c r="A123" s="10" t="s">
        <v>126</v>
      </c>
      <c r="B123" s="10" t="s">
        <v>8</v>
      </c>
      <c r="C123" s="11">
        <v>45805</v>
      </c>
      <c r="D123" s="10" t="s">
        <v>15</v>
      </c>
      <c r="E123" s="10" t="s">
        <v>59</v>
      </c>
      <c r="F123" s="10">
        <v>2418</v>
      </c>
      <c r="G123" s="10">
        <v>161</v>
      </c>
      <c r="H123" s="10">
        <v>360</v>
      </c>
      <c r="I123" s="10">
        <v>30589</v>
      </c>
      <c r="J123" s="10">
        <v>41383</v>
      </c>
      <c r="K123" s="10">
        <v>88</v>
      </c>
      <c r="L123" s="10" t="s">
        <v>5</v>
      </c>
      <c r="M123" s="10" t="s">
        <v>34</v>
      </c>
      <c r="N123" s="10">
        <f>(Posts5[[#This Row],[Likes]]+Posts5[[#This Row],[Shares]]+Posts5[[#This Row],[Comments]])/Posts5[[#This Row],[Impressions]]</f>
        <v>9.6080290300434801E-2</v>
      </c>
      <c r="O123" s="11">
        <f>_xlfn.XLOOKUP(Posts5[[#This Row],[Campaign_Name]],'[1]Campaign Metadata'!A:A,'[1]Campaign Metadata'!B:B)</f>
        <v>45667</v>
      </c>
      <c r="P123" s="10">
        <f>_xlfn.XLOOKUP(Posts5[[#This Row],[Campaign_Name]],'[1]Campaign Metadata'!A:A,'[1]Campaign Metadata'!C:C)</f>
        <v>45698</v>
      </c>
      <c r="Q123" s="10" t="str">
        <f>IF(AND(Posts5[[#This Row],[Date]] &gt;=Posts5[[#This Row],[Campaign Start Date]], Posts5[[#This Row],[Date]]&lt;= Posts5[[#This Row],[Campaign end date]]), "During","Before")</f>
        <v>Before</v>
      </c>
    </row>
    <row r="124" spans="1:17" x14ac:dyDescent="0.3">
      <c r="A124" s="10" t="s">
        <v>127</v>
      </c>
      <c r="B124" s="10" t="s">
        <v>8</v>
      </c>
      <c r="C124" s="11">
        <v>45678</v>
      </c>
      <c r="D124" s="10" t="s">
        <v>13</v>
      </c>
      <c r="E124" s="10" t="s">
        <v>32</v>
      </c>
      <c r="F124" s="10">
        <v>2494</v>
      </c>
      <c r="G124" s="10">
        <v>494</v>
      </c>
      <c r="H124" s="10">
        <v>55</v>
      </c>
      <c r="I124" s="10">
        <v>22580</v>
      </c>
      <c r="J124" s="10">
        <v>22214</v>
      </c>
      <c r="K124" s="10">
        <v>109</v>
      </c>
      <c r="L124" s="10" t="s">
        <v>14</v>
      </c>
      <c r="M124" s="10" t="s">
        <v>34</v>
      </c>
      <c r="N124" s="10">
        <f>(Posts5[[#This Row],[Likes]]+Posts5[[#This Row],[Shares]]+Posts5[[#This Row],[Comments]])/Posts5[[#This Row],[Impressions]]</f>
        <v>0.13476527900797167</v>
      </c>
      <c r="O124" s="11">
        <f>_xlfn.XLOOKUP(Posts5[[#This Row],[Campaign_Name]],'[1]Campaign Metadata'!A:A,'[1]Campaign Metadata'!B:B)</f>
        <v>45667</v>
      </c>
      <c r="P124" s="10">
        <f>_xlfn.XLOOKUP(Posts5[[#This Row],[Campaign_Name]],'[1]Campaign Metadata'!A:A,'[1]Campaign Metadata'!C:C)</f>
        <v>45698</v>
      </c>
      <c r="Q124" s="10" t="str">
        <f>IF(AND(Posts5[[#This Row],[Date]] &gt;=Posts5[[#This Row],[Campaign Start Date]], Posts5[[#This Row],[Date]]&lt;= Posts5[[#This Row],[Campaign end date]]), "During","Before")</f>
        <v>During</v>
      </c>
    </row>
    <row r="125" spans="1:17" x14ac:dyDescent="0.3">
      <c r="A125" s="10" t="s">
        <v>127</v>
      </c>
      <c r="B125" s="10" t="s">
        <v>8</v>
      </c>
      <c r="C125" s="11">
        <v>45678</v>
      </c>
      <c r="D125" s="10" t="s">
        <v>13</v>
      </c>
      <c r="E125" s="10" t="s">
        <v>32</v>
      </c>
      <c r="F125" s="10">
        <v>2494</v>
      </c>
      <c r="G125" s="10">
        <v>494</v>
      </c>
      <c r="H125" s="10">
        <v>55</v>
      </c>
      <c r="I125" s="10">
        <v>22580</v>
      </c>
      <c r="J125" s="10">
        <v>22214</v>
      </c>
      <c r="K125" s="10">
        <v>109</v>
      </c>
      <c r="L125" s="10" t="s">
        <v>5</v>
      </c>
      <c r="M125" s="10" t="s">
        <v>34</v>
      </c>
      <c r="N125" s="10">
        <f>(Posts5[[#This Row],[Likes]]+Posts5[[#This Row],[Shares]]+Posts5[[#This Row],[Comments]])/Posts5[[#This Row],[Impressions]]</f>
        <v>0.13476527900797167</v>
      </c>
      <c r="O125" s="11">
        <f>_xlfn.XLOOKUP(Posts5[[#This Row],[Campaign_Name]],'[1]Campaign Metadata'!A:A,'[1]Campaign Metadata'!B:B)</f>
        <v>45667</v>
      </c>
      <c r="P125" s="10">
        <f>_xlfn.XLOOKUP(Posts5[[#This Row],[Campaign_Name]],'[1]Campaign Metadata'!A:A,'[1]Campaign Metadata'!C:C)</f>
        <v>45698</v>
      </c>
      <c r="Q125" s="10" t="str">
        <f>IF(AND(Posts5[[#This Row],[Date]] &gt;=Posts5[[#This Row],[Campaign Start Date]], Posts5[[#This Row],[Date]]&lt;= Posts5[[#This Row],[Campaign end date]]), "During","Before")</f>
        <v>During</v>
      </c>
    </row>
    <row r="126" spans="1:17" x14ac:dyDescent="0.3">
      <c r="A126" s="10" t="s">
        <v>128</v>
      </c>
      <c r="B126" s="10" t="s">
        <v>9</v>
      </c>
      <c r="C126" s="11">
        <v>45304</v>
      </c>
      <c r="D126" s="10" t="s">
        <v>11</v>
      </c>
      <c r="E126" s="10" t="s">
        <v>39</v>
      </c>
      <c r="F126" s="10">
        <v>4781</v>
      </c>
      <c r="G126" s="10">
        <v>191</v>
      </c>
      <c r="H126" s="10">
        <v>122</v>
      </c>
      <c r="I126" s="10">
        <v>35535</v>
      </c>
      <c r="J126" s="10">
        <v>50777</v>
      </c>
      <c r="K126" s="10">
        <v>128</v>
      </c>
      <c r="L126" s="10" t="s">
        <v>10</v>
      </c>
      <c r="M126" s="10" t="s">
        <v>68</v>
      </c>
      <c r="N126" s="10">
        <f>(Posts5[[#This Row],[Likes]]+Posts5[[#This Row],[Shares]]+Posts5[[#This Row],[Comments]])/Posts5[[#This Row],[Impressions]]</f>
        <v>0.14335162515829464</v>
      </c>
      <c r="O126" s="11">
        <f>_xlfn.XLOOKUP(Posts5[[#This Row],[Campaign_Name]],'[1]Campaign Metadata'!A:A,'[1]Campaign Metadata'!B:B)</f>
        <v>45458</v>
      </c>
      <c r="P126" s="10">
        <f>_xlfn.XLOOKUP(Posts5[[#This Row],[Campaign_Name]],'[1]Campaign Metadata'!A:A,'[1]Campaign Metadata'!C:C)</f>
        <v>45488</v>
      </c>
      <c r="Q126" s="10" t="str">
        <f>IF(AND(Posts5[[#This Row],[Date]] &gt;=Posts5[[#This Row],[Campaign Start Date]], Posts5[[#This Row],[Date]]&lt;= Posts5[[#This Row],[Campaign end date]]), "During","Before")</f>
        <v>Before</v>
      </c>
    </row>
    <row r="127" spans="1:17" x14ac:dyDescent="0.3">
      <c r="A127" s="10" t="s">
        <v>128</v>
      </c>
      <c r="B127" s="10" t="s">
        <v>9</v>
      </c>
      <c r="C127" s="11">
        <v>45304</v>
      </c>
      <c r="D127" s="10" t="s">
        <v>11</v>
      </c>
      <c r="E127" s="10" t="s">
        <v>39</v>
      </c>
      <c r="F127" s="10">
        <v>4781</v>
      </c>
      <c r="G127" s="10">
        <v>191</v>
      </c>
      <c r="H127" s="10">
        <v>122</v>
      </c>
      <c r="I127" s="10">
        <v>35535</v>
      </c>
      <c r="J127" s="10">
        <v>50777</v>
      </c>
      <c r="K127" s="10">
        <v>128</v>
      </c>
      <c r="L127" s="10" t="s">
        <v>12</v>
      </c>
      <c r="M127" s="10" t="s">
        <v>68</v>
      </c>
      <c r="N127" s="10">
        <f>(Posts5[[#This Row],[Likes]]+Posts5[[#This Row],[Shares]]+Posts5[[#This Row],[Comments]])/Posts5[[#This Row],[Impressions]]</f>
        <v>0.14335162515829464</v>
      </c>
      <c r="O127" s="11">
        <f>_xlfn.XLOOKUP(Posts5[[#This Row],[Campaign_Name]],'[1]Campaign Metadata'!A:A,'[1]Campaign Metadata'!B:B)</f>
        <v>45458</v>
      </c>
      <c r="P127" s="10">
        <f>_xlfn.XLOOKUP(Posts5[[#This Row],[Campaign_Name]],'[1]Campaign Metadata'!A:A,'[1]Campaign Metadata'!C:C)</f>
        <v>45488</v>
      </c>
      <c r="Q127" s="10" t="str">
        <f>IF(AND(Posts5[[#This Row],[Date]] &gt;=Posts5[[#This Row],[Campaign Start Date]], Posts5[[#This Row],[Date]]&lt;= Posts5[[#This Row],[Campaign end date]]), "During","Before")</f>
        <v>Before</v>
      </c>
    </row>
    <row r="128" spans="1:17" x14ac:dyDescent="0.3">
      <c r="A128" s="10" t="s">
        <v>129</v>
      </c>
      <c r="B128" s="10" t="s">
        <v>7</v>
      </c>
      <c r="C128" s="11">
        <v>45825</v>
      </c>
      <c r="D128" s="10" t="s">
        <v>15</v>
      </c>
      <c r="E128" s="10" t="s">
        <v>44</v>
      </c>
      <c r="F128" s="10">
        <v>2284</v>
      </c>
      <c r="G128" s="10">
        <v>187</v>
      </c>
      <c r="H128" s="10">
        <v>260</v>
      </c>
      <c r="I128" s="10">
        <v>37400</v>
      </c>
      <c r="J128" s="10">
        <v>65014</v>
      </c>
      <c r="K128" s="10">
        <v>157</v>
      </c>
      <c r="L128" s="10" t="s">
        <v>12</v>
      </c>
      <c r="M128" s="10" t="s">
        <v>34</v>
      </c>
      <c r="N128" s="10">
        <f>(Posts5[[#This Row],[Likes]]+Posts5[[#This Row],[Shares]]+Posts5[[#This Row],[Comments]])/Posts5[[#This Row],[Impressions]]</f>
        <v>7.3021390374331557E-2</v>
      </c>
      <c r="O128" s="11">
        <f>_xlfn.XLOOKUP(Posts5[[#This Row],[Campaign_Name]],'[1]Campaign Metadata'!A:A,'[1]Campaign Metadata'!B:B)</f>
        <v>45667</v>
      </c>
      <c r="P128" s="10">
        <f>_xlfn.XLOOKUP(Posts5[[#This Row],[Campaign_Name]],'[1]Campaign Metadata'!A:A,'[1]Campaign Metadata'!C:C)</f>
        <v>45698</v>
      </c>
      <c r="Q128" s="10" t="str">
        <f>IF(AND(Posts5[[#This Row],[Date]] &gt;=Posts5[[#This Row],[Campaign Start Date]], Posts5[[#This Row],[Date]]&lt;= Posts5[[#This Row],[Campaign end date]]), "During","Before")</f>
        <v>Before</v>
      </c>
    </row>
    <row r="129" spans="1:17" x14ac:dyDescent="0.3">
      <c r="A129" s="10" t="s">
        <v>129</v>
      </c>
      <c r="B129" s="10" t="s">
        <v>7</v>
      </c>
      <c r="C129" s="11">
        <v>45825</v>
      </c>
      <c r="D129" s="10" t="s">
        <v>15</v>
      </c>
      <c r="E129" s="10" t="s">
        <v>44</v>
      </c>
      <c r="F129" s="10">
        <v>2284</v>
      </c>
      <c r="G129" s="10">
        <v>187</v>
      </c>
      <c r="H129" s="10">
        <v>260</v>
      </c>
      <c r="I129" s="10">
        <v>37400</v>
      </c>
      <c r="J129" s="10">
        <v>65014</v>
      </c>
      <c r="K129" s="10">
        <v>157</v>
      </c>
      <c r="L129" s="10" t="s">
        <v>5</v>
      </c>
      <c r="M129" s="10" t="s">
        <v>34</v>
      </c>
      <c r="N129" s="10">
        <f>(Posts5[[#This Row],[Likes]]+Posts5[[#This Row],[Shares]]+Posts5[[#This Row],[Comments]])/Posts5[[#This Row],[Impressions]]</f>
        <v>7.3021390374331557E-2</v>
      </c>
      <c r="O129" s="11">
        <f>_xlfn.XLOOKUP(Posts5[[#This Row],[Campaign_Name]],'[1]Campaign Metadata'!A:A,'[1]Campaign Metadata'!B:B)</f>
        <v>45667</v>
      </c>
      <c r="P129" s="10">
        <f>_xlfn.XLOOKUP(Posts5[[#This Row],[Campaign_Name]],'[1]Campaign Metadata'!A:A,'[1]Campaign Metadata'!C:C)</f>
        <v>45698</v>
      </c>
      <c r="Q129" s="10" t="str">
        <f>IF(AND(Posts5[[#This Row],[Date]] &gt;=Posts5[[#This Row],[Campaign Start Date]], Posts5[[#This Row],[Date]]&lt;= Posts5[[#This Row],[Campaign end date]]), "During","Before")</f>
        <v>Before</v>
      </c>
    </row>
    <row r="130" spans="1:17" x14ac:dyDescent="0.3">
      <c r="A130" s="10" t="s">
        <v>130</v>
      </c>
      <c r="B130" s="10" t="s">
        <v>8</v>
      </c>
      <c r="C130" s="11">
        <v>45723</v>
      </c>
      <c r="D130" s="10" t="s">
        <v>15</v>
      </c>
      <c r="E130" s="10" t="s">
        <v>49</v>
      </c>
      <c r="F130" s="10">
        <v>4234</v>
      </c>
      <c r="G130" s="10">
        <v>486</v>
      </c>
      <c r="H130" s="10">
        <v>276</v>
      </c>
      <c r="I130" s="10">
        <v>56623</v>
      </c>
      <c r="J130" s="10">
        <v>41343</v>
      </c>
      <c r="K130" s="10">
        <v>184</v>
      </c>
      <c r="L130" s="10" t="s">
        <v>12</v>
      </c>
      <c r="M130" s="10" t="s">
        <v>37</v>
      </c>
      <c r="N130" s="10">
        <f>(Posts5[[#This Row],[Likes]]+Posts5[[#This Row],[Shares]]+Posts5[[#This Row],[Comments]])/Posts5[[#This Row],[Impressions]]</f>
        <v>8.8232696960599044E-2</v>
      </c>
      <c r="O130" s="11">
        <f>_xlfn.XLOOKUP(Posts5[[#This Row],[Campaign_Name]],'[1]Campaign Metadata'!A:A,'[1]Campaign Metadata'!B:B)</f>
        <v>45717</v>
      </c>
      <c r="P130" s="10">
        <f>_xlfn.XLOOKUP(Posts5[[#This Row],[Campaign_Name]],'[1]Campaign Metadata'!A:A,'[1]Campaign Metadata'!C:C)</f>
        <v>45747</v>
      </c>
      <c r="Q130" s="10" t="str">
        <f>IF(AND(Posts5[[#This Row],[Date]] &gt;=Posts5[[#This Row],[Campaign Start Date]], Posts5[[#This Row],[Date]]&lt;= Posts5[[#This Row],[Campaign end date]]), "During","Before")</f>
        <v>During</v>
      </c>
    </row>
    <row r="131" spans="1:17" x14ac:dyDescent="0.3">
      <c r="A131" s="10" t="s">
        <v>131</v>
      </c>
      <c r="B131" s="10" t="s">
        <v>7</v>
      </c>
      <c r="C131" s="11">
        <v>45530</v>
      </c>
      <c r="D131" s="10" t="s">
        <v>15</v>
      </c>
      <c r="E131" s="10" t="s">
        <v>61</v>
      </c>
      <c r="F131" s="10">
        <v>2102</v>
      </c>
      <c r="G131" s="10">
        <v>181</v>
      </c>
      <c r="H131" s="10">
        <v>306</v>
      </c>
      <c r="I131" s="10">
        <v>43650</v>
      </c>
      <c r="J131" s="10">
        <v>50079</v>
      </c>
      <c r="K131" s="10">
        <v>182</v>
      </c>
      <c r="L131" s="10" t="s">
        <v>10</v>
      </c>
      <c r="M131" s="10" t="s">
        <v>37</v>
      </c>
      <c r="N131" s="10">
        <f>(Posts5[[#This Row],[Likes]]+Posts5[[#This Row],[Shares]]+Posts5[[#This Row],[Comments]])/Posts5[[#This Row],[Impressions]]</f>
        <v>5.9312714776632303E-2</v>
      </c>
      <c r="O131" s="11">
        <f>_xlfn.XLOOKUP(Posts5[[#This Row],[Campaign_Name]],'[1]Campaign Metadata'!A:A,'[1]Campaign Metadata'!B:B)</f>
        <v>45717</v>
      </c>
      <c r="P131" s="10">
        <f>_xlfn.XLOOKUP(Posts5[[#This Row],[Campaign_Name]],'[1]Campaign Metadata'!A:A,'[1]Campaign Metadata'!C:C)</f>
        <v>45747</v>
      </c>
      <c r="Q131" s="10" t="str">
        <f>IF(AND(Posts5[[#This Row],[Date]] &gt;=Posts5[[#This Row],[Campaign Start Date]], Posts5[[#This Row],[Date]]&lt;= Posts5[[#This Row],[Campaign end date]]), "During","Before")</f>
        <v>Before</v>
      </c>
    </row>
    <row r="132" spans="1:17" x14ac:dyDescent="0.3">
      <c r="A132" s="10" t="s">
        <v>132</v>
      </c>
      <c r="B132" s="10" t="s">
        <v>8</v>
      </c>
      <c r="C132" s="11">
        <v>45660</v>
      </c>
      <c r="D132" s="10" t="s">
        <v>13</v>
      </c>
      <c r="E132" s="10" t="s">
        <v>49</v>
      </c>
      <c r="F132" s="10">
        <v>4845</v>
      </c>
      <c r="G132" s="10">
        <v>158</v>
      </c>
      <c r="H132" s="10">
        <v>84</v>
      </c>
      <c r="I132" s="10">
        <v>34578</v>
      </c>
      <c r="J132" s="10">
        <v>51480</v>
      </c>
      <c r="K132" s="10">
        <v>180</v>
      </c>
      <c r="L132" s="10" t="s">
        <v>12</v>
      </c>
      <c r="M132" s="10" t="s">
        <v>34</v>
      </c>
      <c r="N132" s="10">
        <f>(Posts5[[#This Row],[Likes]]+Posts5[[#This Row],[Shares]]+Posts5[[#This Row],[Comments]])/Posts5[[#This Row],[Impressions]]</f>
        <v>0.1471166637746544</v>
      </c>
      <c r="O132" s="11">
        <f>_xlfn.XLOOKUP(Posts5[[#This Row],[Campaign_Name]],'[1]Campaign Metadata'!A:A,'[1]Campaign Metadata'!B:B)</f>
        <v>45667</v>
      </c>
      <c r="P132" s="10">
        <f>_xlfn.XLOOKUP(Posts5[[#This Row],[Campaign_Name]],'[1]Campaign Metadata'!A:A,'[1]Campaign Metadata'!C:C)</f>
        <v>45698</v>
      </c>
      <c r="Q132" s="10" t="str">
        <f>IF(AND(Posts5[[#This Row],[Date]] &gt;=Posts5[[#This Row],[Campaign Start Date]], Posts5[[#This Row],[Date]]&lt;= Posts5[[#This Row],[Campaign end date]]), "During","Before")</f>
        <v>Before</v>
      </c>
    </row>
    <row r="133" spans="1:17" x14ac:dyDescent="0.3">
      <c r="A133" s="10" t="s">
        <v>132</v>
      </c>
      <c r="B133" s="10" t="s">
        <v>8</v>
      </c>
      <c r="C133" s="11">
        <v>45660</v>
      </c>
      <c r="D133" s="10" t="s">
        <v>13</v>
      </c>
      <c r="E133" s="10" t="s">
        <v>49</v>
      </c>
      <c r="F133" s="10">
        <v>4845</v>
      </c>
      <c r="G133" s="10">
        <v>158</v>
      </c>
      <c r="H133" s="10">
        <v>84</v>
      </c>
      <c r="I133" s="10">
        <v>34578</v>
      </c>
      <c r="J133" s="10">
        <v>51480</v>
      </c>
      <c r="K133" s="10">
        <v>180</v>
      </c>
      <c r="L133" s="10" t="s">
        <v>5</v>
      </c>
      <c r="M133" s="10" t="s">
        <v>34</v>
      </c>
      <c r="N133" s="10">
        <f>(Posts5[[#This Row],[Likes]]+Posts5[[#This Row],[Shares]]+Posts5[[#This Row],[Comments]])/Posts5[[#This Row],[Impressions]]</f>
        <v>0.1471166637746544</v>
      </c>
      <c r="O133" s="11">
        <f>_xlfn.XLOOKUP(Posts5[[#This Row],[Campaign_Name]],'[1]Campaign Metadata'!A:A,'[1]Campaign Metadata'!B:B)</f>
        <v>45667</v>
      </c>
      <c r="P133" s="10">
        <f>_xlfn.XLOOKUP(Posts5[[#This Row],[Campaign_Name]],'[1]Campaign Metadata'!A:A,'[1]Campaign Metadata'!C:C)</f>
        <v>45698</v>
      </c>
      <c r="Q133" s="10" t="str">
        <f>IF(AND(Posts5[[#This Row],[Date]] &gt;=Posts5[[#This Row],[Campaign Start Date]], Posts5[[#This Row],[Date]]&lt;= Posts5[[#This Row],[Campaign end date]]), "During","Before")</f>
        <v>Before</v>
      </c>
    </row>
    <row r="134" spans="1:17" x14ac:dyDescent="0.3">
      <c r="A134" s="10" t="s">
        <v>133</v>
      </c>
      <c r="B134" s="10" t="s">
        <v>8</v>
      </c>
      <c r="C134" s="11">
        <v>45507</v>
      </c>
      <c r="D134" s="10" t="s">
        <v>15</v>
      </c>
      <c r="E134" s="10" t="s">
        <v>61</v>
      </c>
      <c r="F134" s="10">
        <v>4247</v>
      </c>
      <c r="G134" s="10">
        <v>390</v>
      </c>
      <c r="H134" s="10">
        <v>213</v>
      </c>
      <c r="I134" s="10">
        <v>29785</v>
      </c>
      <c r="J134" s="10">
        <v>57768</v>
      </c>
      <c r="K134" s="10">
        <v>122</v>
      </c>
      <c r="L134" s="10" t="s">
        <v>5</v>
      </c>
      <c r="M134" s="10" t="s">
        <v>34</v>
      </c>
      <c r="N134" s="10">
        <f>(Posts5[[#This Row],[Likes]]+Posts5[[#This Row],[Shares]]+Posts5[[#This Row],[Comments]])/Posts5[[#This Row],[Impressions]]</f>
        <v>0.16283364109451065</v>
      </c>
      <c r="O134" s="11">
        <f>_xlfn.XLOOKUP(Posts5[[#This Row],[Campaign_Name]],'[1]Campaign Metadata'!A:A,'[1]Campaign Metadata'!B:B)</f>
        <v>45667</v>
      </c>
      <c r="P134" s="10">
        <f>_xlfn.XLOOKUP(Posts5[[#This Row],[Campaign_Name]],'[1]Campaign Metadata'!A:A,'[1]Campaign Metadata'!C:C)</f>
        <v>45698</v>
      </c>
      <c r="Q134" s="10" t="str">
        <f>IF(AND(Posts5[[#This Row],[Date]] &gt;=Posts5[[#This Row],[Campaign Start Date]], Posts5[[#This Row],[Date]]&lt;= Posts5[[#This Row],[Campaign end date]]), "During","Before")</f>
        <v>Before</v>
      </c>
    </row>
    <row r="135" spans="1:17" x14ac:dyDescent="0.3">
      <c r="A135" s="10" t="s">
        <v>134</v>
      </c>
      <c r="B135" s="10" t="s">
        <v>7</v>
      </c>
      <c r="C135" s="11">
        <v>45522</v>
      </c>
      <c r="D135" s="10" t="s">
        <v>15</v>
      </c>
      <c r="E135" s="10" t="s">
        <v>36</v>
      </c>
      <c r="F135" s="10">
        <v>2965</v>
      </c>
      <c r="G135" s="10">
        <v>328</v>
      </c>
      <c r="H135" s="10">
        <v>171</v>
      </c>
      <c r="I135" s="10">
        <v>57685</v>
      </c>
      <c r="J135" s="10">
        <v>67536</v>
      </c>
      <c r="K135" s="10">
        <v>264</v>
      </c>
      <c r="L135" s="10" t="s">
        <v>12</v>
      </c>
      <c r="M135" s="10" t="s">
        <v>34</v>
      </c>
      <c r="N135" s="10">
        <f>(Posts5[[#This Row],[Likes]]+Posts5[[#This Row],[Shares]]+Posts5[[#This Row],[Comments]])/Posts5[[#This Row],[Impressions]]</f>
        <v>6.0050273034584378E-2</v>
      </c>
      <c r="O135" s="11">
        <f>_xlfn.XLOOKUP(Posts5[[#This Row],[Campaign_Name]],'[1]Campaign Metadata'!A:A,'[1]Campaign Metadata'!B:B)</f>
        <v>45667</v>
      </c>
      <c r="P135" s="10">
        <f>_xlfn.XLOOKUP(Posts5[[#This Row],[Campaign_Name]],'[1]Campaign Metadata'!A:A,'[1]Campaign Metadata'!C:C)</f>
        <v>45698</v>
      </c>
      <c r="Q135" s="10" t="str">
        <f>IF(AND(Posts5[[#This Row],[Date]] &gt;=Posts5[[#This Row],[Campaign Start Date]], Posts5[[#This Row],[Date]]&lt;= Posts5[[#This Row],[Campaign end date]]), "During","Before")</f>
        <v>Before</v>
      </c>
    </row>
    <row r="136" spans="1:17" x14ac:dyDescent="0.3">
      <c r="A136" s="10" t="s">
        <v>134</v>
      </c>
      <c r="B136" s="10" t="s">
        <v>7</v>
      </c>
      <c r="C136" s="11">
        <v>45522</v>
      </c>
      <c r="D136" s="10" t="s">
        <v>15</v>
      </c>
      <c r="E136" s="10" t="s">
        <v>36</v>
      </c>
      <c r="F136" s="10">
        <v>2965</v>
      </c>
      <c r="G136" s="10">
        <v>328</v>
      </c>
      <c r="H136" s="10">
        <v>171</v>
      </c>
      <c r="I136" s="10">
        <v>57685</v>
      </c>
      <c r="J136" s="10">
        <v>67536</v>
      </c>
      <c r="K136" s="10">
        <v>264</v>
      </c>
      <c r="L136" s="10" t="s">
        <v>5</v>
      </c>
      <c r="M136" s="10" t="s">
        <v>34</v>
      </c>
      <c r="N136" s="10">
        <f>(Posts5[[#This Row],[Likes]]+Posts5[[#This Row],[Shares]]+Posts5[[#This Row],[Comments]])/Posts5[[#This Row],[Impressions]]</f>
        <v>6.0050273034584378E-2</v>
      </c>
      <c r="O136" s="11">
        <f>_xlfn.XLOOKUP(Posts5[[#This Row],[Campaign_Name]],'[1]Campaign Metadata'!A:A,'[1]Campaign Metadata'!B:B)</f>
        <v>45667</v>
      </c>
      <c r="P136" s="10">
        <f>_xlfn.XLOOKUP(Posts5[[#This Row],[Campaign_Name]],'[1]Campaign Metadata'!A:A,'[1]Campaign Metadata'!C:C)</f>
        <v>45698</v>
      </c>
      <c r="Q136" s="10" t="str">
        <f>IF(AND(Posts5[[#This Row],[Date]] &gt;=Posts5[[#This Row],[Campaign Start Date]], Posts5[[#This Row],[Date]]&lt;= Posts5[[#This Row],[Campaign end date]]), "During","Before")</f>
        <v>Before</v>
      </c>
    </row>
    <row r="137" spans="1:17" x14ac:dyDescent="0.3">
      <c r="A137" s="10" t="s">
        <v>135</v>
      </c>
      <c r="B137" s="10" t="s">
        <v>8</v>
      </c>
      <c r="C137" s="11">
        <v>45791</v>
      </c>
      <c r="D137" s="10" t="s">
        <v>13</v>
      </c>
      <c r="E137" s="10" t="s">
        <v>42</v>
      </c>
      <c r="F137" s="10">
        <v>1371</v>
      </c>
      <c r="G137" s="10">
        <v>139</v>
      </c>
      <c r="H137" s="10">
        <v>96</v>
      </c>
      <c r="I137" s="10">
        <v>36140</v>
      </c>
      <c r="J137" s="10">
        <v>39395</v>
      </c>
      <c r="K137" s="10">
        <v>169</v>
      </c>
      <c r="L137" s="10" t="s">
        <v>12</v>
      </c>
      <c r="M137" s="10" t="s">
        <v>34</v>
      </c>
      <c r="N137" s="10">
        <f>(Posts5[[#This Row],[Likes]]+Posts5[[#This Row],[Shares]]+Posts5[[#This Row],[Comments]])/Posts5[[#This Row],[Impressions]]</f>
        <v>4.4438295517432211E-2</v>
      </c>
      <c r="O137" s="11">
        <f>_xlfn.XLOOKUP(Posts5[[#This Row],[Campaign_Name]],'[1]Campaign Metadata'!A:A,'[1]Campaign Metadata'!B:B)</f>
        <v>45667</v>
      </c>
      <c r="P137" s="10">
        <f>_xlfn.XLOOKUP(Posts5[[#This Row],[Campaign_Name]],'[1]Campaign Metadata'!A:A,'[1]Campaign Metadata'!C:C)</f>
        <v>45698</v>
      </c>
      <c r="Q137" s="10" t="str">
        <f>IF(AND(Posts5[[#This Row],[Date]] &gt;=Posts5[[#This Row],[Campaign Start Date]], Posts5[[#This Row],[Date]]&lt;= Posts5[[#This Row],[Campaign end date]]), "During","Before")</f>
        <v>Before</v>
      </c>
    </row>
    <row r="138" spans="1:17" x14ac:dyDescent="0.3">
      <c r="A138" s="10" t="s">
        <v>135</v>
      </c>
      <c r="B138" s="10" t="s">
        <v>8</v>
      </c>
      <c r="C138" s="11">
        <v>45791</v>
      </c>
      <c r="D138" s="10" t="s">
        <v>13</v>
      </c>
      <c r="E138" s="10" t="s">
        <v>42</v>
      </c>
      <c r="F138" s="10">
        <v>1371</v>
      </c>
      <c r="G138" s="10">
        <v>139</v>
      </c>
      <c r="H138" s="10">
        <v>96</v>
      </c>
      <c r="I138" s="10">
        <v>36140</v>
      </c>
      <c r="J138" s="10">
        <v>39395</v>
      </c>
      <c r="K138" s="10">
        <v>169</v>
      </c>
      <c r="L138" s="10" t="s">
        <v>5</v>
      </c>
      <c r="M138" s="10" t="s">
        <v>34</v>
      </c>
      <c r="N138" s="10">
        <f>(Posts5[[#This Row],[Likes]]+Posts5[[#This Row],[Shares]]+Posts5[[#This Row],[Comments]])/Posts5[[#This Row],[Impressions]]</f>
        <v>4.4438295517432211E-2</v>
      </c>
      <c r="O138" s="11">
        <f>_xlfn.XLOOKUP(Posts5[[#This Row],[Campaign_Name]],'[1]Campaign Metadata'!A:A,'[1]Campaign Metadata'!B:B)</f>
        <v>45667</v>
      </c>
      <c r="P138" s="10">
        <f>_xlfn.XLOOKUP(Posts5[[#This Row],[Campaign_Name]],'[1]Campaign Metadata'!A:A,'[1]Campaign Metadata'!C:C)</f>
        <v>45698</v>
      </c>
      <c r="Q138" s="10" t="str">
        <f>IF(AND(Posts5[[#This Row],[Date]] &gt;=Posts5[[#This Row],[Campaign Start Date]], Posts5[[#This Row],[Date]]&lt;= Posts5[[#This Row],[Campaign end date]]), "During","Before")</f>
        <v>Before</v>
      </c>
    </row>
    <row r="139" spans="1:17" x14ac:dyDescent="0.3">
      <c r="A139" s="10" t="s">
        <v>136</v>
      </c>
      <c r="B139" s="10" t="s">
        <v>8</v>
      </c>
      <c r="C139" s="11">
        <v>45405</v>
      </c>
      <c r="D139" s="10" t="s">
        <v>13</v>
      </c>
      <c r="E139" s="10" t="s">
        <v>32</v>
      </c>
      <c r="F139" s="10">
        <v>2683</v>
      </c>
      <c r="G139" s="10">
        <v>496</v>
      </c>
      <c r="H139" s="10">
        <v>89</v>
      </c>
      <c r="I139" s="10">
        <v>53435</v>
      </c>
      <c r="J139" s="10">
        <v>30334</v>
      </c>
      <c r="K139" s="10">
        <v>160</v>
      </c>
      <c r="L139" s="10" t="s">
        <v>12</v>
      </c>
      <c r="M139" s="10" t="s">
        <v>34</v>
      </c>
      <c r="N139" s="10">
        <f>(Posts5[[#This Row],[Likes]]+Posts5[[#This Row],[Shares]]+Posts5[[#This Row],[Comments]])/Posts5[[#This Row],[Impressions]]</f>
        <v>6.1158416768035934E-2</v>
      </c>
      <c r="O139" s="11">
        <f>_xlfn.XLOOKUP(Posts5[[#This Row],[Campaign_Name]],'[1]Campaign Metadata'!A:A,'[1]Campaign Metadata'!B:B)</f>
        <v>45667</v>
      </c>
      <c r="P139" s="10">
        <f>_xlfn.XLOOKUP(Posts5[[#This Row],[Campaign_Name]],'[1]Campaign Metadata'!A:A,'[1]Campaign Metadata'!C:C)</f>
        <v>45698</v>
      </c>
      <c r="Q139" s="10" t="str">
        <f>IF(AND(Posts5[[#This Row],[Date]] &gt;=Posts5[[#This Row],[Campaign Start Date]], Posts5[[#This Row],[Date]]&lt;= Posts5[[#This Row],[Campaign end date]]), "During","Before")</f>
        <v>Before</v>
      </c>
    </row>
    <row r="140" spans="1:17" x14ac:dyDescent="0.3">
      <c r="A140" s="10" t="s">
        <v>136</v>
      </c>
      <c r="B140" s="10" t="s">
        <v>8</v>
      </c>
      <c r="C140" s="11">
        <v>45405</v>
      </c>
      <c r="D140" s="10" t="s">
        <v>13</v>
      </c>
      <c r="E140" s="10" t="s">
        <v>32</v>
      </c>
      <c r="F140" s="10">
        <v>2683</v>
      </c>
      <c r="G140" s="10">
        <v>496</v>
      </c>
      <c r="H140" s="10">
        <v>89</v>
      </c>
      <c r="I140" s="10">
        <v>53435</v>
      </c>
      <c r="J140" s="10">
        <v>30334</v>
      </c>
      <c r="K140" s="10">
        <v>160</v>
      </c>
      <c r="L140" s="10" t="s">
        <v>5</v>
      </c>
      <c r="M140" s="10" t="s">
        <v>34</v>
      </c>
      <c r="N140" s="10">
        <f>(Posts5[[#This Row],[Likes]]+Posts5[[#This Row],[Shares]]+Posts5[[#This Row],[Comments]])/Posts5[[#This Row],[Impressions]]</f>
        <v>6.1158416768035934E-2</v>
      </c>
      <c r="O140" s="11">
        <f>_xlfn.XLOOKUP(Posts5[[#This Row],[Campaign_Name]],'[1]Campaign Metadata'!A:A,'[1]Campaign Metadata'!B:B)</f>
        <v>45667</v>
      </c>
      <c r="P140" s="10">
        <f>_xlfn.XLOOKUP(Posts5[[#This Row],[Campaign_Name]],'[1]Campaign Metadata'!A:A,'[1]Campaign Metadata'!C:C)</f>
        <v>45698</v>
      </c>
      <c r="Q140" s="10" t="str">
        <f>IF(AND(Posts5[[#This Row],[Date]] &gt;=Posts5[[#This Row],[Campaign Start Date]], Posts5[[#This Row],[Date]]&lt;= Posts5[[#This Row],[Campaign end date]]), "During","Before")</f>
        <v>Before</v>
      </c>
    </row>
    <row r="141" spans="1:17" x14ac:dyDescent="0.3">
      <c r="A141" s="10" t="s">
        <v>137</v>
      </c>
      <c r="B141" s="10" t="s">
        <v>8</v>
      </c>
      <c r="C141" s="11">
        <v>45705</v>
      </c>
      <c r="D141" s="10" t="s">
        <v>13</v>
      </c>
      <c r="E141" s="10" t="s">
        <v>47</v>
      </c>
      <c r="F141" s="10">
        <v>4796</v>
      </c>
      <c r="G141" s="10">
        <v>427</v>
      </c>
      <c r="H141" s="10">
        <v>339</v>
      </c>
      <c r="I141" s="10">
        <v>30752</v>
      </c>
      <c r="J141" s="10">
        <v>33870</v>
      </c>
      <c r="K141" s="10">
        <v>298</v>
      </c>
      <c r="L141" s="10" t="s">
        <v>12</v>
      </c>
      <c r="M141" s="10" t="s">
        <v>34</v>
      </c>
      <c r="N141" s="10">
        <f>(Posts5[[#This Row],[Likes]]+Posts5[[#This Row],[Shares]]+Posts5[[#This Row],[Comments]])/Posts5[[#This Row],[Impressions]]</f>
        <v>0.18086628511966701</v>
      </c>
      <c r="O141" s="11">
        <f>_xlfn.XLOOKUP(Posts5[[#This Row],[Campaign_Name]],'[1]Campaign Metadata'!A:A,'[1]Campaign Metadata'!B:B)</f>
        <v>45667</v>
      </c>
      <c r="P141" s="10">
        <f>_xlfn.XLOOKUP(Posts5[[#This Row],[Campaign_Name]],'[1]Campaign Metadata'!A:A,'[1]Campaign Metadata'!C:C)</f>
        <v>45698</v>
      </c>
      <c r="Q141" s="10" t="str">
        <f>IF(AND(Posts5[[#This Row],[Date]] &gt;=Posts5[[#This Row],[Campaign Start Date]], Posts5[[#This Row],[Date]]&lt;= Posts5[[#This Row],[Campaign end date]]), "During","Before")</f>
        <v>Before</v>
      </c>
    </row>
    <row r="142" spans="1:17" x14ac:dyDescent="0.3">
      <c r="A142" s="10" t="s">
        <v>137</v>
      </c>
      <c r="B142" s="10" t="s">
        <v>8</v>
      </c>
      <c r="C142" s="11">
        <v>45705</v>
      </c>
      <c r="D142" s="10" t="s">
        <v>13</v>
      </c>
      <c r="E142" s="10" t="s">
        <v>47</v>
      </c>
      <c r="F142" s="10">
        <v>4796</v>
      </c>
      <c r="G142" s="10">
        <v>427</v>
      </c>
      <c r="H142" s="10">
        <v>339</v>
      </c>
      <c r="I142" s="10">
        <v>30752</v>
      </c>
      <c r="J142" s="10">
        <v>33870</v>
      </c>
      <c r="K142" s="10">
        <v>298</v>
      </c>
      <c r="L142" s="10" t="s">
        <v>5</v>
      </c>
      <c r="M142" s="10" t="s">
        <v>34</v>
      </c>
      <c r="N142" s="10">
        <f>(Posts5[[#This Row],[Likes]]+Posts5[[#This Row],[Shares]]+Posts5[[#This Row],[Comments]])/Posts5[[#This Row],[Impressions]]</f>
        <v>0.18086628511966701</v>
      </c>
      <c r="O142" s="11">
        <f>_xlfn.XLOOKUP(Posts5[[#This Row],[Campaign_Name]],'[1]Campaign Metadata'!A:A,'[1]Campaign Metadata'!B:B)</f>
        <v>45667</v>
      </c>
      <c r="P142" s="10">
        <f>_xlfn.XLOOKUP(Posts5[[#This Row],[Campaign_Name]],'[1]Campaign Metadata'!A:A,'[1]Campaign Metadata'!C:C)</f>
        <v>45698</v>
      </c>
      <c r="Q142" s="10" t="str">
        <f>IF(AND(Posts5[[#This Row],[Date]] &gt;=Posts5[[#This Row],[Campaign Start Date]], Posts5[[#This Row],[Date]]&lt;= Posts5[[#This Row],[Campaign end date]]), "During","Before")</f>
        <v>Before</v>
      </c>
    </row>
    <row r="143" spans="1:17" x14ac:dyDescent="0.3">
      <c r="A143" s="10" t="s">
        <v>138</v>
      </c>
      <c r="B143" s="10" t="s">
        <v>7</v>
      </c>
      <c r="C143" s="11">
        <v>45630</v>
      </c>
      <c r="D143" s="10" t="s">
        <v>15</v>
      </c>
      <c r="E143" s="10" t="s">
        <v>42</v>
      </c>
      <c r="F143" s="10">
        <v>2601</v>
      </c>
      <c r="G143" s="10">
        <v>336</v>
      </c>
      <c r="H143" s="10">
        <v>260</v>
      </c>
      <c r="I143" s="10">
        <v>32368</v>
      </c>
      <c r="J143" s="10">
        <v>49028</v>
      </c>
      <c r="K143" s="10">
        <v>120</v>
      </c>
      <c r="L143" s="10" t="s">
        <v>12</v>
      </c>
      <c r="M143" s="10" t="s">
        <v>34</v>
      </c>
      <c r="N143" s="10">
        <f>(Posts5[[#This Row],[Likes]]+Posts5[[#This Row],[Shares]]+Posts5[[#This Row],[Comments]])/Posts5[[#This Row],[Impressions]]</f>
        <v>9.8770390509144837E-2</v>
      </c>
      <c r="O143" s="11">
        <f>_xlfn.XLOOKUP(Posts5[[#This Row],[Campaign_Name]],'[1]Campaign Metadata'!A:A,'[1]Campaign Metadata'!B:B)</f>
        <v>45667</v>
      </c>
      <c r="P143" s="10">
        <f>_xlfn.XLOOKUP(Posts5[[#This Row],[Campaign_Name]],'[1]Campaign Metadata'!A:A,'[1]Campaign Metadata'!C:C)</f>
        <v>45698</v>
      </c>
      <c r="Q143" s="10" t="str">
        <f>IF(AND(Posts5[[#This Row],[Date]] &gt;=Posts5[[#This Row],[Campaign Start Date]], Posts5[[#This Row],[Date]]&lt;= Posts5[[#This Row],[Campaign end date]]), "During","Before")</f>
        <v>Before</v>
      </c>
    </row>
    <row r="144" spans="1:17" x14ac:dyDescent="0.3">
      <c r="A144" s="10" t="s">
        <v>138</v>
      </c>
      <c r="B144" s="10" t="s">
        <v>7</v>
      </c>
      <c r="C144" s="11">
        <v>45630</v>
      </c>
      <c r="D144" s="10" t="s">
        <v>15</v>
      </c>
      <c r="E144" s="10" t="s">
        <v>42</v>
      </c>
      <c r="F144" s="10">
        <v>2601</v>
      </c>
      <c r="G144" s="10">
        <v>336</v>
      </c>
      <c r="H144" s="10">
        <v>260</v>
      </c>
      <c r="I144" s="10">
        <v>32368</v>
      </c>
      <c r="J144" s="10">
        <v>49028</v>
      </c>
      <c r="K144" s="10">
        <v>120</v>
      </c>
      <c r="L144" s="10" t="s">
        <v>5</v>
      </c>
      <c r="M144" s="10" t="s">
        <v>34</v>
      </c>
      <c r="N144" s="10">
        <f>(Posts5[[#This Row],[Likes]]+Posts5[[#This Row],[Shares]]+Posts5[[#This Row],[Comments]])/Posts5[[#This Row],[Impressions]]</f>
        <v>9.8770390509144837E-2</v>
      </c>
      <c r="O144" s="11">
        <f>_xlfn.XLOOKUP(Posts5[[#This Row],[Campaign_Name]],'[1]Campaign Metadata'!A:A,'[1]Campaign Metadata'!B:B)</f>
        <v>45667</v>
      </c>
      <c r="P144" s="10">
        <f>_xlfn.XLOOKUP(Posts5[[#This Row],[Campaign_Name]],'[1]Campaign Metadata'!A:A,'[1]Campaign Metadata'!C:C)</f>
        <v>45698</v>
      </c>
      <c r="Q144" s="10" t="str">
        <f>IF(AND(Posts5[[#This Row],[Date]] &gt;=Posts5[[#This Row],[Campaign Start Date]], Posts5[[#This Row],[Date]]&lt;= Posts5[[#This Row],[Campaign end date]]), "During","Before")</f>
        <v>Before</v>
      </c>
    </row>
    <row r="145" spans="1:17" x14ac:dyDescent="0.3">
      <c r="A145" s="10" t="s">
        <v>139</v>
      </c>
      <c r="B145" s="10" t="s">
        <v>8</v>
      </c>
      <c r="C145" s="11">
        <v>45495</v>
      </c>
      <c r="D145" s="10" t="s">
        <v>13</v>
      </c>
      <c r="E145" s="10" t="s">
        <v>42</v>
      </c>
      <c r="F145" s="10">
        <v>3336</v>
      </c>
      <c r="G145" s="10">
        <v>229</v>
      </c>
      <c r="H145" s="10">
        <v>337</v>
      </c>
      <c r="I145" s="10">
        <v>22117</v>
      </c>
      <c r="J145" s="10">
        <v>26205</v>
      </c>
      <c r="K145" s="10">
        <v>160</v>
      </c>
      <c r="L145" s="10" t="s">
        <v>14</v>
      </c>
      <c r="M145" s="10" t="s">
        <v>34</v>
      </c>
      <c r="N145" s="10">
        <f>(Posts5[[#This Row],[Likes]]+Posts5[[#This Row],[Shares]]+Posts5[[#This Row],[Comments]])/Posts5[[#This Row],[Impressions]]</f>
        <v>0.17642537414658407</v>
      </c>
      <c r="O145" s="11">
        <f>_xlfn.XLOOKUP(Posts5[[#This Row],[Campaign_Name]],'[1]Campaign Metadata'!A:A,'[1]Campaign Metadata'!B:B)</f>
        <v>45667</v>
      </c>
      <c r="P145" s="10">
        <f>_xlfn.XLOOKUP(Posts5[[#This Row],[Campaign_Name]],'[1]Campaign Metadata'!A:A,'[1]Campaign Metadata'!C:C)</f>
        <v>45698</v>
      </c>
      <c r="Q145" s="10" t="str">
        <f>IF(AND(Posts5[[#This Row],[Date]] &gt;=Posts5[[#This Row],[Campaign Start Date]], Posts5[[#This Row],[Date]]&lt;= Posts5[[#This Row],[Campaign end date]]), "During","Before")</f>
        <v>Before</v>
      </c>
    </row>
    <row r="146" spans="1:17" x14ac:dyDescent="0.3">
      <c r="A146" s="10" t="s">
        <v>139</v>
      </c>
      <c r="B146" s="10" t="s">
        <v>8</v>
      </c>
      <c r="C146" s="11">
        <v>45495</v>
      </c>
      <c r="D146" s="10" t="s">
        <v>13</v>
      </c>
      <c r="E146" s="10" t="s">
        <v>42</v>
      </c>
      <c r="F146" s="10">
        <v>3336</v>
      </c>
      <c r="G146" s="10">
        <v>229</v>
      </c>
      <c r="H146" s="10">
        <v>337</v>
      </c>
      <c r="I146" s="10">
        <v>22117</v>
      </c>
      <c r="J146" s="10">
        <v>26205</v>
      </c>
      <c r="K146" s="10">
        <v>160</v>
      </c>
      <c r="L146" s="10" t="s">
        <v>5</v>
      </c>
      <c r="M146" s="10" t="s">
        <v>34</v>
      </c>
      <c r="N146" s="10">
        <f>(Posts5[[#This Row],[Likes]]+Posts5[[#This Row],[Shares]]+Posts5[[#This Row],[Comments]])/Posts5[[#This Row],[Impressions]]</f>
        <v>0.17642537414658407</v>
      </c>
      <c r="O146" s="11">
        <f>_xlfn.XLOOKUP(Posts5[[#This Row],[Campaign_Name]],'[1]Campaign Metadata'!A:A,'[1]Campaign Metadata'!B:B)</f>
        <v>45667</v>
      </c>
      <c r="P146" s="10">
        <f>_xlfn.XLOOKUP(Posts5[[#This Row],[Campaign_Name]],'[1]Campaign Metadata'!A:A,'[1]Campaign Metadata'!C:C)</f>
        <v>45698</v>
      </c>
      <c r="Q146" s="10" t="str">
        <f>IF(AND(Posts5[[#This Row],[Date]] &gt;=Posts5[[#This Row],[Campaign Start Date]], Posts5[[#This Row],[Date]]&lt;= Posts5[[#This Row],[Campaign end date]]), "During","Before")</f>
        <v>Before</v>
      </c>
    </row>
    <row r="147" spans="1:17" x14ac:dyDescent="0.3">
      <c r="A147" s="10" t="s">
        <v>140</v>
      </c>
      <c r="B147" s="10" t="s">
        <v>8</v>
      </c>
      <c r="C147" s="11">
        <v>45774</v>
      </c>
      <c r="D147" s="10" t="s">
        <v>15</v>
      </c>
      <c r="E147" s="10" t="s">
        <v>36</v>
      </c>
      <c r="F147" s="10">
        <v>1165</v>
      </c>
      <c r="G147" s="10">
        <v>294</v>
      </c>
      <c r="H147" s="10">
        <v>163</v>
      </c>
      <c r="I147" s="10">
        <v>20659</v>
      </c>
      <c r="J147" s="10">
        <v>45926</v>
      </c>
      <c r="K147" s="10">
        <v>111</v>
      </c>
      <c r="L147" s="10" t="s">
        <v>12</v>
      </c>
      <c r="M147" s="10" t="s">
        <v>37</v>
      </c>
      <c r="N147" s="10">
        <f>(Posts5[[#This Row],[Likes]]+Posts5[[#This Row],[Shares]]+Posts5[[#This Row],[Comments]])/Posts5[[#This Row],[Impressions]]</f>
        <v>7.8512996756861422E-2</v>
      </c>
      <c r="O147" s="11">
        <f>_xlfn.XLOOKUP(Posts5[[#This Row],[Campaign_Name]],'[1]Campaign Metadata'!A:A,'[1]Campaign Metadata'!B:B)</f>
        <v>45717</v>
      </c>
      <c r="P147" s="10">
        <f>_xlfn.XLOOKUP(Posts5[[#This Row],[Campaign_Name]],'[1]Campaign Metadata'!A:A,'[1]Campaign Metadata'!C:C)</f>
        <v>45747</v>
      </c>
      <c r="Q147" s="10" t="str">
        <f>IF(AND(Posts5[[#This Row],[Date]] &gt;=Posts5[[#This Row],[Campaign Start Date]], Posts5[[#This Row],[Date]]&lt;= Posts5[[#This Row],[Campaign end date]]), "During","Before")</f>
        <v>Before</v>
      </c>
    </row>
    <row r="148" spans="1:17" x14ac:dyDescent="0.3">
      <c r="A148" s="10" t="s">
        <v>141</v>
      </c>
      <c r="B148" s="10" t="s">
        <v>9</v>
      </c>
      <c r="C148" s="11">
        <v>45376</v>
      </c>
      <c r="D148" s="10" t="s">
        <v>11</v>
      </c>
      <c r="E148" s="10" t="s">
        <v>36</v>
      </c>
      <c r="F148" s="10">
        <v>1948</v>
      </c>
      <c r="G148" s="10">
        <v>155</v>
      </c>
      <c r="H148" s="10">
        <v>315</v>
      </c>
      <c r="I148" s="10">
        <v>30321</v>
      </c>
      <c r="J148" s="10">
        <v>57121</v>
      </c>
      <c r="K148" s="10">
        <v>82</v>
      </c>
      <c r="L148" s="10" t="s">
        <v>10</v>
      </c>
      <c r="M148" s="10" t="s">
        <v>68</v>
      </c>
      <c r="N148" s="10">
        <f>(Posts5[[#This Row],[Likes]]+Posts5[[#This Row],[Shares]]+Posts5[[#This Row],[Comments]])/Posts5[[#This Row],[Impressions]]</f>
        <v>7.974671020085089E-2</v>
      </c>
      <c r="O148" s="11">
        <f>_xlfn.XLOOKUP(Posts5[[#This Row],[Campaign_Name]],'[1]Campaign Metadata'!A:A,'[1]Campaign Metadata'!B:B)</f>
        <v>45458</v>
      </c>
      <c r="P148" s="10">
        <f>_xlfn.XLOOKUP(Posts5[[#This Row],[Campaign_Name]],'[1]Campaign Metadata'!A:A,'[1]Campaign Metadata'!C:C)</f>
        <v>45488</v>
      </c>
      <c r="Q148" s="10" t="str">
        <f>IF(AND(Posts5[[#This Row],[Date]] &gt;=Posts5[[#This Row],[Campaign Start Date]], Posts5[[#This Row],[Date]]&lt;= Posts5[[#This Row],[Campaign end date]]), "During","Before")</f>
        <v>Before</v>
      </c>
    </row>
    <row r="149" spans="1:17" x14ac:dyDescent="0.3">
      <c r="A149" s="10" t="s">
        <v>141</v>
      </c>
      <c r="B149" s="10" t="s">
        <v>9</v>
      </c>
      <c r="C149" s="11">
        <v>45376</v>
      </c>
      <c r="D149" s="10" t="s">
        <v>11</v>
      </c>
      <c r="E149" s="10" t="s">
        <v>36</v>
      </c>
      <c r="F149" s="10">
        <v>1948</v>
      </c>
      <c r="G149" s="10">
        <v>155</v>
      </c>
      <c r="H149" s="10">
        <v>315</v>
      </c>
      <c r="I149" s="10">
        <v>30321</v>
      </c>
      <c r="J149" s="10">
        <v>57121</v>
      </c>
      <c r="K149" s="10">
        <v>82</v>
      </c>
      <c r="L149" s="10" t="s">
        <v>12</v>
      </c>
      <c r="M149" s="10" t="s">
        <v>68</v>
      </c>
      <c r="N149" s="10">
        <f>(Posts5[[#This Row],[Likes]]+Posts5[[#This Row],[Shares]]+Posts5[[#This Row],[Comments]])/Posts5[[#This Row],[Impressions]]</f>
        <v>7.974671020085089E-2</v>
      </c>
      <c r="O149" s="11">
        <f>_xlfn.XLOOKUP(Posts5[[#This Row],[Campaign_Name]],'[1]Campaign Metadata'!A:A,'[1]Campaign Metadata'!B:B)</f>
        <v>45458</v>
      </c>
      <c r="P149" s="10">
        <f>_xlfn.XLOOKUP(Posts5[[#This Row],[Campaign_Name]],'[1]Campaign Metadata'!A:A,'[1]Campaign Metadata'!C:C)</f>
        <v>45488</v>
      </c>
      <c r="Q149" s="10" t="str">
        <f>IF(AND(Posts5[[#This Row],[Date]] &gt;=Posts5[[#This Row],[Campaign Start Date]], Posts5[[#This Row],[Date]]&lt;= Posts5[[#This Row],[Campaign end date]]), "During","Before")</f>
        <v>Before</v>
      </c>
    </row>
    <row r="150" spans="1:17" x14ac:dyDescent="0.3">
      <c r="A150" s="10" t="s">
        <v>142</v>
      </c>
      <c r="B150" s="10" t="s">
        <v>7</v>
      </c>
      <c r="C150" s="11">
        <v>45351</v>
      </c>
      <c r="D150" s="10" t="s">
        <v>15</v>
      </c>
      <c r="E150" s="10" t="s">
        <v>59</v>
      </c>
      <c r="F150" s="10">
        <v>1100</v>
      </c>
      <c r="G150" s="10">
        <v>229</v>
      </c>
      <c r="H150" s="10">
        <v>312</v>
      </c>
      <c r="I150" s="10">
        <v>25641</v>
      </c>
      <c r="J150" s="10">
        <v>34601</v>
      </c>
      <c r="K150" s="10">
        <v>169</v>
      </c>
      <c r="L150" s="10" t="s">
        <v>10</v>
      </c>
      <c r="M150" s="10" t="s">
        <v>37</v>
      </c>
      <c r="N150" s="10">
        <f>(Posts5[[#This Row],[Likes]]+Posts5[[#This Row],[Shares]]+Posts5[[#This Row],[Comments]])/Posts5[[#This Row],[Impressions]]</f>
        <v>6.3999063999063993E-2</v>
      </c>
      <c r="O150" s="11">
        <f>_xlfn.XLOOKUP(Posts5[[#This Row],[Campaign_Name]],'[1]Campaign Metadata'!A:A,'[1]Campaign Metadata'!B:B)</f>
        <v>45717</v>
      </c>
      <c r="P150" s="10">
        <f>_xlfn.XLOOKUP(Posts5[[#This Row],[Campaign_Name]],'[1]Campaign Metadata'!A:A,'[1]Campaign Metadata'!C:C)</f>
        <v>45747</v>
      </c>
      <c r="Q150" s="10" t="str">
        <f>IF(AND(Posts5[[#This Row],[Date]] &gt;=Posts5[[#This Row],[Campaign Start Date]], Posts5[[#This Row],[Date]]&lt;= Posts5[[#This Row],[Campaign end date]]), "During","Before")</f>
        <v>Before</v>
      </c>
    </row>
    <row r="151" spans="1:17" x14ac:dyDescent="0.3">
      <c r="A151" s="10" t="s">
        <v>143</v>
      </c>
      <c r="B151" s="10" t="s">
        <v>8</v>
      </c>
      <c r="C151" s="11">
        <v>45609</v>
      </c>
      <c r="D151" s="10" t="s">
        <v>13</v>
      </c>
      <c r="E151" s="10" t="s">
        <v>53</v>
      </c>
      <c r="F151" s="10">
        <v>4628</v>
      </c>
      <c r="G151" s="10">
        <v>257</v>
      </c>
      <c r="H151" s="10">
        <v>397</v>
      </c>
      <c r="I151" s="10">
        <v>36686</v>
      </c>
      <c r="J151" s="10">
        <v>54683</v>
      </c>
      <c r="K151" s="10">
        <v>98</v>
      </c>
      <c r="L151" s="10" t="s">
        <v>12</v>
      </c>
      <c r="M151" s="10" t="s">
        <v>34</v>
      </c>
      <c r="N151" s="10">
        <f>(Posts5[[#This Row],[Likes]]+Posts5[[#This Row],[Shares]]+Posts5[[#This Row],[Comments]])/Posts5[[#This Row],[Impressions]]</f>
        <v>0.1439786294499264</v>
      </c>
      <c r="O151" s="11">
        <f>_xlfn.XLOOKUP(Posts5[[#This Row],[Campaign_Name]],'[1]Campaign Metadata'!A:A,'[1]Campaign Metadata'!B:B)</f>
        <v>45667</v>
      </c>
      <c r="P151" s="10">
        <f>_xlfn.XLOOKUP(Posts5[[#This Row],[Campaign_Name]],'[1]Campaign Metadata'!A:A,'[1]Campaign Metadata'!C:C)</f>
        <v>45698</v>
      </c>
      <c r="Q151" s="10" t="str">
        <f>IF(AND(Posts5[[#This Row],[Date]] &gt;=Posts5[[#This Row],[Campaign Start Date]], Posts5[[#This Row],[Date]]&lt;= Posts5[[#This Row],[Campaign end date]]), "During","Before")</f>
        <v>Before</v>
      </c>
    </row>
    <row r="152" spans="1:17" x14ac:dyDescent="0.3">
      <c r="A152" s="10" t="s">
        <v>143</v>
      </c>
      <c r="B152" s="10" t="s">
        <v>8</v>
      </c>
      <c r="C152" s="11">
        <v>45609</v>
      </c>
      <c r="D152" s="10" t="s">
        <v>13</v>
      </c>
      <c r="E152" s="10" t="s">
        <v>53</v>
      </c>
      <c r="F152" s="10">
        <v>4628</v>
      </c>
      <c r="G152" s="10">
        <v>257</v>
      </c>
      <c r="H152" s="10">
        <v>397</v>
      </c>
      <c r="I152" s="10">
        <v>36686</v>
      </c>
      <c r="J152" s="10">
        <v>54683</v>
      </c>
      <c r="K152" s="10">
        <v>98</v>
      </c>
      <c r="L152" s="10" t="s">
        <v>5</v>
      </c>
      <c r="M152" s="10" t="s">
        <v>34</v>
      </c>
      <c r="N152" s="10">
        <f>(Posts5[[#This Row],[Likes]]+Posts5[[#This Row],[Shares]]+Posts5[[#This Row],[Comments]])/Posts5[[#This Row],[Impressions]]</f>
        <v>0.1439786294499264</v>
      </c>
      <c r="O152" s="11">
        <f>_xlfn.XLOOKUP(Posts5[[#This Row],[Campaign_Name]],'[1]Campaign Metadata'!A:A,'[1]Campaign Metadata'!B:B)</f>
        <v>45667</v>
      </c>
      <c r="P152" s="10">
        <f>_xlfn.XLOOKUP(Posts5[[#This Row],[Campaign_Name]],'[1]Campaign Metadata'!A:A,'[1]Campaign Metadata'!C:C)</f>
        <v>45698</v>
      </c>
      <c r="Q152" s="10" t="str">
        <f>IF(AND(Posts5[[#This Row],[Date]] &gt;=Posts5[[#This Row],[Campaign Start Date]], Posts5[[#This Row],[Date]]&lt;= Posts5[[#This Row],[Campaign end date]]), "During","Before")</f>
        <v>Before</v>
      </c>
    </row>
    <row r="153" spans="1:17" x14ac:dyDescent="0.3">
      <c r="A153" s="10" t="s">
        <v>144</v>
      </c>
      <c r="B153" s="10" t="s">
        <v>7</v>
      </c>
      <c r="C153" s="11">
        <v>45373</v>
      </c>
      <c r="D153" s="10" t="s">
        <v>13</v>
      </c>
      <c r="E153" s="10" t="s">
        <v>32</v>
      </c>
      <c r="F153" s="10">
        <v>2319</v>
      </c>
      <c r="G153" s="10">
        <v>484</v>
      </c>
      <c r="H153" s="10">
        <v>193</v>
      </c>
      <c r="I153" s="10">
        <v>21202</v>
      </c>
      <c r="J153" s="10">
        <v>18091</v>
      </c>
      <c r="K153" s="10">
        <v>241</v>
      </c>
      <c r="L153" s="10" t="s">
        <v>5</v>
      </c>
      <c r="M153" s="10" t="s">
        <v>65</v>
      </c>
      <c r="N153" s="10">
        <f>(Posts5[[#This Row],[Likes]]+Posts5[[#This Row],[Shares]]+Posts5[[#This Row],[Comments]])/Posts5[[#This Row],[Impressions]]</f>
        <v>0.14130742382794076</v>
      </c>
      <c r="O153" s="11">
        <f>_xlfn.XLOOKUP(Posts5[[#This Row],[Campaign_Name]],'[1]Campaign Metadata'!A:A,'[1]Campaign Metadata'!B:B)</f>
        <v>45627</v>
      </c>
      <c r="P153" s="10">
        <f>_xlfn.XLOOKUP(Posts5[[#This Row],[Campaign_Name]],'[1]Campaign Metadata'!A:A,'[1]Campaign Metadata'!C:C)</f>
        <v>45657</v>
      </c>
      <c r="Q153" s="10" t="str">
        <f>IF(AND(Posts5[[#This Row],[Date]] &gt;=Posts5[[#This Row],[Campaign Start Date]], Posts5[[#This Row],[Date]]&lt;= Posts5[[#This Row],[Campaign end date]]), "During","Before")</f>
        <v>Before</v>
      </c>
    </row>
    <row r="154" spans="1:17" x14ac:dyDescent="0.3">
      <c r="A154" s="10" t="s">
        <v>145</v>
      </c>
      <c r="B154" s="10" t="s">
        <v>8</v>
      </c>
      <c r="C154" s="11">
        <v>45367</v>
      </c>
      <c r="D154" s="10" t="s">
        <v>13</v>
      </c>
      <c r="E154" s="10" t="s">
        <v>42</v>
      </c>
      <c r="F154" s="10">
        <v>2895</v>
      </c>
      <c r="G154" s="10">
        <v>292</v>
      </c>
      <c r="H154" s="10">
        <v>90</v>
      </c>
      <c r="I154" s="10">
        <v>24223</v>
      </c>
      <c r="J154" s="10">
        <v>54626</v>
      </c>
      <c r="K154" s="10">
        <v>114</v>
      </c>
      <c r="L154" s="10" t="s">
        <v>12</v>
      </c>
      <c r="M154" s="10" t="s">
        <v>34</v>
      </c>
      <c r="N154" s="10">
        <f>(Posts5[[#This Row],[Likes]]+Posts5[[#This Row],[Shares]]+Posts5[[#This Row],[Comments]])/Posts5[[#This Row],[Impressions]]</f>
        <v>0.13528464682326713</v>
      </c>
      <c r="O154" s="11">
        <f>_xlfn.XLOOKUP(Posts5[[#This Row],[Campaign_Name]],'[1]Campaign Metadata'!A:A,'[1]Campaign Metadata'!B:B)</f>
        <v>45667</v>
      </c>
      <c r="P154" s="10">
        <f>_xlfn.XLOOKUP(Posts5[[#This Row],[Campaign_Name]],'[1]Campaign Metadata'!A:A,'[1]Campaign Metadata'!C:C)</f>
        <v>45698</v>
      </c>
      <c r="Q154" s="10" t="str">
        <f>IF(AND(Posts5[[#This Row],[Date]] &gt;=Posts5[[#This Row],[Campaign Start Date]], Posts5[[#This Row],[Date]]&lt;= Posts5[[#This Row],[Campaign end date]]), "During","Before")</f>
        <v>Before</v>
      </c>
    </row>
    <row r="155" spans="1:17" x14ac:dyDescent="0.3">
      <c r="A155" s="10" t="s">
        <v>145</v>
      </c>
      <c r="B155" s="10" t="s">
        <v>8</v>
      </c>
      <c r="C155" s="11">
        <v>45367</v>
      </c>
      <c r="D155" s="10" t="s">
        <v>13</v>
      </c>
      <c r="E155" s="10" t="s">
        <v>42</v>
      </c>
      <c r="F155" s="10">
        <v>2895</v>
      </c>
      <c r="G155" s="10">
        <v>292</v>
      </c>
      <c r="H155" s="10">
        <v>90</v>
      </c>
      <c r="I155" s="10">
        <v>24223</v>
      </c>
      <c r="J155" s="10">
        <v>54626</v>
      </c>
      <c r="K155" s="10">
        <v>114</v>
      </c>
      <c r="L155" s="10" t="s">
        <v>5</v>
      </c>
      <c r="M155" s="10" t="s">
        <v>34</v>
      </c>
      <c r="N155" s="10">
        <f>(Posts5[[#This Row],[Likes]]+Posts5[[#This Row],[Shares]]+Posts5[[#This Row],[Comments]])/Posts5[[#This Row],[Impressions]]</f>
        <v>0.13528464682326713</v>
      </c>
      <c r="O155" s="11">
        <f>_xlfn.XLOOKUP(Posts5[[#This Row],[Campaign_Name]],'[1]Campaign Metadata'!A:A,'[1]Campaign Metadata'!B:B)</f>
        <v>45667</v>
      </c>
      <c r="P155" s="10">
        <f>_xlfn.XLOOKUP(Posts5[[#This Row],[Campaign_Name]],'[1]Campaign Metadata'!A:A,'[1]Campaign Metadata'!C:C)</f>
        <v>45698</v>
      </c>
      <c r="Q155" s="10" t="str">
        <f>IF(AND(Posts5[[#This Row],[Date]] &gt;=Posts5[[#This Row],[Campaign Start Date]], Posts5[[#This Row],[Date]]&lt;= Posts5[[#This Row],[Campaign end date]]), "During","Before")</f>
        <v>Before</v>
      </c>
    </row>
    <row r="156" spans="1:17" x14ac:dyDescent="0.3">
      <c r="A156" s="10" t="s">
        <v>146</v>
      </c>
      <c r="B156" s="10" t="s">
        <v>7</v>
      </c>
      <c r="C156" s="11">
        <v>45317</v>
      </c>
      <c r="D156" s="10" t="s">
        <v>15</v>
      </c>
      <c r="E156" s="10" t="s">
        <v>47</v>
      </c>
      <c r="F156" s="10">
        <v>3878</v>
      </c>
      <c r="G156" s="10">
        <v>431</v>
      </c>
      <c r="H156" s="10">
        <v>97</v>
      </c>
      <c r="I156" s="10">
        <v>41763</v>
      </c>
      <c r="J156" s="10">
        <v>29729</v>
      </c>
      <c r="K156" s="10">
        <v>191</v>
      </c>
      <c r="L156" s="10" t="s">
        <v>10</v>
      </c>
      <c r="M156" s="10" t="s">
        <v>37</v>
      </c>
      <c r="N156" s="10">
        <f>(Posts5[[#This Row],[Likes]]+Posts5[[#This Row],[Shares]]+Posts5[[#This Row],[Comments]])/Posts5[[#This Row],[Impressions]]</f>
        <v>0.10550008380623997</v>
      </c>
      <c r="O156" s="11">
        <f>_xlfn.XLOOKUP(Posts5[[#This Row],[Campaign_Name]],'[1]Campaign Metadata'!A:A,'[1]Campaign Metadata'!B:B)</f>
        <v>45717</v>
      </c>
      <c r="P156" s="10">
        <f>_xlfn.XLOOKUP(Posts5[[#This Row],[Campaign_Name]],'[1]Campaign Metadata'!A:A,'[1]Campaign Metadata'!C:C)</f>
        <v>45747</v>
      </c>
      <c r="Q156" s="10" t="str">
        <f>IF(AND(Posts5[[#This Row],[Date]] &gt;=Posts5[[#This Row],[Campaign Start Date]], Posts5[[#This Row],[Date]]&lt;= Posts5[[#This Row],[Campaign end date]]), "During","Before")</f>
        <v>Before</v>
      </c>
    </row>
    <row r="157" spans="1:17" x14ac:dyDescent="0.3">
      <c r="A157" s="10" t="s">
        <v>147</v>
      </c>
      <c r="B157" s="10" t="s">
        <v>8</v>
      </c>
      <c r="C157" s="11">
        <v>45366</v>
      </c>
      <c r="D157" s="10" t="s">
        <v>13</v>
      </c>
      <c r="E157" s="10" t="s">
        <v>49</v>
      </c>
      <c r="F157" s="10">
        <v>4969</v>
      </c>
      <c r="G157" s="10">
        <v>433</v>
      </c>
      <c r="H157" s="10">
        <v>237</v>
      </c>
      <c r="I157" s="10">
        <v>59552</v>
      </c>
      <c r="J157" s="10">
        <v>23885</v>
      </c>
      <c r="K157" s="10">
        <v>157</v>
      </c>
      <c r="L157" s="10" t="s">
        <v>10</v>
      </c>
      <c r="M157" s="10" t="s">
        <v>34</v>
      </c>
      <c r="N157" s="10">
        <f>(Posts5[[#This Row],[Likes]]+Posts5[[#This Row],[Shares]]+Posts5[[#This Row],[Comments]])/Posts5[[#This Row],[Impressions]]</f>
        <v>9.4690354648038683E-2</v>
      </c>
      <c r="O157" s="11">
        <f>_xlfn.XLOOKUP(Posts5[[#This Row],[Campaign_Name]],'[1]Campaign Metadata'!A:A,'[1]Campaign Metadata'!B:B)</f>
        <v>45667</v>
      </c>
      <c r="P157" s="10">
        <f>_xlfn.XLOOKUP(Posts5[[#This Row],[Campaign_Name]],'[1]Campaign Metadata'!A:A,'[1]Campaign Metadata'!C:C)</f>
        <v>45698</v>
      </c>
      <c r="Q157" s="10" t="str">
        <f>IF(AND(Posts5[[#This Row],[Date]] &gt;=Posts5[[#This Row],[Campaign Start Date]], Posts5[[#This Row],[Date]]&lt;= Posts5[[#This Row],[Campaign end date]]), "During","Before")</f>
        <v>Before</v>
      </c>
    </row>
    <row r="158" spans="1:17" x14ac:dyDescent="0.3">
      <c r="A158" s="10" t="s">
        <v>147</v>
      </c>
      <c r="B158" s="10" t="s">
        <v>8</v>
      </c>
      <c r="C158" s="11">
        <v>45366</v>
      </c>
      <c r="D158" s="10" t="s">
        <v>13</v>
      </c>
      <c r="E158" s="10" t="s">
        <v>49</v>
      </c>
      <c r="F158" s="10">
        <v>4969</v>
      </c>
      <c r="G158" s="10">
        <v>433</v>
      </c>
      <c r="H158" s="10">
        <v>237</v>
      </c>
      <c r="I158" s="10">
        <v>59552</v>
      </c>
      <c r="J158" s="10">
        <v>23885</v>
      </c>
      <c r="K158" s="10">
        <v>157</v>
      </c>
      <c r="L158" s="10" t="s">
        <v>14</v>
      </c>
      <c r="M158" s="10" t="s">
        <v>34</v>
      </c>
      <c r="N158" s="10">
        <f>(Posts5[[#This Row],[Likes]]+Posts5[[#This Row],[Shares]]+Posts5[[#This Row],[Comments]])/Posts5[[#This Row],[Impressions]]</f>
        <v>9.4690354648038683E-2</v>
      </c>
      <c r="O158" s="11">
        <f>_xlfn.XLOOKUP(Posts5[[#This Row],[Campaign_Name]],'[1]Campaign Metadata'!A:A,'[1]Campaign Metadata'!B:B)</f>
        <v>45667</v>
      </c>
      <c r="P158" s="10">
        <f>_xlfn.XLOOKUP(Posts5[[#This Row],[Campaign_Name]],'[1]Campaign Metadata'!A:A,'[1]Campaign Metadata'!C:C)</f>
        <v>45698</v>
      </c>
      <c r="Q158" s="10" t="str">
        <f>IF(AND(Posts5[[#This Row],[Date]] &gt;=Posts5[[#This Row],[Campaign Start Date]], Posts5[[#This Row],[Date]]&lt;= Posts5[[#This Row],[Campaign end date]]), "During","Before")</f>
        <v>Before</v>
      </c>
    </row>
    <row r="159" spans="1:17" x14ac:dyDescent="0.3">
      <c r="A159" s="10" t="s">
        <v>148</v>
      </c>
      <c r="B159" s="10" t="s">
        <v>8</v>
      </c>
      <c r="C159" s="11">
        <v>45580</v>
      </c>
      <c r="D159" s="10" t="s">
        <v>15</v>
      </c>
      <c r="E159" s="10" t="s">
        <v>42</v>
      </c>
      <c r="F159" s="10">
        <v>1984</v>
      </c>
      <c r="G159" s="10">
        <v>481</v>
      </c>
      <c r="H159" s="10">
        <v>356</v>
      </c>
      <c r="I159" s="10">
        <v>40681</v>
      </c>
      <c r="J159" s="10">
        <v>63111</v>
      </c>
      <c r="K159" s="10">
        <v>258</v>
      </c>
      <c r="L159" s="10" t="s">
        <v>5</v>
      </c>
      <c r="M159" s="10" t="s">
        <v>34</v>
      </c>
      <c r="N159" s="10">
        <f>(Posts5[[#This Row],[Likes]]+Posts5[[#This Row],[Shares]]+Posts5[[#This Row],[Comments]])/Posts5[[#This Row],[Impressions]]</f>
        <v>6.934441139598338E-2</v>
      </c>
      <c r="O159" s="11">
        <f>_xlfn.XLOOKUP(Posts5[[#This Row],[Campaign_Name]],'[1]Campaign Metadata'!A:A,'[1]Campaign Metadata'!B:B)</f>
        <v>45667</v>
      </c>
      <c r="P159" s="10">
        <f>_xlfn.XLOOKUP(Posts5[[#This Row],[Campaign_Name]],'[1]Campaign Metadata'!A:A,'[1]Campaign Metadata'!C:C)</f>
        <v>45698</v>
      </c>
      <c r="Q159" s="10" t="str">
        <f>IF(AND(Posts5[[#This Row],[Date]] &gt;=Posts5[[#This Row],[Campaign Start Date]], Posts5[[#This Row],[Date]]&lt;= Posts5[[#This Row],[Campaign end date]]), "During","Before")</f>
        <v>Before</v>
      </c>
    </row>
    <row r="160" spans="1:17" x14ac:dyDescent="0.3">
      <c r="A160" s="10" t="s">
        <v>149</v>
      </c>
      <c r="B160" s="10" t="s">
        <v>7</v>
      </c>
      <c r="C160" s="11">
        <v>45494</v>
      </c>
      <c r="D160" s="10" t="s">
        <v>15</v>
      </c>
      <c r="E160" s="10" t="s">
        <v>32</v>
      </c>
      <c r="F160" s="10">
        <v>3004</v>
      </c>
      <c r="G160" s="10">
        <v>415</v>
      </c>
      <c r="H160" s="10">
        <v>218</v>
      </c>
      <c r="I160" s="10">
        <v>36090</v>
      </c>
      <c r="J160" s="10">
        <v>37073</v>
      </c>
      <c r="K160" s="10">
        <v>181</v>
      </c>
      <c r="L160" s="10" t="s">
        <v>10</v>
      </c>
      <c r="M160" s="10" t="s">
        <v>37</v>
      </c>
      <c r="N160" s="10">
        <f>(Posts5[[#This Row],[Likes]]+Posts5[[#This Row],[Shares]]+Posts5[[#This Row],[Comments]])/Posts5[[#This Row],[Impressions]]</f>
        <v>0.10077583818232197</v>
      </c>
      <c r="O160" s="11">
        <f>_xlfn.XLOOKUP(Posts5[[#This Row],[Campaign_Name]],'[1]Campaign Metadata'!A:A,'[1]Campaign Metadata'!B:B)</f>
        <v>45717</v>
      </c>
      <c r="P160" s="10">
        <f>_xlfn.XLOOKUP(Posts5[[#This Row],[Campaign_Name]],'[1]Campaign Metadata'!A:A,'[1]Campaign Metadata'!C:C)</f>
        <v>45747</v>
      </c>
      <c r="Q160" s="10" t="str">
        <f>IF(AND(Posts5[[#This Row],[Date]] &gt;=Posts5[[#This Row],[Campaign Start Date]], Posts5[[#This Row],[Date]]&lt;= Posts5[[#This Row],[Campaign end date]]), "During","Before")</f>
        <v>Before</v>
      </c>
    </row>
    <row r="161" spans="1:17" x14ac:dyDescent="0.3">
      <c r="A161" s="10" t="s">
        <v>150</v>
      </c>
      <c r="B161" s="10" t="s">
        <v>8</v>
      </c>
      <c r="C161" s="11">
        <v>45577</v>
      </c>
      <c r="D161" s="10" t="s">
        <v>15</v>
      </c>
      <c r="E161" s="10" t="s">
        <v>49</v>
      </c>
      <c r="F161" s="10">
        <v>3169</v>
      </c>
      <c r="G161" s="10">
        <v>386</v>
      </c>
      <c r="H161" s="10">
        <v>175</v>
      </c>
      <c r="I161" s="10">
        <v>45012</v>
      </c>
      <c r="J161" s="10">
        <v>38508</v>
      </c>
      <c r="K161" s="10">
        <v>218</v>
      </c>
      <c r="L161" s="10" t="s">
        <v>5</v>
      </c>
      <c r="M161" s="10" t="s">
        <v>34</v>
      </c>
      <c r="N161" s="10">
        <f>(Posts5[[#This Row],[Likes]]+Posts5[[#This Row],[Shares]]+Posts5[[#This Row],[Comments]])/Posts5[[#This Row],[Impressions]]</f>
        <v>8.2866791077934779E-2</v>
      </c>
      <c r="O161" s="11">
        <f>_xlfn.XLOOKUP(Posts5[[#This Row],[Campaign_Name]],'[1]Campaign Metadata'!A:A,'[1]Campaign Metadata'!B:B)</f>
        <v>45667</v>
      </c>
      <c r="P161" s="10">
        <f>_xlfn.XLOOKUP(Posts5[[#This Row],[Campaign_Name]],'[1]Campaign Metadata'!A:A,'[1]Campaign Metadata'!C:C)</f>
        <v>45698</v>
      </c>
      <c r="Q161" s="10" t="str">
        <f>IF(AND(Posts5[[#This Row],[Date]] &gt;=Posts5[[#This Row],[Campaign Start Date]], Posts5[[#This Row],[Date]]&lt;= Posts5[[#This Row],[Campaign end date]]), "During","Before")</f>
        <v>Before</v>
      </c>
    </row>
    <row r="162" spans="1:17" x14ac:dyDescent="0.3">
      <c r="A162" s="10" t="s">
        <v>151</v>
      </c>
      <c r="B162" s="10" t="s">
        <v>8</v>
      </c>
      <c r="C162" s="11">
        <v>45591</v>
      </c>
      <c r="D162" s="10" t="s">
        <v>15</v>
      </c>
      <c r="E162" s="10" t="s">
        <v>32</v>
      </c>
      <c r="F162" s="10">
        <v>3036</v>
      </c>
      <c r="G162" s="10">
        <v>293</v>
      </c>
      <c r="H162" s="10">
        <v>115</v>
      </c>
      <c r="I162" s="10">
        <v>23776</v>
      </c>
      <c r="J162" s="10">
        <v>46386</v>
      </c>
      <c r="K162" s="10">
        <v>282</v>
      </c>
      <c r="L162" s="10" t="s">
        <v>5</v>
      </c>
      <c r="M162" s="10" t="s">
        <v>34</v>
      </c>
      <c r="N162" s="10">
        <f>(Posts5[[#This Row],[Likes]]+Posts5[[#This Row],[Shares]]+Posts5[[#This Row],[Comments]])/Posts5[[#This Row],[Impressions]]</f>
        <v>0.14485195154777927</v>
      </c>
      <c r="O162" s="11">
        <f>_xlfn.XLOOKUP(Posts5[[#This Row],[Campaign_Name]],'[1]Campaign Metadata'!A:A,'[1]Campaign Metadata'!B:B)</f>
        <v>45667</v>
      </c>
      <c r="P162" s="10">
        <f>_xlfn.XLOOKUP(Posts5[[#This Row],[Campaign_Name]],'[1]Campaign Metadata'!A:A,'[1]Campaign Metadata'!C:C)</f>
        <v>45698</v>
      </c>
      <c r="Q162" s="10" t="str">
        <f>IF(AND(Posts5[[#This Row],[Date]] &gt;=Posts5[[#This Row],[Campaign Start Date]], Posts5[[#This Row],[Date]]&lt;= Posts5[[#This Row],[Campaign end date]]), "During","Before")</f>
        <v>Before</v>
      </c>
    </row>
    <row r="163" spans="1:17" x14ac:dyDescent="0.3">
      <c r="A163" s="10" t="s">
        <v>152</v>
      </c>
      <c r="B163" s="10" t="s">
        <v>7</v>
      </c>
      <c r="C163" s="11">
        <v>45336</v>
      </c>
      <c r="D163" s="10" t="s">
        <v>15</v>
      </c>
      <c r="E163" s="10" t="s">
        <v>44</v>
      </c>
      <c r="F163" s="10">
        <v>1830</v>
      </c>
      <c r="G163" s="10">
        <v>112</v>
      </c>
      <c r="H163" s="10">
        <v>181</v>
      </c>
      <c r="I163" s="10">
        <v>31870</v>
      </c>
      <c r="J163" s="10">
        <v>55742</v>
      </c>
      <c r="K163" s="10">
        <v>263</v>
      </c>
      <c r="L163" s="10" t="s">
        <v>12</v>
      </c>
      <c r="M163" s="10" t="s">
        <v>34</v>
      </c>
      <c r="N163" s="10">
        <f>(Posts5[[#This Row],[Likes]]+Posts5[[#This Row],[Shares]]+Posts5[[#This Row],[Comments]])/Posts5[[#This Row],[Impressions]]</f>
        <v>6.6614370881706936E-2</v>
      </c>
      <c r="O163" s="11">
        <f>_xlfn.XLOOKUP(Posts5[[#This Row],[Campaign_Name]],'[1]Campaign Metadata'!A:A,'[1]Campaign Metadata'!B:B)</f>
        <v>45667</v>
      </c>
      <c r="P163" s="10">
        <f>_xlfn.XLOOKUP(Posts5[[#This Row],[Campaign_Name]],'[1]Campaign Metadata'!A:A,'[1]Campaign Metadata'!C:C)</f>
        <v>45698</v>
      </c>
      <c r="Q163" s="10" t="str">
        <f>IF(AND(Posts5[[#This Row],[Date]] &gt;=Posts5[[#This Row],[Campaign Start Date]], Posts5[[#This Row],[Date]]&lt;= Posts5[[#This Row],[Campaign end date]]), "During","Before")</f>
        <v>Before</v>
      </c>
    </row>
    <row r="164" spans="1:17" x14ac:dyDescent="0.3">
      <c r="A164" s="10" t="s">
        <v>152</v>
      </c>
      <c r="B164" s="10" t="s">
        <v>7</v>
      </c>
      <c r="C164" s="11">
        <v>45336</v>
      </c>
      <c r="D164" s="10" t="s">
        <v>15</v>
      </c>
      <c r="E164" s="10" t="s">
        <v>44</v>
      </c>
      <c r="F164" s="10">
        <v>1830</v>
      </c>
      <c r="G164" s="10">
        <v>112</v>
      </c>
      <c r="H164" s="10">
        <v>181</v>
      </c>
      <c r="I164" s="10">
        <v>31870</v>
      </c>
      <c r="J164" s="10">
        <v>55742</v>
      </c>
      <c r="K164" s="10">
        <v>263</v>
      </c>
      <c r="L164" s="10" t="s">
        <v>5</v>
      </c>
      <c r="M164" s="10" t="s">
        <v>34</v>
      </c>
      <c r="N164" s="10">
        <f>(Posts5[[#This Row],[Likes]]+Posts5[[#This Row],[Shares]]+Posts5[[#This Row],[Comments]])/Posts5[[#This Row],[Impressions]]</f>
        <v>6.6614370881706936E-2</v>
      </c>
      <c r="O164" s="11">
        <f>_xlfn.XLOOKUP(Posts5[[#This Row],[Campaign_Name]],'[1]Campaign Metadata'!A:A,'[1]Campaign Metadata'!B:B)</f>
        <v>45667</v>
      </c>
      <c r="P164" s="10">
        <f>_xlfn.XLOOKUP(Posts5[[#This Row],[Campaign_Name]],'[1]Campaign Metadata'!A:A,'[1]Campaign Metadata'!C:C)</f>
        <v>45698</v>
      </c>
      <c r="Q164" s="10" t="str">
        <f>IF(AND(Posts5[[#This Row],[Date]] &gt;=Posts5[[#This Row],[Campaign Start Date]], Posts5[[#This Row],[Date]]&lt;= Posts5[[#This Row],[Campaign end date]]), "During","Before")</f>
        <v>Before</v>
      </c>
    </row>
    <row r="165" spans="1:17" x14ac:dyDescent="0.3">
      <c r="A165" s="10" t="s">
        <v>153</v>
      </c>
      <c r="B165" s="10" t="s">
        <v>8</v>
      </c>
      <c r="C165" s="11">
        <v>45413</v>
      </c>
      <c r="D165" s="10" t="s">
        <v>13</v>
      </c>
      <c r="E165" s="10" t="s">
        <v>47</v>
      </c>
      <c r="F165" s="10">
        <v>2587</v>
      </c>
      <c r="G165" s="10">
        <v>447</v>
      </c>
      <c r="H165" s="10">
        <v>183</v>
      </c>
      <c r="I165" s="10">
        <v>36266</v>
      </c>
      <c r="J165" s="10">
        <v>32877</v>
      </c>
      <c r="K165" s="10">
        <v>132</v>
      </c>
      <c r="L165" s="10" t="s">
        <v>10</v>
      </c>
      <c r="M165" s="10" t="s">
        <v>34</v>
      </c>
      <c r="N165" s="10">
        <f>(Posts5[[#This Row],[Likes]]+Posts5[[#This Row],[Shares]]+Posts5[[#This Row],[Comments]])/Posts5[[#This Row],[Impressions]]</f>
        <v>8.8705674736667947E-2</v>
      </c>
      <c r="O165" s="11">
        <f>_xlfn.XLOOKUP(Posts5[[#This Row],[Campaign_Name]],'[1]Campaign Metadata'!A:A,'[1]Campaign Metadata'!B:B)</f>
        <v>45667</v>
      </c>
      <c r="P165" s="10">
        <f>_xlfn.XLOOKUP(Posts5[[#This Row],[Campaign_Name]],'[1]Campaign Metadata'!A:A,'[1]Campaign Metadata'!C:C)</f>
        <v>45698</v>
      </c>
      <c r="Q165" s="10" t="str">
        <f>IF(AND(Posts5[[#This Row],[Date]] &gt;=Posts5[[#This Row],[Campaign Start Date]], Posts5[[#This Row],[Date]]&lt;= Posts5[[#This Row],[Campaign end date]]), "During","Before")</f>
        <v>Before</v>
      </c>
    </row>
    <row r="166" spans="1:17" x14ac:dyDescent="0.3">
      <c r="A166" s="10" t="s">
        <v>153</v>
      </c>
      <c r="B166" s="10" t="s">
        <v>8</v>
      </c>
      <c r="C166" s="11">
        <v>45413</v>
      </c>
      <c r="D166" s="10" t="s">
        <v>13</v>
      </c>
      <c r="E166" s="10" t="s">
        <v>47</v>
      </c>
      <c r="F166" s="10">
        <v>2587</v>
      </c>
      <c r="G166" s="10">
        <v>447</v>
      </c>
      <c r="H166" s="10">
        <v>183</v>
      </c>
      <c r="I166" s="10">
        <v>36266</v>
      </c>
      <c r="J166" s="10">
        <v>32877</v>
      </c>
      <c r="K166" s="10">
        <v>132</v>
      </c>
      <c r="L166" s="10" t="s">
        <v>14</v>
      </c>
      <c r="M166" s="10" t="s">
        <v>34</v>
      </c>
      <c r="N166" s="10">
        <f>(Posts5[[#This Row],[Likes]]+Posts5[[#This Row],[Shares]]+Posts5[[#This Row],[Comments]])/Posts5[[#This Row],[Impressions]]</f>
        <v>8.8705674736667947E-2</v>
      </c>
      <c r="O166" s="11">
        <f>_xlfn.XLOOKUP(Posts5[[#This Row],[Campaign_Name]],'[1]Campaign Metadata'!A:A,'[1]Campaign Metadata'!B:B)</f>
        <v>45667</v>
      </c>
      <c r="P166" s="10">
        <f>_xlfn.XLOOKUP(Posts5[[#This Row],[Campaign_Name]],'[1]Campaign Metadata'!A:A,'[1]Campaign Metadata'!C:C)</f>
        <v>45698</v>
      </c>
      <c r="Q166" s="10" t="str">
        <f>IF(AND(Posts5[[#This Row],[Date]] &gt;=Posts5[[#This Row],[Campaign Start Date]], Posts5[[#This Row],[Date]]&lt;= Posts5[[#This Row],[Campaign end date]]), "During","Before")</f>
        <v>Before</v>
      </c>
    </row>
    <row r="167" spans="1:17" x14ac:dyDescent="0.3">
      <c r="A167" s="10" t="s">
        <v>154</v>
      </c>
      <c r="B167" s="10" t="s">
        <v>8</v>
      </c>
      <c r="C167" s="11">
        <v>45553</v>
      </c>
      <c r="D167" s="10" t="s">
        <v>15</v>
      </c>
      <c r="E167" s="10" t="s">
        <v>32</v>
      </c>
      <c r="F167" s="10">
        <v>2878</v>
      </c>
      <c r="G167" s="10">
        <v>265</v>
      </c>
      <c r="H167" s="10">
        <v>91</v>
      </c>
      <c r="I167" s="10">
        <v>52090</v>
      </c>
      <c r="J167" s="10">
        <v>28924</v>
      </c>
      <c r="K167" s="10">
        <v>133</v>
      </c>
      <c r="L167" s="10" t="s">
        <v>5</v>
      </c>
      <c r="M167" s="10" t="s">
        <v>34</v>
      </c>
      <c r="N167" s="10">
        <f>(Posts5[[#This Row],[Likes]]+Posts5[[#This Row],[Shares]]+Posts5[[#This Row],[Comments]])/Posts5[[#This Row],[Impressions]]</f>
        <v>6.2084853138798232E-2</v>
      </c>
      <c r="O167" s="11">
        <f>_xlfn.XLOOKUP(Posts5[[#This Row],[Campaign_Name]],'[1]Campaign Metadata'!A:A,'[1]Campaign Metadata'!B:B)</f>
        <v>45667</v>
      </c>
      <c r="P167" s="10">
        <f>_xlfn.XLOOKUP(Posts5[[#This Row],[Campaign_Name]],'[1]Campaign Metadata'!A:A,'[1]Campaign Metadata'!C:C)</f>
        <v>45698</v>
      </c>
      <c r="Q167" s="10" t="str">
        <f>IF(AND(Posts5[[#This Row],[Date]] &gt;=Posts5[[#This Row],[Campaign Start Date]], Posts5[[#This Row],[Date]]&lt;= Posts5[[#This Row],[Campaign end date]]), "During","Before")</f>
        <v>Before</v>
      </c>
    </row>
    <row r="168" spans="1:17" x14ac:dyDescent="0.3">
      <c r="A168" s="10" t="s">
        <v>155</v>
      </c>
      <c r="B168" s="10" t="s">
        <v>8</v>
      </c>
      <c r="C168" s="11">
        <v>45677</v>
      </c>
      <c r="D168" s="10" t="s">
        <v>13</v>
      </c>
      <c r="E168" s="10" t="s">
        <v>39</v>
      </c>
      <c r="F168" s="10">
        <v>4619</v>
      </c>
      <c r="G168" s="10">
        <v>272</v>
      </c>
      <c r="H168" s="10">
        <v>57</v>
      </c>
      <c r="I168" s="10">
        <v>21334</v>
      </c>
      <c r="J168" s="10">
        <v>46292</v>
      </c>
      <c r="K168" s="10">
        <v>91</v>
      </c>
      <c r="L168" s="10" t="s">
        <v>12</v>
      </c>
      <c r="M168" s="10" t="s">
        <v>34</v>
      </c>
      <c r="N168" s="10">
        <f>(Posts5[[#This Row],[Likes]]+Posts5[[#This Row],[Shares]]+Posts5[[#This Row],[Comments]])/Posts5[[#This Row],[Impressions]]</f>
        <v>0.23193025217961938</v>
      </c>
      <c r="O168" s="11">
        <f>_xlfn.XLOOKUP(Posts5[[#This Row],[Campaign_Name]],'[1]Campaign Metadata'!A:A,'[1]Campaign Metadata'!B:B)</f>
        <v>45667</v>
      </c>
      <c r="P168" s="10">
        <f>_xlfn.XLOOKUP(Posts5[[#This Row],[Campaign_Name]],'[1]Campaign Metadata'!A:A,'[1]Campaign Metadata'!C:C)</f>
        <v>45698</v>
      </c>
      <c r="Q168" s="10" t="str">
        <f>IF(AND(Posts5[[#This Row],[Date]] &gt;=Posts5[[#This Row],[Campaign Start Date]], Posts5[[#This Row],[Date]]&lt;= Posts5[[#This Row],[Campaign end date]]), "During","Before")</f>
        <v>During</v>
      </c>
    </row>
    <row r="169" spans="1:17" x14ac:dyDescent="0.3">
      <c r="A169" s="10" t="s">
        <v>155</v>
      </c>
      <c r="B169" s="10" t="s">
        <v>8</v>
      </c>
      <c r="C169" s="11">
        <v>45677</v>
      </c>
      <c r="D169" s="10" t="s">
        <v>13</v>
      </c>
      <c r="E169" s="10" t="s">
        <v>39</v>
      </c>
      <c r="F169" s="10">
        <v>4619</v>
      </c>
      <c r="G169" s="10">
        <v>272</v>
      </c>
      <c r="H169" s="10">
        <v>57</v>
      </c>
      <c r="I169" s="10">
        <v>21334</v>
      </c>
      <c r="J169" s="10">
        <v>46292</v>
      </c>
      <c r="K169" s="10">
        <v>91</v>
      </c>
      <c r="L169" s="10" t="s">
        <v>5</v>
      </c>
      <c r="M169" s="10" t="s">
        <v>34</v>
      </c>
      <c r="N169" s="10">
        <f>(Posts5[[#This Row],[Likes]]+Posts5[[#This Row],[Shares]]+Posts5[[#This Row],[Comments]])/Posts5[[#This Row],[Impressions]]</f>
        <v>0.23193025217961938</v>
      </c>
      <c r="O169" s="11">
        <f>_xlfn.XLOOKUP(Posts5[[#This Row],[Campaign_Name]],'[1]Campaign Metadata'!A:A,'[1]Campaign Metadata'!B:B)</f>
        <v>45667</v>
      </c>
      <c r="P169" s="10">
        <f>_xlfn.XLOOKUP(Posts5[[#This Row],[Campaign_Name]],'[1]Campaign Metadata'!A:A,'[1]Campaign Metadata'!C:C)</f>
        <v>45698</v>
      </c>
      <c r="Q169" s="10" t="str">
        <f>IF(AND(Posts5[[#This Row],[Date]] &gt;=Posts5[[#This Row],[Campaign Start Date]], Posts5[[#This Row],[Date]]&lt;= Posts5[[#This Row],[Campaign end date]]), "During","Before")</f>
        <v>During</v>
      </c>
    </row>
    <row r="170" spans="1:17" x14ac:dyDescent="0.3">
      <c r="A170" s="10" t="s">
        <v>156</v>
      </c>
      <c r="B170" s="10" t="s">
        <v>8</v>
      </c>
      <c r="C170" s="11">
        <v>45670</v>
      </c>
      <c r="D170" s="10" t="s">
        <v>15</v>
      </c>
      <c r="E170" s="10" t="s">
        <v>44</v>
      </c>
      <c r="F170" s="10">
        <v>4090</v>
      </c>
      <c r="G170" s="10">
        <v>209</v>
      </c>
      <c r="H170" s="10">
        <v>278</v>
      </c>
      <c r="I170" s="10">
        <v>52853</v>
      </c>
      <c r="J170" s="10">
        <v>57084</v>
      </c>
      <c r="K170" s="10">
        <v>102</v>
      </c>
      <c r="L170" s="10" t="s">
        <v>12</v>
      </c>
      <c r="M170" s="10" t="s">
        <v>37</v>
      </c>
      <c r="N170" s="10">
        <f>(Posts5[[#This Row],[Likes]]+Posts5[[#This Row],[Shares]]+Posts5[[#This Row],[Comments]])/Posts5[[#This Row],[Impressions]]</f>
        <v>8.6598679355949518E-2</v>
      </c>
      <c r="O170" s="11">
        <f>_xlfn.XLOOKUP(Posts5[[#This Row],[Campaign_Name]],'[1]Campaign Metadata'!A:A,'[1]Campaign Metadata'!B:B)</f>
        <v>45717</v>
      </c>
      <c r="P170" s="10">
        <f>_xlfn.XLOOKUP(Posts5[[#This Row],[Campaign_Name]],'[1]Campaign Metadata'!A:A,'[1]Campaign Metadata'!C:C)</f>
        <v>45747</v>
      </c>
      <c r="Q170" s="10" t="str">
        <f>IF(AND(Posts5[[#This Row],[Date]] &gt;=Posts5[[#This Row],[Campaign Start Date]], Posts5[[#This Row],[Date]]&lt;= Posts5[[#This Row],[Campaign end date]]), "During","Before")</f>
        <v>Before</v>
      </c>
    </row>
    <row r="171" spans="1:17" x14ac:dyDescent="0.3">
      <c r="A171" s="10" t="s">
        <v>157</v>
      </c>
      <c r="B171" s="10" t="s">
        <v>9</v>
      </c>
      <c r="C171" s="11">
        <v>45542</v>
      </c>
      <c r="D171" s="10" t="s">
        <v>11</v>
      </c>
      <c r="E171" s="10" t="s">
        <v>44</v>
      </c>
      <c r="F171" s="10">
        <v>3882</v>
      </c>
      <c r="G171" s="10">
        <v>342</v>
      </c>
      <c r="H171" s="10">
        <v>374</v>
      </c>
      <c r="I171" s="10">
        <v>41991</v>
      </c>
      <c r="J171" s="10">
        <v>48554</v>
      </c>
      <c r="K171" s="10">
        <v>118</v>
      </c>
      <c r="L171" s="10" t="s">
        <v>10</v>
      </c>
      <c r="M171" s="10" t="s">
        <v>68</v>
      </c>
      <c r="N171" s="10">
        <f>(Posts5[[#This Row],[Likes]]+Posts5[[#This Row],[Shares]]+Posts5[[#This Row],[Comments]])/Posts5[[#This Row],[Impressions]]</f>
        <v>0.10949965468790931</v>
      </c>
      <c r="O171" s="11">
        <f>_xlfn.XLOOKUP(Posts5[[#This Row],[Campaign_Name]],'[1]Campaign Metadata'!A:A,'[1]Campaign Metadata'!B:B)</f>
        <v>45458</v>
      </c>
      <c r="P171" s="10">
        <f>_xlfn.XLOOKUP(Posts5[[#This Row],[Campaign_Name]],'[1]Campaign Metadata'!A:A,'[1]Campaign Metadata'!C:C)</f>
        <v>45488</v>
      </c>
      <c r="Q171" s="10" t="str">
        <f>IF(AND(Posts5[[#This Row],[Date]] &gt;=Posts5[[#This Row],[Campaign Start Date]], Posts5[[#This Row],[Date]]&lt;= Posts5[[#This Row],[Campaign end date]]), "During","Before")</f>
        <v>Before</v>
      </c>
    </row>
    <row r="172" spans="1:17" x14ac:dyDescent="0.3">
      <c r="A172" s="10" t="s">
        <v>157</v>
      </c>
      <c r="B172" s="10" t="s">
        <v>9</v>
      </c>
      <c r="C172" s="11">
        <v>45542</v>
      </c>
      <c r="D172" s="10" t="s">
        <v>11</v>
      </c>
      <c r="E172" s="10" t="s">
        <v>44</v>
      </c>
      <c r="F172" s="10">
        <v>3882</v>
      </c>
      <c r="G172" s="10">
        <v>342</v>
      </c>
      <c r="H172" s="10">
        <v>374</v>
      </c>
      <c r="I172" s="10">
        <v>41991</v>
      </c>
      <c r="J172" s="10">
        <v>48554</v>
      </c>
      <c r="K172" s="10">
        <v>118</v>
      </c>
      <c r="L172" s="10" t="s">
        <v>12</v>
      </c>
      <c r="M172" s="10" t="s">
        <v>68</v>
      </c>
      <c r="N172" s="10">
        <f>(Posts5[[#This Row],[Likes]]+Posts5[[#This Row],[Shares]]+Posts5[[#This Row],[Comments]])/Posts5[[#This Row],[Impressions]]</f>
        <v>0.10949965468790931</v>
      </c>
      <c r="O172" s="11">
        <f>_xlfn.XLOOKUP(Posts5[[#This Row],[Campaign_Name]],'[1]Campaign Metadata'!A:A,'[1]Campaign Metadata'!B:B)</f>
        <v>45458</v>
      </c>
      <c r="P172" s="10">
        <f>_xlfn.XLOOKUP(Posts5[[#This Row],[Campaign_Name]],'[1]Campaign Metadata'!A:A,'[1]Campaign Metadata'!C:C)</f>
        <v>45488</v>
      </c>
      <c r="Q172" s="10" t="str">
        <f>IF(AND(Posts5[[#This Row],[Date]] &gt;=Posts5[[#This Row],[Campaign Start Date]], Posts5[[#This Row],[Date]]&lt;= Posts5[[#This Row],[Campaign end date]]), "During","Before")</f>
        <v>Before</v>
      </c>
    </row>
    <row r="173" spans="1:17" x14ac:dyDescent="0.3">
      <c r="A173" s="10" t="s">
        <v>158</v>
      </c>
      <c r="B173" s="10" t="s">
        <v>7</v>
      </c>
      <c r="C173" s="11">
        <v>45617</v>
      </c>
      <c r="D173" s="10" t="s">
        <v>15</v>
      </c>
      <c r="E173" s="10" t="s">
        <v>44</v>
      </c>
      <c r="F173" s="10">
        <v>4581</v>
      </c>
      <c r="G173" s="10">
        <v>181</v>
      </c>
      <c r="H173" s="10">
        <v>112</v>
      </c>
      <c r="I173" s="10">
        <v>35221</v>
      </c>
      <c r="J173" s="10">
        <v>28797</v>
      </c>
      <c r="K173" s="10">
        <v>164</v>
      </c>
      <c r="L173" s="10" t="s">
        <v>12</v>
      </c>
      <c r="M173" s="10" t="s">
        <v>34</v>
      </c>
      <c r="N173" s="10">
        <f>(Posts5[[#This Row],[Likes]]+Posts5[[#This Row],[Shares]]+Posts5[[#This Row],[Comments]])/Posts5[[#This Row],[Impressions]]</f>
        <v>0.13838335084182732</v>
      </c>
      <c r="O173" s="11">
        <f>_xlfn.XLOOKUP(Posts5[[#This Row],[Campaign_Name]],'[1]Campaign Metadata'!A:A,'[1]Campaign Metadata'!B:B)</f>
        <v>45667</v>
      </c>
      <c r="P173" s="10">
        <f>_xlfn.XLOOKUP(Posts5[[#This Row],[Campaign_Name]],'[1]Campaign Metadata'!A:A,'[1]Campaign Metadata'!C:C)</f>
        <v>45698</v>
      </c>
      <c r="Q173" s="10" t="str">
        <f>IF(AND(Posts5[[#This Row],[Date]] &gt;=Posts5[[#This Row],[Campaign Start Date]], Posts5[[#This Row],[Date]]&lt;= Posts5[[#This Row],[Campaign end date]]), "During","Before")</f>
        <v>Before</v>
      </c>
    </row>
    <row r="174" spans="1:17" x14ac:dyDescent="0.3">
      <c r="A174" s="10" t="s">
        <v>158</v>
      </c>
      <c r="B174" s="10" t="s">
        <v>7</v>
      </c>
      <c r="C174" s="11">
        <v>45617</v>
      </c>
      <c r="D174" s="10" t="s">
        <v>15</v>
      </c>
      <c r="E174" s="10" t="s">
        <v>44</v>
      </c>
      <c r="F174" s="10">
        <v>4581</v>
      </c>
      <c r="G174" s="10">
        <v>181</v>
      </c>
      <c r="H174" s="10">
        <v>112</v>
      </c>
      <c r="I174" s="10">
        <v>35221</v>
      </c>
      <c r="J174" s="10">
        <v>28797</v>
      </c>
      <c r="K174" s="10">
        <v>164</v>
      </c>
      <c r="L174" s="10" t="s">
        <v>5</v>
      </c>
      <c r="M174" s="10" t="s">
        <v>34</v>
      </c>
      <c r="N174" s="10">
        <f>(Posts5[[#This Row],[Likes]]+Posts5[[#This Row],[Shares]]+Posts5[[#This Row],[Comments]])/Posts5[[#This Row],[Impressions]]</f>
        <v>0.13838335084182732</v>
      </c>
      <c r="O174" s="11">
        <f>_xlfn.XLOOKUP(Posts5[[#This Row],[Campaign_Name]],'[1]Campaign Metadata'!A:A,'[1]Campaign Metadata'!B:B)</f>
        <v>45667</v>
      </c>
      <c r="P174" s="10">
        <f>_xlfn.XLOOKUP(Posts5[[#This Row],[Campaign_Name]],'[1]Campaign Metadata'!A:A,'[1]Campaign Metadata'!C:C)</f>
        <v>45698</v>
      </c>
      <c r="Q174" s="10" t="str">
        <f>IF(AND(Posts5[[#This Row],[Date]] &gt;=Posts5[[#This Row],[Campaign Start Date]], Posts5[[#This Row],[Date]]&lt;= Posts5[[#This Row],[Campaign end date]]), "During","Before")</f>
        <v>Before</v>
      </c>
    </row>
    <row r="175" spans="1:17" x14ac:dyDescent="0.3">
      <c r="A175" s="10" t="s">
        <v>159</v>
      </c>
      <c r="B175" s="10" t="s">
        <v>7</v>
      </c>
      <c r="C175" s="11">
        <v>45469</v>
      </c>
      <c r="D175" s="10" t="s">
        <v>15</v>
      </c>
      <c r="E175" s="10" t="s">
        <v>39</v>
      </c>
      <c r="F175" s="10">
        <v>3253</v>
      </c>
      <c r="G175" s="10">
        <v>483</v>
      </c>
      <c r="H175" s="10">
        <v>336</v>
      </c>
      <c r="I175" s="10">
        <v>25397</v>
      </c>
      <c r="J175" s="10">
        <v>51485</v>
      </c>
      <c r="K175" s="10">
        <v>131</v>
      </c>
      <c r="L175" s="10" t="s">
        <v>10</v>
      </c>
      <c r="M175" s="10" t="s">
        <v>37</v>
      </c>
      <c r="N175" s="10">
        <f>(Posts5[[#This Row],[Likes]]+Posts5[[#This Row],[Shares]]+Posts5[[#This Row],[Comments]])/Posts5[[#This Row],[Impressions]]</f>
        <v>0.16033389770445328</v>
      </c>
      <c r="O175" s="11">
        <f>_xlfn.XLOOKUP(Posts5[[#This Row],[Campaign_Name]],'[1]Campaign Metadata'!A:A,'[1]Campaign Metadata'!B:B)</f>
        <v>45717</v>
      </c>
      <c r="P175" s="10">
        <f>_xlfn.XLOOKUP(Posts5[[#This Row],[Campaign_Name]],'[1]Campaign Metadata'!A:A,'[1]Campaign Metadata'!C:C)</f>
        <v>45747</v>
      </c>
      <c r="Q175" s="10" t="str">
        <f>IF(AND(Posts5[[#This Row],[Date]] &gt;=Posts5[[#This Row],[Campaign Start Date]], Posts5[[#This Row],[Date]]&lt;= Posts5[[#This Row],[Campaign end date]]), "During","Before")</f>
        <v>Before</v>
      </c>
    </row>
    <row r="176" spans="1:17" x14ac:dyDescent="0.3">
      <c r="A176" s="10" t="s">
        <v>160</v>
      </c>
      <c r="B176" s="10" t="s">
        <v>9</v>
      </c>
      <c r="C176" s="11">
        <v>45493</v>
      </c>
      <c r="D176" s="10" t="s">
        <v>11</v>
      </c>
      <c r="E176" s="10" t="s">
        <v>44</v>
      </c>
      <c r="F176" s="10">
        <v>4955</v>
      </c>
      <c r="G176" s="10">
        <v>299</v>
      </c>
      <c r="H176" s="10">
        <v>345</v>
      </c>
      <c r="I176" s="10">
        <v>33644</v>
      </c>
      <c r="J176" s="10">
        <v>43547</v>
      </c>
      <c r="K176" s="10">
        <v>194</v>
      </c>
      <c r="L176" s="10" t="s">
        <v>10</v>
      </c>
      <c r="M176" s="10" t="s">
        <v>68</v>
      </c>
      <c r="N176" s="10">
        <f>(Posts5[[#This Row],[Likes]]+Posts5[[#This Row],[Shares]]+Posts5[[#This Row],[Comments]])/Posts5[[#This Row],[Impressions]]</f>
        <v>0.16641897515158721</v>
      </c>
      <c r="O176" s="11">
        <f>_xlfn.XLOOKUP(Posts5[[#This Row],[Campaign_Name]],'[1]Campaign Metadata'!A:A,'[1]Campaign Metadata'!B:B)</f>
        <v>45458</v>
      </c>
      <c r="P176" s="10">
        <f>_xlfn.XLOOKUP(Posts5[[#This Row],[Campaign_Name]],'[1]Campaign Metadata'!A:A,'[1]Campaign Metadata'!C:C)</f>
        <v>45488</v>
      </c>
      <c r="Q176" s="10" t="str">
        <f>IF(AND(Posts5[[#This Row],[Date]] &gt;=Posts5[[#This Row],[Campaign Start Date]], Posts5[[#This Row],[Date]]&lt;= Posts5[[#This Row],[Campaign end date]]), "During","Before")</f>
        <v>Before</v>
      </c>
    </row>
    <row r="177" spans="1:17" x14ac:dyDescent="0.3">
      <c r="A177" s="10" t="s">
        <v>160</v>
      </c>
      <c r="B177" s="10" t="s">
        <v>9</v>
      </c>
      <c r="C177" s="11">
        <v>45493</v>
      </c>
      <c r="D177" s="10" t="s">
        <v>11</v>
      </c>
      <c r="E177" s="10" t="s">
        <v>44</v>
      </c>
      <c r="F177" s="10">
        <v>4955</v>
      </c>
      <c r="G177" s="10">
        <v>299</v>
      </c>
      <c r="H177" s="10">
        <v>345</v>
      </c>
      <c r="I177" s="10">
        <v>33644</v>
      </c>
      <c r="J177" s="10">
        <v>43547</v>
      </c>
      <c r="K177" s="10">
        <v>194</v>
      </c>
      <c r="L177" s="10" t="s">
        <v>12</v>
      </c>
      <c r="M177" s="10" t="s">
        <v>68</v>
      </c>
      <c r="N177" s="10">
        <f>(Posts5[[#This Row],[Likes]]+Posts5[[#This Row],[Shares]]+Posts5[[#This Row],[Comments]])/Posts5[[#This Row],[Impressions]]</f>
        <v>0.16641897515158721</v>
      </c>
      <c r="O177" s="11">
        <f>_xlfn.XLOOKUP(Posts5[[#This Row],[Campaign_Name]],'[1]Campaign Metadata'!A:A,'[1]Campaign Metadata'!B:B)</f>
        <v>45458</v>
      </c>
      <c r="P177" s="10">
        <f>_xlfn.XLOOKUP(Posts5[[#This Row],[Campaign_Name]],'[1]Campaign Metadata'!A:A,'[1]Campaign Metadata'!C:C)</f>
        <v>45488</v>
      </c>
      <c r="Q177" s="10" t="str">
        <f>IF(AND(Posts5[[#This Row],[Date]] &gt;=Posts5[[#This Row],[Campaign Start Date]], Posts5[[#This Row],[Date]]&lt;= Posts5[[#This Row],[Campaign end date]]), "During","Before")</f>
        <v>Before</v>
      </c>
    </row>
    <row r="178" spans="1:17" x14ac:dyDescent="0.3">
      <c r="A178" s="10" t="s">
        <v>161</v>
      </c>
      <c r="B178" s="10" t="s">
        <v>7</v>
      </c>
      <c r="C178" s="11">
        <v>45704</v>
      </c>
      <c r="D178" s="10" t="s">
        <v>15</v>
      </c>
      <c r="E178" s="10" t="s">
        <v>61</v>
      </c>
      <c r="F178" s="10">
        <v>1333</v>
      </c>
      <c r="G178" s="10">
        <v>286</v>
      </c>
      <c r="H178" s="10">
        <v>298</v>
      </c>
      <c r="I178" s="10">
        <v>36174</v>
      </c>
      <c r="J178" s="10">
        <v>34517</v>
      </c>
      <c r="K178" s="10">
        <v>170</v>
      </c>
      <c r="L178" s="10" t="s">
        <v>12</v>
      </c>
      <c r="M178" s="10" t="s">
        <v>34</v>
      </c>
      <c r="N178" s="10">
        <f>(Posts5[[#This Row],[Likes]]+Posts5[[#This Row],[Shares]]+Posts5[[#This Row],[Comments]])/Posts5[[#This Row],[Impressions]]</f>
        <v>5.2993862995521647E-2</v>
      </c>
      <c r="O178" s="11">
        <f>_xlfn.XLOOKUP(Posts5[[#This Row],[Campaign_Name]],'[1]Campaign Metadata'!A:A,'[1]Campaign Metadata'!B:B)</f>
        <v>45667</v>
      </c>
      <c r="P178" s="10">
        <f>_xlfn.XLOOKUP(Posts5[[#This Row],[Campaign_Name]],'[1]Campaign Metadata'!A:A,'[1]Campaign Metadata'!C:C)</f>
        <v>45698</v>
      </c>
      <c r="Q178" s="10" t="str">
        <f>IF(AND(Posts5[[#This Row],[Date]] &gt;=Posts5[[#This Row],[Campaign Start Date]], Posts5[[#This Row],[Date]]&lt;= Posts5[[#This Row],[Campaign end date]]), "During","Before")</f>
        <v>Before</v>
      </c>
    </row>
    <row r="179" spans="1:17" x14ac:dyDescent="0.3">
      <c r="A179" s="10" t="s">
        <v>161</v>
      </c>
      <c r="B179" s="10" t="s">
        <v>7</v>
      </c>
      <c r="C179" s="11">
        <v>45704</v>
      </c>
      <c r="D179" s="10" t="s">
        <v>15</v>
      </c>
      <c r="E179" s="10" t="s">
        <v>61</v>
      </c>
      <c r="F179" s="10">
        <v>1333</v>
      </c>
      <c r="G179" s="10">
        <v>286</v>
      </c>
      <c r="H179" s="10">
        <v>298</v>
      </c>
      <c r="I179" s="10">
        <v>36174</v>
      </c>
      <c r="J179" s="10">
        <v>34517</v>
      </c>
      <c r="K179" s="10">
        <v>170</v>
      </c>
      <c r="L179" s="10" t="s">
        <v>5</v>
      </c>
      <c r="M179" s="10" t="s">
        <v>34</v>
      </c>
      <c r="N179" s="10">
        <f>(Posts5[[#This Row],[Likes]]+Posts5[[#This Row],[Shares]]+Posts5[[#This Row],[Comments]])/Posts5[[#This Row],[Impressions]]</f>
        <v>5.2993862995521647E-2</v>
      </c>
      <c r="O179" s="11">
        <f>_xlfn.XLOOKUP(Posts5[[#This Row],[Campaign_Name]],'[1]Campaign Metadata'!A:A,'[1]Campaign Metadata'!B:B)</f>
        <v>45667</v>
      </c>
      <c r="P179" s="10">
        <f>_xlfn.XLOOKUP(Posts5[[#This Row],[Campaign_Name]],'[1]Campaign Metadata'!A:A,'[1]Campaign Metadata'!C:C)</f>
        <v>45698</v>
      </c>
      <c r="Q179" s="10" t="str">
        <f>IF(AND(Posts5[[#This Row],[Date]] &gt;=Posts5[[#This Row],[Campaign Start Date]], Posts5[[#This Row],[Date]]&lt;= Posts5[[#This Row],[Campaign end date]]), "During","Before")</f>
        <v>Before</v>
      </c>
    </row>
    <row r="180" spans="1:17" x14ac:dyDescent="0.3">
      <c r="A180" s="10" t="s">
        <v>162</v>
      </c>
      <c r="B180" s="10" t="s">
        <v>7</v>
      </c>
      <c r="C180" s="11">
        <v>45544</v>
      </c>
      <c r="D180" s="10" t="s">
        <v>15</v>
      </c>
      <c r="E180" s="10" t="s">
        <v>39</v>
      </c>
      <c r="F180" s="10">
        <v>1616</v>
      </c>
      <c r="G180" s="10">
        <v>360</v>
      </c>
      <c r="H180" s="10">
        <v>180</v>
      </c>
      <c r="I180" s="10">
        <v>54342</v>
      </c>
      <c r="J180" s="10">
        <v>18796</v>
      </c>
      <c r="K180" s="10">
        <v>282</v>
      </c>
      <c r="L180" s="10" t="s">
        <v>12</v>
      </c>
      <c r="M180" s="10" t="s">
        <v>34</v>
      </c>
      <c r="N180" s="10">
        <f>(Posts5[[#This Row],[Likes]]+Posts5[[#This Row],[Shares]]+Posts5[[#This Row],[Comments]])/Posts5[[#This Row],[Impressions]]</f>
        <v>3.9674653122814763E-2</v>
      </c>
      <c r="O180" s="11">
        <f>_xlfn.XLOOKUP(Posts5[[#This Row],[Campaign_Name]],'[1]Campaign Metadata'!A:A,'[1]Campaign Metadata'!B:B)</f>
        <v>45667</v>
      </c>
      <c r="P180" s="10">
        <f>_xlfn.XLOOKUP(Posts5[[#This Row],[Campaign_Name]],'[1]Campaign Metadata'!A:A,'[1]Campaign Metadata'!C:C)</f>
        <v>45698</v>
      </c>
      <c r="Q180" s="10" t="str">
        <f>IF(AND(Posts5[[#This Row],[Date]] &gt;=Posts5[[#This Row],[Campaign Start Date]], Posts5[[#This Row],[Date]]&lt;= Posts5[[#This Row],[Campaign end date]]), "During","Before")</f>
        <v>Before</v>
      </c>
    </row>
    <row r="181" spans="1:17" x14ac:dyDescent="0.3">
      <c r="A181" s="10" t="s">
        <v>162</v>
      </c>
      <c r="B181" s="10" t="s">
        <v>7</v>
      </c>
      <c r="C181" s="11">
        <v>45544</v>
      </c>
      <c r="D181" s="10" t="s">
        <v>15</v>
      </c>
      <c r="E181" s="10" t="s">
        <v>39</v>
      </c>
      <c r="F181" s="10">
        <v>1616</v>
      </c>
      <c r="G181" s="10">
        <v>360</v>
      </c>
      <c r="H181" s="10">
        <v>180</v>
      </c>
      <c r="I181" s="10">
        <v>54342</v>
      </c>
      <c r="J181" s="10">
        <v>18796</v>
      </c>
      <c r="K181" s="10">
        <v>282</v>
      </c>
      <c r="L181" s="10" t="s">
        <v>5</v>
      </c>
      <c r="M181" s="10" t="s">
        <v>34</v>
      </c>
      <c r="N181" s="10">
        <f>(Posts5[[#This Row],[Likes]]+Posts5[[#This Row],[Shares]]+Posts5[[#This Row],[Comments]])/Posts5[[#This Row],[Impressions]]</f>
        <v>3.9674653122814763E-2</v>
      </c>
      <c r="O181" s="11">
        <f>_xlfn.XLOOKUP(Posts5[[#This Row],[Campaign_Name]],'[1]Campaign Metadata'!A:A,'[1]Campaign Metadata'!B:B)</f>
        <v>45667</v>
      </c>
      <c r="P181" s="10">
        <f>_xlfn.XLOOKUP(Posts5[[#This Row],[Campaign_Name]],'[1]Campaign Metadata'!A:A,'[1]Campaign Metadata'!C:C)</f>
        <v>45698</v>
      </c>
      <c r="Q181" s="10" t="str">
        <f>IF(AND(Posts5[[#This Row],[Date]] &gt;=Posts5[[#This Row],[Campaign Start Date]], Posts5[[#This Row],[Date]]&lt;= Posts5[[#This Row],[Campaign end date]]), "During","Before")</f>
        <v>Before</v>
      </c>
    </row>
    <row r="182" spans="1:17" x14ac:dyDescent="0.3">
      <c r="A182" s="10" t="s">
        <v>163</v>
      </c>
      <c r="B182" s="10" t="s">
        <v>8</v>
      </c>
      <c r="C182" s="11">
        <v>45489</v>
      </c>
      <c r="D182" s="10" t="s">
        <v>15</v>
      </c>
      <c r="E182" s="10" t="s">
        <v>53</v>
      </c>
      <c r="F182" s="10">
        <v>1803</v>
      </c>
      <c r="G182" s="10">
        <v>273</v>
      </c>
      <c r="H182" s="10">
        <v>287</v>
      </c>
      <c r="I182" s="10">
        <v>46176</v>
      </c>
      <c r="J182" s="10">
        <v>25488</v>
      </c>
      <c r="K182" s="10">
        <v>141</v>
      </c>
      <c r="L182" s="10" t="s">
        <v>5</v>
      </c>
      <c r="M182" s="10" t="s">
        <v>34</v>
      </c>
      <c r="N182" s="10">
        <f>(Posts5[[#This Row],[Likes]]+Posts5[[#This Row],[Shares]]+Posts5[[#This Row],[Comments]])/Posts5[[#This Row],[Impressions]]</f>
        <v>5.1173769923769923E-2</v>
      </c>
      <c r="O182" s="11">
        <f>_xlfn.XLOOKUP(Posts5[[#This Row],[Campaign_Name]],'[1]Campaign Metadata'!A:A,'[1]Campaign Metadata'!B:B)</f>
        <v>45667</v>
      </c>
      <c r="P182" s="10">
        <f>_xlfn.XLOOKUP(Posts5[[#This Row],[Campaign_Name]],'[1]Campaign Metadata'!A:A,'[1]Campaign Metadata'!C:C)</f>
        <v>45698</v>
      </c>
      <c r="Q182" s="10" t="str">
        <f>IF(AND(Posts5[[#This Row],[Date]] &gt;=Posts5[[#This Row],[Campaign Start Date]], Posts5[[#This Row],[Date]]&lt;= Posts5[[#This Row],[Campaign end date]]), "During","Before")</f>
        <v>Before</v>
      </c>
    </row>
    <row r="183" spans="1:17" x14ac:dyDescent="0.3">
      <c r="A183" s="10" t="s">
        <v>164</v>
      </c>
      <c r="B183" s="10" t="s">
        <v>7</v>
      </c>
      <c r="C183" s="11">
        <v>45762</v>
      </c>
      <c r="D183" s="10" t="s">
        <v>15</v>
      </c>
      <c r="E183" s="10" t="s">
        <v>36</v>
      </c>
      <c r="F183" s="10">
        <v>4177</v>
      </c>
      <c r="G183" s="10">
        <v>489</v>
      </c>
      <c r="H183" s="10">
        <v>331</v>
      </c>
      <c r="I183" s="10">
        <v>57451</v>
      </c>
      <c r="J183" s="10">
        <v>73793</v>
      </c>
      <c r="K183" s="10">
        <v>251</v>
      </c>
      <c r="L183" s="10" t="s">
        <v>10</v>
      </c>
      <c r="M183" s="10" t="s">
        <v>37</v>
      </c>
      <c r="N183" s="10">
        <f>(Posts5[[#This Row],[Likes]]+Posts5[[#This Row],[Shares]]+Posts5[[#This Row],[Comments]])/Posts5[[#This Row],[Impressions]]</f>
        <v>8.6978468608031198E-2</v>
      </c>
      <c r="O183" s="11">
        <f>_xlfn.XLOOKUP(Posts5[[#This Row],[Campaign_Name]],'[1]Campaign Metadata'!A:A,'[1]Campaign Metadata'!B:B)</f>
        <v>45717</v>
      </c>
      <c r="P183" s="10">
        <f>_xlfn.XLOOKUP(Posts5[[#This Row],[Campaign_Name]],'[1]Campaign Metadata'!A:A,'[1]Campaign Metadata'!C:C)</f>
        <v>45747</v>
      </c>
      <c r="Q183" s="10" t="str">
        <f>IF(AND(Posts5[[#This Row],[Date]] &gt;=Posts5[[#This Row],[Campaign Start Date]], Posts5[[#This Row],[Date]]&lt;= Posts5[[#This Row],[Campaign end date]]), "During","Before")</f>
        <v>Before</v>
      </c>
    </row>
    <row r="184" spans="1:17" x14ac:dyDescent="0.3">
      <c r="A184" s="10" t="s">
        <v>165</v>
      </c>
      <c r="B184" s="10" t="s">
        <v>7</v>
      </c>
      <c r="C184" s="11">
        <v>45781</v>
      </c>
      <c r="D184" s="10" t="s">
        <v>13</v>
      </c>
      <c r="E184" s="10" t="s">
        <v>39</v>
      </c>
      <c r="F184" s="10">
        <v>1311</v>
      </c>
      <c r="G184" s="10">
        <v>181</v>
      </c>
      <c r="H184" s="10">
        <v>361</v>
      </c>
      <c r="I184" s="10">
        <v>37148</v>
      </c>
      <c r="J184" s="10">
        <v>44875</v>
      </c>
      <c r="K184" s="10">
        <v>245</v>
      </c>
      <c r="L184" s="10" t="s">
        <v>5</v>
      </c>
      <c r="M184" s="10" t="s">
        <v>65</v>
      </c>
      <c r="N184" s="10">
        <f>(Posts5[[#This Row],[Likes]]+Posts5[[#This Row],[Shares]]+Posts5[[#This Row],[Comments]])/Posts5[[#This Row],[Impressions]]</f>
        <v>4.9881554861634543E-2</v>
      </c>
      <c r="O184" s="11">
        <f>_xlfn.XLOOKUP(Posts5[[#This Row],[Campaign_Name]],'[1]Campaign Metadata'!A:A,'[1]Campaign Metadata'!B:B)</f>
        <v>45627</v>
      </c>
      <c r="P184" s="10">
        <f>_xlfn.XLOOKUP(Posts5[[#This Row],[Campaign_Name]],'[1]Campaign Metadata'!A:A,'[1]Campaign Metadata'!C:C)</f>
        <v>45657</v>
      </c>
      <c r="Q184" s="10" t="str">
        <f>IF(AND(Posts5[[#This Row],[Date]] &gt;=Posts5[[#This Row],[Campaign Start Date]], Posts5[[#This Row],[Date]]&lt;= Posts5[[#This Row],[Campaign end date]]), "During","Before")</f>
        <v>Before</v>
      </c>
    </row>
    <row r="185" spans="1:17" x14ac:dyDescent="0.3">
      <c r="A185" s="10" t="s">
        <v>166</v>
      </c>
      <c r="B185" s="10" t="s">
        <v>7</v>
      </c>
      <c r="C185" s="11">
        <v>45340</v>
      </c>
      <c r="D185" s="10" t="s">
        <v>13</v>
      </c>
      <c r="E185" s="10" t="s">
        <v>59</v>
      </c>
      <c r="F185" s="10">
        <v>1516</v>
      </c>
      <c r="G185" s="10">
        <v>215</v>
      </c>
      <c r="H185" s="10">
        <v>332</v>
      </c>
      <c r="I185" s="10">
        <v>58981</v>
      </c>
      <c r="J185" s="10">
        <v>36118</v>
      </c>
      <c r="K185" s="10">
        <v>211</v>
      </c>
      <c r="L185" s="10" t="s">
        <v>5</v>
      </c>
      <c r="M185" s="10" t="s">
        <v>65</v>
      </c>
      <c r="N185" s="10">
        <f>(Posts5[[#This Row],[Likes]]+Posts5[[#This Row],[Shares]]+Posts5[[#This Row],[Comments]])/Posts5[[#This Row],[Impressions]]</f>
        <v>3.4977365592309385E-2</v>
      </c>
      <c r="O185" s="11">
        <f>_xlfn.XLOOKUP(Posts5[[#This Row],[Campaign_Name]],'[1]Campaign Metadata'!A:A,'[1]Campaign Metadata'!B:B)</f>
        <v>45627</v>
      </c>
      <c r="P185" s="10">
        <f>_xlfn.XLOOKUP(Posts5[[#This Row],[Campaign_Name]],'[1]Campaign Metadata'!A:A,'[1]Campaign Metadata'!C:C)</f>
        <v>45657</v>
      </c>
      <c r="Q185" s="10" t="str">
        <f>IF(AND(Posts5[[#This Row],[Date]] &gt;=Posts5[[#This Row],[Campaign Start Date]], Posts5[[#This Row],[Date]]&lt;= Posts5[[#This Row],[Campaign end date]]), "During","Before")</f>
        <v>Before</v>
      </c>
    </row>
    <row r="186" spans="1:17" x14ac:dyDescent="0.3">
      <c r="A186" s="10" t="s">
        <v>167</v>
      </c>
      <c r="B186" s="10" t="s">
        <v>8</v>
      </c>
      <c r="C186" s="11">
        <v>45428</v>
      </c>
      <c r="D186" s="10" t="s">
        <v>13</v>
      </c>
      <c r="E186" s="10" t="s">
        <v>44</v>
      </c>
      <c r="F186" s="10">
        <v>2023</v>
      </c>
      <c r="G186" s="10">
        <v>124</v>
      </c>
      <c r="H186" s="10">
        <v>99</v>
      </c>
      <c r="I186" s="10">
        <v>54524</v>
      </c>
      <c r="J186" s="10">
        <v>34790</v>
      </c>
      <c r="K186" s="10">
        <v>195</v>
      </c>
      <c r="L186" s="10" t="s">
        <v>10</v>
      </c>
      <c r="M186" s="10" t="s">
        <v>34</v>
      </c>
      <c r="N186" s="10">
        <f>(Posts5[[#This Row],[Likes]]+Posts5[[#This Row],[Shares]]+Posts5[[#This Row],[Comments]])/Posts5[[#This Row],[Impressions]]</f>
        <v>4.1192869195216787E-2</v>
      </c>
      <c r="O186" s="11">
        <f>_xlfn.XLOOKUP(Posts5[[#This Row],[Campaign_Name]],'[1]Campaign Metadata'!A:A,'[1]Campaign Metadata'!B:B)</f>
        <v>45667</v>
      </c>
      <c r="P186" s="10">
        <f>_xlfn.XLOOKUP(Posts5[[#This Row],[Campaign_Name]],'[1]Campaign Metadata'!A:A,'[1]Campaign Metadata'!C:C)</f>
        <v>45698</v>
      </c>
      <c r="Q186" s="10" t="str">
        <f>IF(AND(Posts5[[#This Row],[Date]] &gt;=Posts5[[#This Row],[Campaign Start Date]], Posts5[[#This Row],[Date]]&lt;= Posts5[[#This Row],[Campaign end date]]), "During","Before")</f>
        <v>Before</v>
      </c>
    </row>
    <row r="187" spans="1:17" x14ac:dyDescent="0.3">
      <c r="A187" s="10" t="s">
        <v>167</v>
      </c>
      <c r="B187" s="10" t="s">
        <v>8</v>
      </c>
      <c r="C187" s="11">
        <v>45428</v>
      </c>
      <c r="D187" s="10" t="s">
        <v>13</v>
      </c>
      <c r="E187" s="10" t="s">
        <v>44</v>
      </c>
      <c r="F187" s="10">
        <v>2023</v>
      </c>
      <c r="G187" s="10">
        <v>124</v>
      </c>
      <c r="H187" s="10">
        <v>99</v>
      </c>
      <c r="I187" s="10">
        <v>54524</v>
      </c>
      <c r="J187" s="10">
        <v>34790</v>
      </c>
      <c r="K187" s="10">
        <v>195</v>
      </c>
      <c r="L187" s="10" t="s">
        <v>14</v>
      </c>
      <c r="M187" s="10" t="s">
        <v>34</v>
      </c>
      <c r="N187" s="10">
        <f>(Posts5[[#This Row],[Likes]]+Posts5[[#This Row],[Shares]]+Posts5[[#This Row],[Comments]])/Posts5[[#This Row],[Impressions]]</f>
        <v>4.1192869195216787E-2</v>
      </c>
      <c r="O187" s="11">
        <f>_xlfn.XLOOKUP(Posts5[[#This Row],[Campaign_Name]],'[1]Campaign Metadata'!A:A,'[1]Campaign Metadata'!B:B)</f>
        <v>45667</v>
      </c>
      <c r="P187" s="10">
        <f>_xlfn.XLOOKUP(Posts5[[#This Row],[Campaign_Name]],'[1]Campaign Metadata'!A:A,'[1]Campaign Metadata'!C:C)</f>
        <v>45698</v>
      </c>
      <c r="Q187" s="10" t="str">
        <f>IF(AND(Posts5[[#This Row],[Date]] &gt;=Posts5[[#This Row],[Campaign Start Date]], Posts5[[#This Row],[Date]]&lt;= Posts5[[#This Row],[Campaign end date]]), "During","Before")</f>
        <v>Before</v>
      </c>
    </row>
    <row r="188" spans="1:17" x14ac:dyDescent="0.3">
      <c r="A188" s="10" t="s">
        <v>168</v>
      </c>
      <c r="B188" s="10" t="s">
        <v>8</v>
      </c>
      <c r="C188" s="11">
        <v>45806</v>
      </c>
      <c r="D188" s="10" t="s">
        <v>13</v>
      </c>
      <c r="E188" s="10" t="s">
        <v>44</v>
      </c>
      <c r="F188" s="10">
        <v>2134</v>
      </c>
      <c r="G188" s="10">
        <v>322</v>
      </c>
      <c r="H188" s="10">
        <v>114</v>
      </c>
      <c r="I188" s="10">
        <v>44338</v>
      </c>
      <c r="J188" s="10">
        <v>52165</v>
      </c>
      <c r="K188" s="10">
        <v>176</v>
      </c>
      <c r="L188" s="10" t="s">
        <v>14</v>
      </c>
      <c r="M188" s="10" t="s">
        <v>34</v>
      </c>
      <c r="N188" s="10">
        <f>(Posts5[[#This Row],[Likes]]+Posts5[[#This Row],[Shares]]+Posts5[[#This Row],[Comments]])/Posts5[[#This Row],[Impressions]]</f>
        <v>5.7963823356939871E-2</v>
      </c>
      <c r="O188" s="11">
        <f>_xlfn.XLOOKUP(Posts5[[#This Row],[Campaign_Name]],'[1]Campaign Metadata'!A:A,'[1]Campaign Metadata'!B:B)</f>
        <v>45667</v>
      </c>
      <c r="P188" s="10">
        <f>_xlfn.XLOOKUP(Posts5[[#This Row],[Campaign_Name]],'[1]Campaign Metadata'!A:A,'[1]Campaign Metadata'!C:C)</f>
        <v>45698</v>
      </c>
      <c r="Q188" s="10" t="str">
        <f>IF(AND(Posts5[[#This Row],[Date]] &gt;=Posts5[[#This Row],[Campaign Start Date]], Posts5[[#This Row],[Date]]&lt;= Posts5[[#This Row],[Campaign end date]]), "During","Before")</f>
        <v>Before</v>
      </c>
    </row>
    <row r="189" spans="1:17" x14ac:dyDescent="0.3">
      <c r="A189" s="10" t="s">
        <v>168</v>
      </c>
      <c r="B189" s="10" t="s">
        <v>8</v>
      </c>
      <c r="C189" s="11">
        <v>45806</v>
      </c>
      <c r="D189" s="10" t="s">
        <v>13</v>
      </c>
      <c r="E189" s="10" t="s">
        <v>44</v>
      </c>
      <c r="F189" s="10">
        <v>2134</v>
      </c>
      <c r="G189" s="10">
        <v>322</v>
      </c>
      <c r="H189" s="10">
        <v>114</v>
      </c>
      <c r="I189" s="10">
        <v>44338</v>
      </c>
      <c r="J189" s="10">
        <v>52165</v>
      </c>
      <c r="K189" s="10">
        <v>176</v>
      </c>
      <c r="L189" s="10" t="s">
        <v>5</v>
      </c>
      <c r="M189" s="10" t="s">
        <v>34</v>
      </c>
      <c r="N189" s="10">
        <f>(Posts5[[#This Row],[Likes]]+Posts5[[#This Row],[Shares]]+Posts5[[#This Row],[Comments]])/Posts5[[#This Row],[Impressions]]</f>
        <v>5.7963823356939871E-2</v>
      </c>
      <c r="O189" s="11">
        <f>_xlfn.XLOOKUP(Posts5[[#This Row],[Campaign_Name]],'[1]Campaign Metadata'!A:A,'[1]Campaign Metadata'!B:B)</f>
        <v>45667</v>
      </c>
      <c r="P189" s="10">
        <f>_xlfn.XLOOKUP(Posts5[[#This Row],[Campaign_Name]],'[1]Campaign Metadata'!A:A,'[1]Campaign Metadata'!C:C)</f>
        <v>45698</v>
      </c>
      <c r="Q189" s="10" t="str">
        <f>IF(AND(Posts5[[#This Row],[Date]] &gt;=Posts5[[#This Row],[Campaign Start Date]], Posts5[[#This Row],[Date]]&lt;= Posts5[[#This Row],[Campaign end date]]), "During","Before")</f>
        <v>Before</v>
      </c>
    </row>
    <row r="190" spans="1:17" x14ac:dyDescent="0.3">
      <c r="A190" s="10" t="s">
        <v>169</v>
      </c>
      <c r="B190" s="10" t="s">
        <v>7</v>
      </c>
      <c r="C190" s="11">
        <v>45674</v>
      </c>
      <c r="D190" s="10" t="s">
        <v>15</v>
      </c>
      <c r="E190" s="10" t="s">
        <v>53</v>
      </c>
      <c r="F190" s="10">
        <v>2266</v>
      </c>
      <c r="G190" s="10">
        <v>126</v>
      </c>
      <c r="H190" s="10">
        <v>140</v>
      </c>
      <c r="I190" s="10">
        <v>53759</v>
      </c>
      <c r="J190" s="10">
        <v>46834</v>
      </c>
      <c r="K190" s="10">
        <v>277</v>
      </c>
      <c r="L190" s="10" t="s">
        <v>10</v>
      </c>
      <c r="M190" s="10" t="s">
        <v>37</v>
      </c>
      <c r="N190" s="10">
        <f>(Posts5[[#This Row],[Likes]]+Posts5[[#This Row],[Shares]]+Posts5[[#This Row],[Comments]])/Posts5[[#This Row],[Impressions]]</f>
        <v>4.7099090384865788E-2</v>
      </c>
      <c r="O190" s="11">
        <f>_xlfn.XLOOKUP(Posts5[[#This Row],[Campaign_Name]],'[1]Campaign Metadata'!A:A,'[1]Campaign Metadata'!B:B)</f>
        <v>45717</v>
      </c>
      <c r="P190" s="10">
        <f>_xlfn.XLOOKUP(Posts5[[#This Row],[Campaign_Name]],'[1]Campaign Metadata'!A:A,'[1]Campaign Metadata'!C:C)</f>
        <v>45747</v>
      </c>
      <c r="Q190" s="10" t="str">
        <f>IF(AND(Posts5[[#This Row],[Date]] &gt;=Posts5[[#This Row],[Campaign Start Date]], Posts5[[#This Row],[Date]]&lt;= Posts5[[#This Row],[Campaign end date]]), "During","Before")</f>
        <v>Before</v>
      </c>
    </row>
    <row r="191" spans="1:17" x14ac:dyDescent="0.3">
      <c r="A191" s="10" t="s">
        <v>170</v>
      </c>
      <c r="B191" s="10" t="s">
        <v>7</v>
      </c>
      <c r="C191" s="11">
        <v>45777</v>
      </c>
      <c r="D191" s="10" t="s">
        <v>13</v>
      </c>
      <c r="E191" s="10" t="s">
        <v>39</v>
      </c>
      <c r="F191" s="10">
        <v>3916</v>
      </c>
      <c r="G191" s="10">
        <v>459</v>
      </c>
      <c r="H191" s="10">
        <v>229</v>
      </c>
      <c r="I191" s="10">
        <v>48989</v>
      </c>
      <c r="J191" s="10">
        <v>39768</v>
      </c>
      <c r="K191" s="10">
        <v>200</v>
      </c>
      <c r="L191" s="10" t="s">
        <v>5</v>
      </c>
      <c r="M191" s="10" t="s">
        <v>65</v>
      </c>
      <c r="N191" s="10">
        <f>(Posts5[[#This Row],[Likes]]+Posts5[[#This Row],[Shares]]+Posts5[[#This Row],[Comments]])/Posts5[[#This Row],[Impressions]]</f>
        <v>9.3980281287635997E-2</v>
      </c>
      <c r="O191" s="11">
        <f>_xlfn.XLOOKUP(Posts5[[#This Row],[Campaign_Name]],'[1]Campaign Metadata'!A:A,'[1]Campaign Metadata'!B:B)</f>
        <v>45627</v>
      </c>
      <c r="P191" s="10">
        <f>_xlfn.XLOOKUP(Posts5[[#This Row],[Campaign_Name]],'[1]Campaign Metadata'!A:A,'[1]Campaign Metadata'!C:C)</f>
        <v>45657</v>
      </c>
      <c r="Q191" s="10" t="str">
        <f>IF(AND(Posts5[[#This Row],[Date]] &gt;=Posts5[[#This Row],[Campaign Start Date]], Posts5[[#This Row],[Date]]&lt;= Posts5[[#This Row],[Campaign end date]]), "During","Before")</f>
        <v>Before</v>
      </c>
    </row>
    <row r="192" spans="1:17" x14ac:dyDescent="0.3">
      <c r="A192" s="10" t="s">
        <v>171</v>
      </c>
      <c r="B192" s="10" t="s">
        <v>8</v>
      </c>
      <c r="C192" s="11">
        <v>45346</v>
      </c>
      <c r="D192" s="10" t="s">
        <v>13</v>
      </c>
      <c r="E192" s="10" t="s">
        <v>44</v>
      </c>
      <c r="F192" s="10">
        <v>1022</v>
      </c>
      <c r="G192" s="10">
        <v>463</v>
      </c>
      <c r="H192" s="10">
        <v>360</v>
      </c>
      <c r="I192" s="10">
        <v>51468</v>
      </c>
      <c r="J192" s="10">
        <v>24279</v>
      </c>
      <c r="K192" s="10">
        <v>230</v>
      </c>
      <c r="L192" s="10" t="s">
        <v>10</v>
      </c>
      <c r="M192" s="10" t="s">
        <v>34</v>
      </c>
      <c r="N192" s="10">
        <f>(Posts5[[#This Row],[Likes]]+Posts5[[#This Row],[Shares]]+Posts5[[#This Row],[Comments]])/Posts5[[#This Row],[Impressions]]</f>
        <v>3.5847516903707161E-2</v>
      </c>
      <c r="O192" s="11">
        <f>_xlfn.XLOOKUP(Posts5[[#This Row],[Campaign_Name]],'[1]Campaign Metadata'!A:A,'[1]Campaign Metadata'!B:B)</f>
        <v>45667</v>
      </c>
      <c r="P192" s="10">
        <f>_xlfn.XLOOKUP(Posts5[[#This Row],[Campaign_Name]],'[1]Campaign Metadata'!A:A,'[1]Campaign Metadata'!C:C)</f>
        <v>45698</v>
      </c>
      <c r="Q192" s="10" t="str">
        <f>IF(AND(Posts5[[#This Row],[Date]] &gt;=Posts5[[#This Row],[Campaign Start Date]], Posts5[[#This Row],[Date]]&lt;= Posts5[[#This Row],[Campaign end date]]), "During","Before")</f>
        <v>Before</v>
      </c>
    </row>
    <row r="193" spans="1:17" x14ac:dyDescent="0.3">
      <c r="A193" s="10" t="s">
        <v>171</v>
      </c>
      <c r="B193" s="10" t="s">
        <v>8</v>
      </c>
      <c r="C193" s="11">
        <v>45346</v>
      </c>
      <c r="D193" s="10" t="s">
        <v>13</v>
      </c>
      <c r="E193" s="10" t="s">
        <v>44</v>
      </c>
      <c r="F193" s="10">
        <v>1022</v>
      </c>
      <c r="G193" s="10">
        <v>463</v>
      </c>
      <c r="H193" s="10">
        <v>360</v>
      </c>
      <c r="I193" s="10">
        <v>51468</v>
      </c>
      <c r="J193" s="10">
        <v>24279</v>
      </c>
      <c r="K193" s="10">
        <v>230</v>
      </c>
      <c r="L193" s="10" t="s">
        <v>14</v>
      </c>
      <c r="M193" s="10" t="s">
        <v>34</v>
      </c>
      <c r="N193" s="10">
        <f>(Posts5[[#This Row],[Likes]]+Posts5[[#This Row],[Shares]]+Posts5[[#This Row],[Comments]])/Posts5[[#This Row],[Impressions]]</f>
        <v>3.5847516903707161E-2</v>
      </c>
      <c r="O193" s="11">
        <f>_xlfn.XLOOKUP(Posts5[[#This Row],[Campaign_Name]],'[1]Campaign Metadata'!A:A,'[1]Campaign Metadata'!B:B)</f>
        <v>45667</v>
      </c>
      <c r="P193" s="10">
        <f>_xlfn.XLOOKUP(Posts5[[#This Row],[Campaign_Name]],'[1]Campaign Metadata'!A:A,'[1]Campaign Metadata'!C:C)</f>
        <v>45698</v>
      </c>
      <c r="Q193" s="10" t="str">
        <f>IF(AND(Posts5[[#This Row],[Date]] &gt;=Posts5[[#This Row],[Campaign Start Date]], Posts5[[#This Row],[Date]]&lt;= Posts5[[#This Row],[Campaign end date]]), "During","Before")</f>
        <v>Before</v>
      </c>
    </row>
    <row r="194" spans="1:17" x14ac:dyDescent="0.3">
      <c r="A194" s="10" t="s">
        <v>172</v>
      </c>
      <c r="B194" s="10" t="s">
        <v>9</v>
      </c>
      <c r="C194" s="11">
        <v>45424</v>
      </c>
      <c r="D194" s="10" t="s">
        <v>15</v>
      </c>
      <c r="E194" s="10" t="s">
        <v>59</v>
      </c>
      <c r="F194" s="10">
        <v>2911</v>
      </c>
      <c r="G194" s="10">
        <v>467</v>
      </c>
      <c r="H194" s="10">
        <v>94</v>
      </c>
      <c r="I194" s="10">
        <v>59083</v>
      </c>
      <c r="J194" s="10">
        <v>49762</v>
      </c>
      <c r="K194" s="10">
        <v>236</v>
      </c>
      <c r="L194" s="10" t="s">
        <v>10</v>
      </c>
      <c r="M194" s="10" t="s">
        <v>37</v>
      </c>
      <c r="N194" s="10">
        <f>(Posts5[[#This Row],[Likes]]+Posts5[[#This Row],[Shares]]+Posts5[[#This Row],[Comments]])/Posts5[[#This Row],[Impressions]]</f>
        <v>5.8764788517847777E-2</v>
      </c>
      <c r="O194" s="11">
        <f>_xlfn.XLOOKUP(Posts5[[#This Row],[Campaign_Name]],'[1]Campaign Metadata'!A:A,'[1]Campaign Metadata'!B:B)</f>
        <v>45717</v>
      </c>
      <c r="P194" s="10">
        <f>_xlfn.XLOOKUP(Posts5[[#This Row],[Campaign_Name]],'[1]Campaign Metadata'!A:A,'[1]Campaign Metadata'!C:C)</f>
        <v>45747</v>
      </c>
      <c r="Q194" s="10" t="str">
        <f>IF(AND(Posts5[[#This Row],[Date]] &gt;=Posts5[[#This Row],[Campaign Start Date]], Posts5[[#This Row],[Date]]&lt;= Posts5[[#This Row],[Campaign end date]]), "During","Before")</f>
        <v>Before</v>
      </c>
    </row>
    <row r="195" spans="1:17" x14ac:dyDescent="0.3">
      <c r="A195" s="10" t="s">
        <v>172</v>
      </c>
      <c r="B195" s="10" t="s">
        <v>9</v>
      </c>
      <c r="C195" s="11">
        <v>45424</v>
      </c>
      <c r="D195" s="10" t="s">
        <v>15</v>
      </c>
      <c r="E195" s="10" t="s">
        <v>59</v>
      </c>
      <c r="F195" s="10">
        <v>2911</v>
      </c>
      <c r="G195" s="10">
        <v>467</v>
      </c>
      <c r="H195" s="10">
        <v>94</v>
      </c>
      <c r="I195" s="10">
        <v>59083</v>
      </c>
      <c r="J195" s="10">
        <v>49762</v>
      </c>
      <c r="K195" s="10">
        <v>236</v>
      </c>
      <c r="L195" s="10" t="s">
        <v>16</v>
      </c>
      <c r="M195" s="10" t="s">
        <v>37</v>
      </c>
      <c r="N195" s="10">
        <f>(Posts5[[#This Row],[Likes]]+Posts5[[#This Row],[Shares]]+Posts5[[#This Row],[Comments]])/Posts5[[#This Row],[Impressions]]</f>
        <v>5.8764788517847777E-2</v>
      </c>
      <c r="O195" s="11">
        <f>_xlfn.XLOOKUP(Posts5[[#This Row],[Campaign_Name]],'[1]Campaign Metadata'!A:A,'[1]Campaign Metadata'!B:B)</f>
        <v>45717</v>
      </c>
      <c r="P195" s="10">
        <f>_xlfn.XLOOKUP(Posts5[[#This Row],[Campaign_Name]],'[1]Campaign Metadata'!A:A,'[1]Campaign Metadata'!C:C)</f>
        <v>45747</v>
      </c>
      <c r="Q195" s="10" t="str">
        <f>IF(AND(Posts5[[#This Row],[Date]] &gt;=Posts5[[#This Row],[Campaign Start Date]], Posts5[[#This Row],[Date]]&lt;= Posts5[[#This Row],[Campaign end date]]), "During","Before")</f>
        <v>Before</v>
      </c>
    </row>
    <row r="196" spans="1:17" x14ac:dyDescent="0.3">
      <c r="A196" s="10" t="s">
        <v>173</v>
      </c>
      <c r="B196" s="10" t="s">
        <v>8</v>
      </c>
      <c r="C196" s="11">
        <v>45421</v>
      </c>
      <c r="D196" s="10" t="s">
        <v>13</v>
      </c>
      <c r="E196" s="10" t="s">
        <v>39</v>
      </c>
      <c r="F196" s="10">
        <v>3277</v>
      </c>
      <c r="G196" s="10">
        <v>423</v>
      </c>
      <c r="H196" s="10">
        <v>259</v>
      </c>
      <c r="I196" s="10">
        <v>46328</v>
      </c>
      <c r="J196" s="10">
        <v>44293</v>
      </c>
      <c r="K196" s="10">
        <v>299</v>
      </c>
      <c r="L196" s="10" t="s">
        <v>12</v>
      </c>
      <c r="M196" s="10" t="s">
        <v>34</v>
      </c>
      <c r="N196" s="10">
        <f>(Posts5[[#This Row],[Likes]]+Posts5[[#This Row],[Shares]]+Posts5[[#This Row],[Comments]])/Posts5[[#This Row],[Impressions]]</f>
        <v>8.5455879813503707E-2</v>
      </c>
      <c r="O196" s="11">
        <f>_xlfn.XLOOKUP(Posts5[[#This Row],[Campaign_Name]],'[1]Campaign Metadata'!A:A,'[1]Campaign Metadata'!B:B)</f>
        <v>45667</v>
      </c>
      <c r="P196" s="10">
        <f>_xlfn.XLOOKUP(Posts5[[#This Row],[Campaign_Name]],'[1]Campaign Metadata'!A:A,'[1]Campaign Metadata'!C:C)</f>
        <v>45698</v>
      </c>
      <c r="Q196" s="10" t="str">
        <f>IF(AND(Posts5[[#This Row],[Date]] &gt;=Posts5[[#This Row],[Campaign Start Date]], Posts5[[#This Row],[Date]]&lt;= Posts5[[#This Row],[Campaign end date]]), "During","Before")</f>
        <v>Before</v>
      </c>
    </row>
    <row r="197" spans="1:17" x14ac:dyDescent="0.3">
      <c r="A197" s="10" t="s">
        <v>173</v>
      </c>
      <c r="B197" s="10" t="s">
        <v>8</v>
      </c>
      <c r="C197" s="11">
        <v>45421</v>
      </c>
      <c r="D197" s="10" t="s">
        <v>13</v>
      </c>
      <c r="E197" s="10" t="s">
        <v>39</v>
      </c>
      <c r="F197" s="10">
        <v>3277</v>
      </c>
      <c r="G197" s="10">
        <v>423</v>
      </c>
      <c r="H197" s="10">
        <v>259</v>
      </c>
      <c r="I197" s="10">
        <v>46328</v>
      </c>
      <c r="J197" s="10">
        <v>44293</v>
      </c>
      <c r="K197" s="10">
        <v>299</v>
      </c>
      <c r="L197" s="10" t="s">
        <v>5</v>
      </c>
      <c r="M197" s="10" t="s">
        <v>34</v>
      </c>
      <c r="N197" s="10">
        <f>(Posts5[[#This Row],[Likes]]+Posts5[[#This Row],[Shares]]+Posts5[[#This Row],[Comments]])/Posts5[[#This Row],[Impressions]]</f>
        <v>8.5455879813503707E-2</v>
      </c>
      <c r="O197" s="11">
        <f>_xlfn.XLOOKUP(Posts5[[#This Row],[Campaign_Name]],'[1]Campaign Metadata'!A:A,'[1]Campaign Metadata'!B:B)</f>
        <v>45667</v>
      </c>
      <c r="P197" s="10">
        <f>_xlfn.XLOOKUP(Posts5[[#This Row],[Campaign_Name]],'[1]Campaign Metadata'!A:A,'[1]Campaign Metadata'!C:C)</f>
        <v>45698</v>
      </c>
      <c r="Q197" s="10" t="str">
        <f>IF(AND(Posts5[[#This Row],[Date]] &gt;=Posts5[[#This Row],[Campaign Start Date]], Posts5[[#This Row],[Date]]&lt;= Posts5[[#This Row],[Campaign end date]]), "During","Before")</f>
        <v>Before</v>
      </c>
    </row>
    <row r="198" spans="1:17" x14ac:dyDescent="0.3">
      <c r="A198" s="10" t="s">
        <v>174</v>
      </c>
      <c r="B198" s="10" t="s">
        <v>8</v>
      </c>
      <c r="C198" s="11">
        <v>45602</v>
      </c>
      <c r="D198" s="10" t="s">
        <v>15</v>
      </c>
      <c r="E198" s="10" t="s">
        <v>59</v>
      </c>
      <c r="F198" s="10">
        <v>2956</v>
      </c>
      <c r="G198" s="10">
        <v>381</v>
      </c>
      <c r="H198" s="10">
        <v>345</v>
      </c>
      <c r="I198" s="10">
        <v>33347</v>
      </c>
      <c r="J198" s="10">
        <v>22558</v>
      </c>
      <c r="K198" s="10">
        <v>173</v>
      </c>
      <c r="L198" s="10" t="s">
        <v>5</v>
      </c>
      <c r="M198" s="10" t="s">
        <v>34</v>
      </c>
      <c r="N198" s="10">
        <f>(Posts5[[#This Row],[Likes]]+Posts5[[#This Row],[Shares]]+Posts5[[#This Row],[Comments]])/Posts5[[#This Row],[Impressions]]</f>
        <v>0.11041472996071611</v>
      </c>
      <c r="O198" s="11">
        <f>_xlfn.XLOOKUP(Posts5[[#This Row],[Campaign_Name]],'[1]Campaign Metadata'!A:A,'[1]Campaign Metadata'!B:B)</f>
        <v>45667</v>
      </c>
      <c r="P198" s="10">
        <f>_xlfn.XLOOKUP(Posts5[[#This Row],[Campaign_Name]],'[1]Campaign Metadata'!A:A,'[1]Campaign Metadata'!C:C)</f>
        <v>45698</v>
      </c>
      <c r="Q198" s="10" t="str">
        <f>IF(AND(Posts5[[#This Row],[Date]] &gt;=Posts5[[#This Row],[Campaign Start Date]], Posts5[[#This Row],[Date]]&lt;= Posts5[[#This Row],[Campaign end date]]), "During","Before")</f>
        <v>Before</v>
      </c>
    </row>
    <row r="199" spans="1:17" x14ac:dyDescent="0.3">
      <c r="A199" s="10" t="s">
        <v>175</v>
      </c>
      <c r="B199" s="10" t="s">
        <v>8</v>
      </c>
      <c r="C199" s="11">
        <v>45295</v>
      </c>
      <c r="D199" s="10" t="s">
        <v>13</v>
      </c>
      <c r="E199" s="10" t="s">
        <v>47</v>
      </c>
      <c r="F199" s="10">
        <v>3208</v>
      </c>
      <c r="G199" s="10">
        <v>476</v>
      </c>
      <c r="H199" s="10">
        <v>277</v>
      </c>
      <c r="I199" s="10">
        <v>56072</v>
      </c>
      <c r="J199" s="10">
        <v>21061</v>
      </c>
      <c r="K199" s="10">
        <v>113</v>
      </c>
      <c r="L199" s="10" t="s">
        <v>14</v>
      </c>
      <c r="M199" s="10" t="s">
        <v>34</v>
      </c>
      <c r="N199" s="10">
        <f>(Posts5[[#This Row],[Likes]]+Posts5[[#This Row],[Shares]]+Posts5[[#This Row],[Comments]])/Posts5[[#This Row],[Impressions]]</f>
        <v>7.064131830503638E-2</v>
      </c>
      <c r="O199" s="11">
        <f>_xlfn.XLOOKUP(Posts5[[#This Row],[Campaign_Name]],'[1]Campaign Metadata'!A:A,'[1]Campaign Metadata'!B:B)</f>
        <v>45667</v>
      </c>
      <c r="P199" s="10">
        <f>_xlfn.XLOOKUP(Posts5[[#This Row],[Campaign_Name]],'[1]Campaign Metadata'!A:A,'[1]Campaign Metadata'!C:C)</f>
        <v>45698</v>
      </c>
      <c r="Q199" s="10" t="str">
        <f>IF(AND(Posts5[[#This Row],[Date]] &gt;=Posts5[[#This Row],[Campaign Start Date]], Posts5[[#This Row],[Date]]&lt;= Posts5[[#This Row],[Campaign end date]]), "During","Before")</f>
        <v>Before</v>
      </c>
    </row>
    <row r="200" spans="1:17" x14ac:dyDescent="0.3">
      <c r="A200" s="10" t="s">
        <v>175</v>
      </c>
      <c r="B200" s="10" t="s">
        <v>8</v>
      </c>
      <c r="C200" s="11">
        <v>45295</v>
      </c>
      <c r="D200" s="10" t="s">
        <v>13</v>
      </c>
      <c r="E200" s="10" t="s">
        <v>47</v>
      </c>
      <c r="F200" s="10">
        <v>3208</v>
      </c>
      <c r="G200" s="10">
        <v>476</v>
      </c>
      <c r="H200" s="10">
        <v>277</v>
      </c>
      <c r="I200" s="10">
        <v>56072</v>
      </c>
      <c r="J200" s="10">
        <v>21061</v>
      </c>
      <c r="K200" s="10">
        <v>113</v>
      </c>
      <c r="L200" s="10" t="s">
        <v>5</v>
      </c>
      <c r="M200" s="10" t="s">
        <v>34</v>
      </c>
      <c r="N200" s="10">
        <f>(Posts5[[#This Row],[Likes]]+Posts5[[#This Row],[Shares]]+Posts5[[#This Row],[Comments]])/Posts5[[#This Row],[Impressions]]</f>
        <v>7.064131830503638E-2</v>
      </c>
      <c r="O200" s="11">
        <f>_xlfn.XLOOKUP(Posts5[[#This Row],[Campaign_Name]],'[1]Campaign Metadata'!A:A,'[1]Campaign Metadata'!B:B)</f>
        <v>45667</v>
      </c>
      <c r="P200" s="10">
        <f>_xlfn.XLOOKUP(Posts5[[#This Row],[Campaign_Name]],'[1]Campaign Metadata'!A:A,'[1]Campaign Metadata'!C:C)</f>
        <v>45698</v>
      </c>
      <c r="Q200" s="10" t="str">
        <f>IF(AND(Posts5[[#This Row],[Date]] &gt;=Posts5[[#This Row],[Campaign Start Date]], Posts5[[#This Row],[Date]]&lt;= Posts5[[#This Row],[Campaign end date]]), "During","Before")</f>
        <v>Before</v>
      </c>
    </row>
    <row r="201" spans="1:17" x14ac:dyDescent="0.3">
      <c r="A201" s="10" t="s">
        <v>176</v>
      </c>
      <c r="B201" s="10" t="s">
        <v>8</v>
      </c>
      <c r="C201" s="11">
        <v>45319</v>
      </c>
      <c r="D201" s="10" t="s">
        <v>15</v>
      </c>
      <c r="E201" s="10" t="s">
        <v>44</v>
      </c>
      <c r="F201" s="10">
        <v>1456</v>
      </c>
      <c r="G201" s="10">
        <v>265</v>
      </c>
      <c r="H201" s="10">
        <v>137</v>
      </c>
      <c r="I201" s="10">
        <v>53485</v>
      </c>
      <c r="J201" s="10">
        <v>59729</v>
      </c>
      <c r="K201" s="10">
        <v>145</v>
      </c>
      <c r="L201" s="10" t="s">
        <v>12</v>
      </c>
      <c r="M201" s="10" t="s">
        <v>37</v>
      </c>
      <c r="N201" s="10">
        <f>(Posts5[[#This Row],[Likes]]+Posts5[[#This Row],[Shares]]+Posts5[[#This Row],[Comments]])/Posts5[[#This Row],[Impressions]]</f>
        <v>3.4738711788351875E-2</v>
      </c>
      <c r="O201" s="11">
        <f>_xlfn.XLOOKUP(Posts5[[#This Row],[Campaign_Name]],'[1]Campaign Metadata'!A:A,'[1]Campaign Metadata'!B:B)</f>
        <v>45717</v>
      </c>
      <c r="P201" s="10">
        <f>_xlfn.XLOOKUP(Posts5[[#This Row],[Campaign_Name]],'[1]Campaign Metadata'!A:A,'[1]Campaign Metadata'!C:C)</f>
        <v>45747</v>
      </c>
      <c r="Q201" s="10" t="str">
        <f>IF(AND(Posts5[[#This Row],[Date]] &gt;=Posts5[[#This Row],[Campaign Start Date]], Posts5[[#This Row],[Date]]&lt;= Posts5[[#This Row],[Campaign end date]]), "During","Before")</f>
        <v>Before</v>
      </c>
    </row>
    <row r="202" spans="1:17" x14ac:dyDescent="0.3">
      <c r="A202" s="10" t="s">
        <v>177</v>
      </c>
      <c r="B202" s="10" t="s">
        <v>7</v>
      </c>
      <c r="C202" s="11">
        <v>45344</v>
      </c>
      <c r="D202" s="10" t="s">
        <v>15</v>
      </c>
      <c r="E202" s="10" t="s">
        <v>39</v>
      </c>
      <c r="F202" s="10">
        <v>1902</v>
      </c>
      <c r="G202" s="10">
        <v>394</v>
      </c>
      <c r="H202" s="10">
        <v>279</v>
      </c>
      <c r="I202" s="10">
        <v>24615</v>
      </c>
      <c r="J202" s="10">
        <v>51330</v>
      </c>
      <c r="K202" s="10">
        <v>176</v>
      </c>
      <c r="L202" s="10" t="s">
        <v>12</v>
      </c>
      <c r="M202" s="10" t="s">
        <v>34</v>
      </c>
      <c r="N202" s="10">
        <f>(Posts5[[#This Row],[Likes]]+Posts5[[#This Row],[Shares]]+Posts5[[#This Row],[Comments]])/Posts5[[#This Row],[Impressions]]</f>
        <v>0.10461100954702417</v>
      </c>
      <c r="O202" s="11">
        <f>_xlfn.XLOOKUP(Posts5[[#This Row],[Campaign_Name]],'[1]Campaign Metadata'!A:A,'[1]Campaign Metadata'!B:B)</f>
        <v>45667</v>
      </c>
      <c r="P202" s="10">
        <f>_xlfn.XLOOKUP(Posts5[[#This Row],[Campaign_Name]],'[1]Campaign Metadata'!A:A,'[1]Campaign Metadata'!C:C)</f>
        <v>45698</v>
      </c>
      <c r="Q202" s="10" t="str">
        <f>IF(AND(Posts5[[#This Row],[Date]] &gt;=Posts5[[#This Row],[Campaign Start Date]], Posts5[[#This Row],[Date]]&lt;= Posts5[[#This Row],[Campaign end date]]), "During","Before")</f>
        <v>Before</v>
      </c>
    </row>
    <row r="203" spans="1:17" x14ac:dyDescent="0.3">
      <c r="A203" s="10" t="s">
        <v>177</v>
      </c>
      <c r="B203" s="10" t="s">
        <v>7</v>
      </c>
      <c r="C203" s="11">
        <v>45344</v>
      </c>
      <c r="D203" s="10" t="s">
        <v>15</v>
      </c>
      <c r="E203" s="10" t="s">
        <v>39</v>
      </c>
      <c r="F203" s="10">
        <v>1902</v>
      </c>
      <c r="G203" s="10">
        <v>394</v>
      </c>
      <c r="H203" s="10">
        <v>279</v>
      </c>
      <c r="I203" s="10">
        <v>24615</v>
      </c>
      <c r="J203" s="10">
        <v>51330</v>
      </c>
      <c r="K203" s="10">
        <v>176</v>
      </c>
      <c r="L203" s="10" t="s">
        <v>5</v>
      </c>
      <c r="M203" s="10" t="s">
        <v>34</v>
      </c>
      <c r="N203" s="10">
        <f>(Posts5[[#This Row],[Likes]]+Posts5[[#This Row],[Shares]]+Posts5[[#This Row],[Comments]])/Posts5[[#This Row],[Impressions]]</f>
        <v>0.10461100954702417</v>
      </c>
      <c r="O203" s="11">
        <f>_xlfn.XLOOKUP(Posts5[[#This Row],[Campaign_Name]],'[1]Campaign Metadata'!A:A,'[1]Campaign Metadata'!B:B)</f>
        <v>45667</v>
      </c>
      <c r="P203" s="10">
        <f>_xlfn.XLOOKUP(Posts5[[#This Row],[Campaign_Name]],'[1]Campaign Metadata'!A:A,'[1]Campaign Metadata'!C:C)</f>
        <v>45698</v>
      </c>
      <c r="Q203" s="10" t="str">
        <f>IF(AND(Posts5[[#This Row],[Date]] &gt;=Posts5[[#This Row],[Campaign Start Date]], Posts5[[#This Row],[Date]]&lt;= Posts5[[#This Row],[Campaign end date]]), "During","Before")</f>
        <v>Before</v>
      </c>
    </row>
    <row r="204" spans="1:17" x14ac:dyDescent="0.3">
      <c r="A204" s="10" t="s">
        <v>178</v>
      </c>
      <c r="B204" s="10" t="s">
        <v>8</v>
      </c>
      <c r="C204" s="11">
        <v>45839</v>
      </c>
      <c r="D204" s="10" t="s">
        <v>13</v>
      </c>
      <c r="E204" s="10" t="s">
        <v>36</v>
      </c>
      <c r="F204" s="10">
        <v>3219</v>
      </c>
      <c r="G204" s="10">
        <v>424</v>
      </c>
      <c r="H204" s="10">
        <v>267</v>
      </c>
      <c r="I204" s="10">
        <v>48879</v>
      </c>
      <c r="J204" s="10">
        <v>37691</v>
      </c>
      <c r="K204" s="10">
        <v>224</v>
      </c>
      <c r="L204" s="10" t="s">
        <v>10</v>
      </c>
      <c r="M204" s="10" t="s">
        <v>34</v>
      </c>
      <c r="N204" s="10">
        <f>(Posts5[[#This Row],[Likes]]+Posts5[[#This Row],[Shares]]+Posts5[[#This Row],[Comments]])/Posts5[[#This Row],[Impressions]]</f>
        <v>7.9993453221219743E-2</v>
      </c>
      <c r="O204" s="11">
        <f>_xlfn.XLOOKUP(Posts5[[#This Row],[Campaign_Name]],'[1]Campaign Metadata'!A:A,'[1]Campaign Metadata'!B:B)</f>
        <v>45667</v>
      </c>
      <c r="P204" s="10">
        <f>_xlfn.XLOOKUP(Posts5[[#This Row],[Campaign_Name]],'[1]Campaign Metadata'!A:A,'[1]Campaign Metadata'!C:C)</f>
        <v>45698</v>
      </c>
      <c r="Q204" s="10" t="str">
        <f>IF(AND(Posts5[[#This Row],[Date]] &gt;=Posts5[[#This Row],[Campaign Start Date]], Posts5[[#This Row],[Date]]&lt;= Posts5[[#This Row],[Campaign end date]]), "During","Before")</f>
        <v>Before</v>
      </c>
    </row>
    <row r="205" spans="1:17" x14ac:dyDescent="0.3">
      <c r="A205" s="10" t="s">
        <v>178</v>
      </c>
      <c r="B205" s="10" t="s">
        <v>8</v>
      </c>
      <c r="C205" s="11">
        <v>45839</v>
      </c>
      <c r="D205" s="10" t="s">
        <v>13</v>
      </c>
      <c r="E205" s="10" t="s">
        <v>36</v>
      </c>
      <c r="F205" s="10">
        <v>3219</v>
      </c>
      <c r="G205" s="10">
        <v>424</v>
      </c>
      <c r="H205" s="10">
        <v>267</v>
      </c>
      <c r="I205" s="10">
        <v>48879</v>
      </c>
      <c r="J205" s="10">
        <v>37691</v>
      </c>
      <c r="K205" s="10">
        <v>224</v>
      </c>
      <c r="L205" s="10" t="s">
        <v>14</v>
      </c>
      <c r="M205" s="10" t="s">
        <v>34</v>
      </c>
      <c r="N205" s="10">
        <f>(Posts5[[#This Row],[Likes]]+Posts5[[#This Row],[Shares]]+Posts5[[#This Row],[Comments]])/Posts5[[#This Row],[Impressions]]</f>
        <v>7.9993453221219743E-2</v>
      </c>
      <c r="O205" s="11">
        <f>_xlfn.XLOOKUP(Posts5[[#This Row],[Campaign_Name]],'[1]Campaign Metadata'!A:A,'[1]Campaign Metadata'!B:B)</f>
        <v>45667</v>
      </c>
      <c r="P205" s="10">
        <f>_xlfn.XLOOKUP(Posts5[[#This Row],[Campaign_Name]],'[1]Campaign Metadata'!A:A,'[1]Campaign Metadata'!C:C)</f>
        <v>45698</v>
      </c>
      <c r="Q205" s="10" t="str">
        <f>IF(AND(Posts5[[#This Row],[Date]] &gt;=Posts5[[#This Row],[Campaign Start Date]], Posts5[[#This Row],[Date]]&lt;= Posts5[[#This Row],[Campaign end date]]), "During","Before")</f>
        <v>Before</v>
      </c>
    </row>
    <row r="206" spans="1:17" x14ac:dyDescent="0.3">
      <c r="A206" s="10" t="s">
        <v>179</v>
      </c>
      <c r="B206" s="10" t="s">
        <v>9</v>
      </c>
      <c r="C206" s="11">
        <v>45301</v>
      </c>
      <c r="D206" s="10" t="s">
        <v>15</v>
      </c>
      <c r="E206" s="10" t="s">
        <v>36</v>
      </c>
      <c r="F206" s="10">
        <v>1261</v>
      </c>
      <c r="G206" s="10">
        <v>190</v>
      </c>
      <c r="H206" s="10">
        <v>233</v>
      </c>
      <c r="I206" s="10">
        <v>59888</v>
      </c>
      <c r="J206" s="10">
        <v>51449</v>
      </c>
      <c r="K206" s="10">
        <v>205</v>
      </c>
      <c r="L206" s="10" t="s">
        <v>10</v>
      </c>
      <c r="M206" s="10" t="s">
        <v>37</v>
      </c>
      <c r="N206" s="10">
        <f>(Posts5[[#This Row],[Likes]]+Posts5[[#This Row],[Shares]]+Posts5[[#This Row],[Comments]])/Posts5[[#This Row],[Impressions]]</f>
        <v>2.811915575741384E-2</v>
      </c>
      <c r="O206" s="11">
        <f>_xlfn.XLOOKUP(Posts5[[#This Row],[Campaign_Name]],'[1]Campaign Metadata'!A:A,'[1]Campaign Metadata'!B:B)</f>
        <v>45717</v>
      </c>
      <c r="P206" s="10">
        <f>_xlfn.XLOOKUP(Posts5[[#This Row],[Campaign_Name]],'[1]Campaign Metadata'!A:A,'[1]Campaign Metadata'!C:C)</f>
        <v>45747</v>
      </c>
      <c r="Q206" s="10" t="str">
        <f>IF(AND(Posts5[[#This Row],[Date]] &gt;=Posts5[[#This Row],[Campaign Start Date]], Posts5[[#This Row],[Date]]&lt;= Posts5[[#This Row],[Campaign end date]]), "During","Before")</f>
        <v>Before</v>
      </c>
    </row>
    <row r="207" spans="1:17" x14ac:dyDescent="0.3">
      <c r="A207" s="10" t="s">
        <v>179</v>
      </c>
      <c r="B207" s="10" t="s">
        <v>9</v>
      </c>
      <c r="C207" s="11">
        <v>45301</v>
      </c>
      <c r="D207" s="10" t="s">
        <v>15</v>
      </c>
      <c r="E207" s="10" t="s">
        <v>36</v>
      </c>
      <c r="F207" s="10">
        <v>1261</v>
      </c>
      <c r="G207" s="10">
        <v>190</v>
      </c>
      <c r="H207" s="10">
        <v>233</v>
      </c>
      <c r="I207" s="10">
        <v>59888</v>
      </c>
      <c r="J207" s="10">
        <v>51449</v>
      </c>
      <c r="K207" s="10">
        <v>205</v>
      </c>
      <c r="L207" s="10" t="s">
        <v>16</v>
      </c>
      <c r="M207" s="10" t="s">
        <v>37</v>
      </c>
      <c r="N207" s="10">
        <f>(Posts5[[#This Row],[Likes]]+Posts5[[#This Row],[Shares]]+Posts5[[#This Row],[Comments]])/Posts5[[#This Row],[Impressions]]</f>
        <v>2.811915575741384E-2</v>
      </c>
      <c r="O207" s="11">
        <f>_xlfn.XLOOKUP(Posts5[[#This Row],[Campaign_Name]],'[1]Campaign Metadata'!A:A,'[1]Campaign Metadata'!B:B)</f>
        <v>45717</v>
      </c>
      <c r="P207" s="10">
        <f>_xlfn.XLOOKUP(Posts5[[#This Row],[Campaign_Name]],'[1]Campaign Metadata'!A:A,'[1]Campaign Metadata'!C:C)</f>
        <v>45747</v>
      </c>
      <c r="Q207" s="10" t="str">
        <f>IF(AND(Posts5[[#This Row],[Date]] &gt;=Posts5[[#This Row],[Campaign Start Date]], Posts5[[#This Row],[Date]]&lt;= Posts5[[#This Row],[Campaign end date]]), "During","Before")</f>
        <v>Before</v>
      </c>
    </row>
    <row r="208" spans="1:17" x14ac:dyDescent="0.3">
      <c r="A208" s="10" t="s">
        <v>180</v>
      </c>
      <c r="B208" s="10" t="s">
        <v>8</v>
      </c>
      <c r="C208" s="11">
        <v>45736</v>
      </c>
      <c r="D208" s="10" t="s">
        <v>15</v>
      </c>
      <c r="E208" s="10" t="s">
        <v>61</v>
      </c>
      <c r="F208" s="10">
        <v>1564</v>
      </c>
      <c r="G208" s="10">
        <v>362</v>
      </c>
      <c r="H208" s="10">
        <v>371</v>
      </c>
      <c r="I208" s="10">
        <v>42075</v>
      </c>
      <c r="J208" s="10">
        <v>66659</v>
      </c>
      <c r="K208" s="10">
        <v>205</v>
      </c>
      <c r="L208" s="10" t="s">
        <v>12</v>
      </c>
      <c r="M208" s="10" t="s">
        <v>37</v>
      </c>
      <c r="N208" s="10">
        <f>(Posts5[[#This Row],[Likes]]+Posts5[[#This Row],[Shares]]+Posts5[[#This Row],[Comments]])/Posts5[[#This Row],[Impressions]]</f>
        <v>5.4592988710635768E-2</v>
      </c>
      <c r="O208" s="11">
        <f>_xlfn.XLOOKUP(Posts5[[#This Row],[Campaign_Name]],'[1]Campaign Metadata'!A:A,'[1]Campaign Metadata'!B:B)</f>
        <v>45717</v>
      </c>
      <c r="P208" s="10">
        <f>_xlfn.XLOOKUP(Posts5[[#This Row],[Campaign_Name]],'[1]Campaign Metadata'!A:A,'[1]Campaign Metadata'!C:C)</f>
        <v>45747</v>
      </c>
      <c r="Q208" s="10" t="str">
        <f>IF(AND(Posts5[[#This Row],[Date]] &gt;=Posts5[[#This Row],[Campaign Start Date]], Posts5[[#This Row],[Date]]&lt;= Posts5[[#This Row],[Campaign end date]]), "During","Before")</f>
        <v>During</v>
      </c>
    </row>
    <row r="209" spans="1:17" x14ac:dyDescent="0.3">
      <c r="A209" s="10" t="s">
        <v>181</v>
      </c>
      <c r="B209" s="10" t="s">
        <v>8</v>
      </c>
      <c r="C209" s="11">
        <v>45563</v>
      </c>
      <c r="D209" s="10" t="s">
        <v>15</v>
      </c>
      <c r="E209" s="10" t="s">
        <v>47</v>
      </c>
      <c r="F209" s="10">
        <v>4006</v>
      </c>
      <c r="G209" s="10">
        <v>420</v>
      </c>
      <c r="H209" s="10">
        <v>194</v>
      </c>
      <c r="I209" s="10">
        <v>49964</v>
      </c>
      <c r="J209" s="10">
        <v>20685</v>
      </c>
      <c r="K209" s="10">
        <v>148</v>
      </c>
      <c r="L209" s="10" t="s">
        <v>5</v>
      </c>
      <c r="M209" s="10" t="s">
        <v>34</v>
      </c>
      <c r="N209" s="10">
        <f>(Posts5[[#This Row],[Likes]]+Posts5[[#This Row],[Shares]]+Posts5[[#This Row],[Comments]])/Posts5[[#This Row],[Impressions]]</f>
        <v>9.2466575934672959E-2</v>
      </c>
      <c r="O209" s="11">
        <f>_xlfn.XLOOKUP(Posts5[[#This Row],[Campaign_Name]],'[1]Campaign Metadata'!A:A,'[1]Campaign Metadata'!B:B)</f>
        <v>45667</v>
      </c>
      <c r="P209" s="10">
        <f>_xlfn.XLOOKUP(Posts5[[#This Row],[Campaign_Name]],'[1]Campaign Metadata'!A:A,'[1]Campaign Metadata'!C:C)</f>
        <v>45698</v>
      </c>
      <c r="Q209" s="10" t="str">
        <f>IF(AND(Posts5[[#This Row],[Date]] &gt;=Posts5[[#This Row],[Campaign Start Date]], Posts5[[#This Row],[Date]]&lt;= Posts5[[#This Row],[Campaign end date]]), "During","Before")</f>
        <v>Before</v>
      </c>
    </row>
    <row r="210" spans="1:17" x14ac:dyDescent="0.3">
      <c r="A210" s="10" t="s">
        <v>182</v>
      </c>
      <c r="B210" s="10" t="s">
        <v>9</v>
      </c>
      <c r="C210" s="11">
        <v>45318</v>
      </c>
      <c r="D210" s="10" t="s">
        <v>15</v>
      </c>
      <c r="E210" s="10" t="s">
        <v>61</v>
      </c>
      <c r="F210" s="10">
        <v>1976</v>
      </c>
      <c r="G210" s="10">
        <v>262</v>
      </c>
      <c r="H210" s="10">
        <v>218</v>
      </c>
      <c r="I210" s="10">
        <v>51696</v>
      </c>
      <c r="J210" s="10">
        <v>44846</v>
      </c>
      <c r="K210" s="10">
        <v>139</v>
      </c>
      <c r="L210" s="10" t="s">
        <v>10</v>
      </c>
      <c r="M210" s="10" t="s">
        <v>37</v>
      </c>
      <c r="N210" s="10">
        <f>(Posts5[[#This Row],[Likes]]+Posts5[[#This Row],[Shares]]+Posts5[[#This Row],[Comments]])/Posts5[[#This Row],[Impressions]]</f>
        <v>4.7508511296812134E-2</v>
      </c>
      <c r="O210" s="11">
        <f>_xlfn.XLOOKUP(Posts5[[#This Row],[Campaign_Name]],'[1]Campaign Metadata'!A:A,'[1]Campaign Metadata'!B:B)</f>
        <v>45717</v>
      </c>
      <c r="P210" s="10">
        <f>_xlfn.XLOOKUP(Posts5[[#This Row],[Campaign_Name]],'[1]Campaign Metadata'!A:A,'[1]Campaign Metadata'!C:C)</f>
        <v>45747</v>
      </c>
      <c r="Q210" s="10" t="str">
        <f>IF(AND(Posts5[[#This Row],[Date]] &gt;=Posts5[[#This Row],[Campaign Start Date]], Posts5[[#This Row],[Date]]&lt;= Posts5[[#This Row],[Campaign end date]]), "During","Before")</f>
        <v>Before</v>
      </c>
    </row>
    <row r="211" spans="1:17" x14ac:dyDescent="0.3">
      <c r="A211" s="10" t="s">
        <v>182</v>
      </c>
      <c r="B211" s="10" t="s">
        <v>9</v>
      </c>
      <c r="C211" s="11">
        <v>45318</v>
      </c>
      <c r="D211" s="10" t="s">
        <v>15</v>
      </c>
      <c r="E211" s="10" t="s">
        <v>61</v>
      </c>
      <c r="F211" s="10">
        <v>1976</v>
      </c>
      <c r="G211" s="10">
        <v>262</v>
      </c>
      <c r="H211" s="10">
        <v>218</v>
      </c>
      <c r="I211" s="10">
        <v>51696</v>
      </c>
      <c r="J211" s="10">
        <v>44846</v>
      </c>
      <c r="K211" s="10">
        <v>139</v>
      </c>
      <c r="L211" s="10" t="s">
        <v>16</v>
      </c>
      <c r="M211" s="10" t="s">
        <v>37</v>
      </c>
      <c r="N211" s="10">
        <f>(Posts5[[#This Row],[Likes]]+Posts5[[#This Row],[Shares]]+Posts5[[#This Row],[Comments]])/Posts5[[#This Row],[Impressions]]</f>
        <v>4.7508511296812134E-2</v>
      </c>
      <c r="O211" s="11">
        <f>_xlfn.XLOOKUP(Posts5[[#This Row],[Campaign_Name]],'[1]Campaign Metadata'!A:A,'[1]Campaign Metadata'!B:B)</f>
        <v>45717</v>
      </c>
      <c r="P211" s="10">
        <f>_xlfn.XLOOKUP(Posts5[[#This Row],[Campaign_Name]],'[1]Campaign Metadata'!A:A,'[1]Campaign Metadata'!C:C)</f>
        <v>45747</v>
      </c>
      <c r="Q211" s="10" t="str">
        <f>IF(AND(Posts5[[#This Row],[Date]] &gt;=Posts5[[#This Row],[Campaign Start Date]], Posts5[[#This Row],[Date]]&lt;= Posts5[[#This Row],[Campaign end date]]), "During","Before")</f>
        <v>Before</v>
      </c>
    </row>
    <row r="212" spans="1:17" x14ac:dyDescent="0.3">
      <c r="A212" s="10" t="s">
        <v>183</v>
      </c>
      <c r="B212" s="10" t="s">
        <v>8</v>
      </c>
      <c r="C212" s="11">
        <v>45792</v>
      </c>
      <c r="D212" s="10" t="s">
        <v>15</v>
      </c>
      <c r="E212" s="10" t="s">
        <v>39</v>
      </c>
      <c r="F212" s="10">
        <v>1583</v>
      </c>
      <c r="G212" s="10">
        <v>433</v>
      </c>
      <c r="H212" s="10">
        <v>249</v>
      </c>
      <c r="I212" s="10">
        <v>30256</v>
      </c>
      <c r="J212" s="10">
        <v>47066</v>
      </c>
      <c r="K212" s="10">
        <v>196</v>
      </c>
      <c r="L212" s="10" t="s">
        <v>5</v>
      </c>
      <c r="M212" s="10" t="s">
        <v>34</v>
      </c>
      <c r="N212" s="10">
        <f>(Posts5[[#This Row],[Likes]]+Posts5[[#This Row],[Shares]]+Posts5[[#This Row],[Comments]])/Posts5[[#This Row],[Impressions]]</f>
        <v>7.4861184558434685E-2</v>
      </c>
      <c r="O212" s="11">
        <f>_xlfn.XLOOKUP(Posts5[[#This Row],[Campaign_Name]],'[1]Campaign Metadata'!A:A,'[1]Campaign Metadata'!B:B)</f>
        <v>45667</v>
      </c>
      <c r="P212" s="10">
        <f>_xlfn.XLOOKUP(Posts5[[#This Row],[Campaign_Name]],'[1]Campaign Metadata'!A:A,'[1]Campaign Metadata'!C:C)</f>
        <v>45698</v>
      </c>
      <c r="Q212" s="10" t="str">
        <f>IF(AND(Posts5[[#This Row],[Date]] &gt;=Posts5[[#This Row],[Campaign Start Date]], Posts5[[#This Row],[Date]]&lt;= Posts5[[#This Row],[Campaign end date]]), "During","Before")</f>
        <v>Before</v>
      </c>
    </row>
    <row r="213" spans="1:17" x14ac:dyDescent="0.3">
      <c r="A213" s="10" t="s">
        <v>184</v>
      </c>
      <c r="B213" s="10" t="s">
        <v>8</v>
      </c>
      <c r="C213" s="11">
        <v>45569</v>
      </c>
      <c r="D213" s="10" t="s">
        <v>13</v>
      </c>
      <c r="E213" s="10" t="s">
        <v>36</v>
      </c>
      <c r="F213" s="10">
        <v>2870</v>
      </c>
      <c r="G213" s="10">
        <v>380</v>
      </c>
      <c r="H213" s="10">
        <v>393</v>
      </c>
      <c r="I213" s="10">
        <v>37621</v>
      </c>
      <c r="J213" s="10">
        <v>71794</v>
      </c>
      <c r="K213" s="10">
        <v>127</v>
      </c>
      <c r="L213" s="10" t="s">
        <v>14</v>
      </c>
      <c r="M213" s="10" t="s">
        <v>34</v>
      </c>
      <c r="N213" s="10">
        <f>(Posts5[[#This Row],[Likes]]+Posts5[[#This Row],[Shares]]+Posts5[[#This Row],[Comments]])/Posts5[[#This Row],[Impressions]]</f>
        <v>9.6834214933149046E-2</v>
      </c>
      <c r="O213" s="11">
        <f>_xlfn.XLOOKUP(Posts5[[#This Row],[Campaign_Name]],'[1]Campaign Metadata'!A:A,'[1]Campaign Metadata'!B:B)</f>
        <v>45667</v>
      </c>
      <c r="P213" s="10">
        <f>_xlfn.XLOOKUP(Posts5[[#This Row],[Campaign_Name]],'[1]Campaign Metadata'!A:A,'[1]Campaign Metadata'!C:C)</f>
        <v>45698</v>
      </c>
      <c r="Q213" s="10" t="str">
        <f>IF(AND(Posts5[[#This Row],[Date]] &gt;=Posts5[[#This Row],[Campaign Start Date]], Posts5[[#This Row],[Date]]&lt;= Posts5[[#This Row],[Campaign end date]]), "During","Before")</f>
        <v>Before</v>
      </c>
    </row>
    <row r="214" spans="1:17" x14ac:dyDescent="0.3">
      <c r="A214" s="10" t="s">
        <v>184</v>
      </c>
      <c r="B214" s="10" t="s">
        <v>8</v>
      </c>
      <c r="C214" s="11">
        <v>45569</v>
      </c>
      <c r="D214" s="10" t="s">
        <v>13</v>
      </c>
      <c r="E214" s="10" t="s">
        <v>36</v>
      </c>
      <c r="F214" s="10">
        <v>2870</v>
      </c>
      <c r="G214" s="10">
        <v>380</v>
      </c>
      <c r="H214" s="10">
        <v>393</v>
      </c>
      <c r="I214" s="10">
        <v>37621</v>
      </c>
      <c r="J214" s="10">
        <v>71794</v>
      </c>
      <c r="K214" s="10">
        <v>127</v>
      </c>
      <c r="L214" s="10" t="s">
        <v>5</v>
      </c>
      <c r="M214" s="10" t="s">
        <v>34</v>
      </c>
      <c r="N214" s="10">
        <f>(Posts5[[#This Row],[Likes]]+Posts5[[#This Row],[Shares]]+Posts5[[#This Row],[Comments]])/Posts5[[#This Row],[Impressions]]</f>
        <v>9.6834214933149046E-2</v>
      </c>
      <c r="O214" s="11">
        <f>_xlfn.XLOOKUP(Posts5[[#This Row],[Campaign_Name]],'[1]Campaign Metadata'!A:A,'[1]Campaign Metadata'!B:B)</f>
        <v>45667</v>
      </c>
      <c r="P214" s="10">
        <f>_xlfn.XLOOKUP(Posts5[[#This Row],[Campaign_Name]],'[1]Campaign Metadata'!A:A,'[1]Campaign Metadata'!C:C)</f>
        <v>45698</v>
      </c>
      <c r="Q214" s="10" t="str">
        <f>IF(AND(Posts5[[#This Row],[Date]] &gt;=Posts5[[#This Row],[Campaign Start Date]], Posts5[[#This Row],[Date]]&lt;= Posts5[[#This Row],[Campaign end date]]), "During","Before")</f>
        <v>Before</v>
      </c>
    </row>
    <row r="215" spans="1:17" x14ac:dyDescent="0.3">
      <c r="A215" s="10" t="s">
        <v>185</v>
      </c>
      <c r="B215" s="10" t="s">
        <v>8</v>
      </c>
      <c r="C215" s="11">
        <v>45615</v>
      </c>
      <c r="D215" s="10" t="s">
        <v>15</v>
      </c>
      <c r="E215" s="10" t="s">
        <v>53</v>
      </c>
      <c r="F215" s="10">
        <v>3728</v>
      </c>
      <c r="G215" s="10">
        <v>271</v>
      </c>
      <c r="H215" s="10">
        <v>275</v>
      </c>
      <c r="I215" s="10">
        <v>22827</v>
      </c>
      <c r="J215" s="10">
        <v>37034</v>
      </c>
      <c r="K215" s="10">
        <v>199</v>
      </c>
      <c r="L215" s="10" t="s">
        <v>5</v>
      </c>
      <c r="M215" s="10" t="s">
        <v>34</v>
      </c>
      <c r="N215" s="10">
        <f>(Posts5[[#This Row],[Likes]]+Posts5[[#This Row],[Shares]]+Posts5[[#This Row],[Comments]])/Posts5[[#This Row],[Impressions]]</f>
        <v>0.18723441538528934</v>
      </c>
      <c r="O215" s="11">
        <f>_xlfn.XLOOKUP(Posts5[[#This Row],[Campaign_Name]],'[1]Campaign Metadata'!A:A,'[1]Campaign Metadata'!B:B)</f>
        <v>45667</v>
      </c>
      <c r="P215" s="10">
        <f>_xlfn.XLOOKUP(Posts5[[#This Row],[Campaign_Name]],'[1]Campaign Metadata'!A:A,'[1]Campaign Metadata'!C:C)</f>
        <v>45698</v>
      </c>
      <c r="Q215" s="10" t="str">
        <f>IF(AND(Posts5[[#This Row],[Date]] &gt;=Posts5[[#This Row],[Campaign Start Date]], Posts5[[#This Row],[Date]]&lt;= Posts5[[#This Row],[Campaign end date]]), "During","Before")</f>
        <v>Before</v>
      </c>
    </row>
    <row r="216" spans="1:17" x14ac:dyDescent="0.3">
      <c r="A216" s="10" t="s">
        <v>186</v>
      </c>
      <c r="B216" s="10" t="s">
        <v>8</v>
      </c>
      <c r="C216" s="11">
        <v>45387</v>
      </c>
      <c r="D216" s="10" t="s">
        <v>13</v>
      </c>
      <c r="E216" s="10" t="s">
        <v>39</v>
      </c>
      <c r="F216" s="10">
        <v>4965</v>
      </c>
      <c r="G216" s="10">
        <v>175</v>
      </c>
      <c r="H216" s="10">
        <v>307</v>
      </c>
      <c r="I216" s="10">
        <v>32793</v>
      </c>
      <c r="J216" s="10">
        <v>43412</v>
      </c>
      <c r="K216" s="10">
        <v>296</v>
      </c>
      <c r="L216" s="10" t="s">
        <v>12</v>
      </c>
      <c r="M216" s="10" t="s">
        <v>34</v>
      </c>
      <c r="N216" s="10">
        <f>(Posts5[[#This Row],[Likes]]+Posts5[[#This Row],[Shares]]+Posts5[[#This Row],[Comments]])/Posts5[[#This Row],[Impressions]]</f>
        <v>0.16610252187966945</v>
      </c>
      <c r="O216" s="11">
        <f>_xlfn.XLOOKUP(Posts5[[#This Row],[Campaign_Name]],'[1]Campaign Metadata'!A:A,'[1]Campaign Metadata'!B:B)</f>
        <v>45667</v>
      </c>
      <c r="P216" s="10">
        <f>_xlfn.XLOOKUP(Posts5[[#This Row],[Campaign_Name]],'[1]Campaign Metadata'!A:A,'[1]Campaign Metadata'!C:C)</f>
        <v>45698</v>
      </c>
      <c r="Q216" s="10" t="str">
        <f>IF(AND(Posts5[[#This Row],[Date]] &gt;=Posts5[[#This Row],[Campaign Start Date]], Posts5[[#This Row],[Date]]&lt;= Posts5[[#This Row],[Campaign end date]]), "During","Before")</f>
        <v>Before</v>
      </c>
    </row>
    <row r="217" spans="1:17" x14ac:dyDescent="0.3">
      <c r="A217" s="10" t="s">
        <v>186</v>
      </c>
      <c r="B217" s="10" t="s">
        <v>8</v>
      </c>
      <c r="C217" s="11">
        <v>45387</v>
      </c>
      <c r="D217" s="10" t="s">
        <v>13</v>
      </c>
      <c r="E217" s="10" t="s">
        <v>39</v>
      </c>
      <c r="F217" s="10">
        <v>4965</v>
      </c>
      <c r="G217" s="10">
        <v>175</v>
      </c>
      <c r="H217" s="10">
        <v>307</v>
      </c>
      <c r="I217" s="10">
        <v>32793</v>
      </c>
      <c r="J217" s="10">
        <v>43412</v>
      </c>
      <c r="K217" s="10">
        <v>296</v>
      </c>
      <c r="L217" s="10" t="s">
        <v>5</v>
      </c>
      <c r="M217" s="10" t="s">
        <v>34</v>
      </c>
      <c r="N217" s="10">
        <f>(Posts5[[#This Row],[Likes]]+Posts5[[#This Row],[Shares]]+Posts5[[#This Row],[Comments]])/Posts5[[#This Row],[Impressions]]</f>
        <v>0.16610252187966945</v>
      </c>
      <c r="O217" s="11">
        <f>_xlfn.XLOOKUP(Posts5[[#This Row],[Campaign_Name]],'[1]Campaign Metadata'!A:A,'[1]Campaign Metadata'!B:B)</f>
        <v>45667</v>
      </c>
      <c r="P217" s="10">
        <f>_xlfn.XLOOKUP(Posts5[[#This Row],[Campaign_Name]],'[1]Campaign Metadata'!A:A,'[1]Campaign Metadata'!C:C)</f>
        <v>45698</v>
      </c>
      <c r="Q217" s="10" t="str">
        <f>IF(AND(Posts5[[#This Row],[Date]] &gt;=Posts5[[#This Row],[Campaign Start Date]], Posts5[[#This Row],[Date]]&lt;= Posts5[[#This Row],[Campaign end date]]), "During","Before")</f>
        <v>Before</v>
      </c>
    </row>
    <row r="218" spans="1:17" x14ac:dyDescent="0.3">
      <c r="A218" s="10" t="s">
        <v>187</v>
      </c>
      <c r="B218" s="10" t="s">
        <v>8</v>
      </c>
      <c r="C218" s="11">
        <v>45624</v>
      </c>
      <c r="D218" s="10" t="s">
        <v>13</v>
      </c>
      <c r="E218" s="10" t="s">
        <v>39</v>
      </c>
      <c r="F218" s="10">
        <v>1131</v>
      </c>
      <c r="G218" s="10">
        <v>100</v>
      </c>
      <c r="H218" s="10">
        <v>116</v>
      </c>
      <c r="I218" s="10">
        <v>48437</v>
      </c>
      <c r="J218" s="10">
        <v>72704</v>
      </c>
      <c r="K218" s="10">
        <v>236</v>
      </c>
      <c r="L218" s="10" t="s">
        <v>10</v>
      </c>
      <c r="M218" s="10" t="s">
        <v>34</v>
      </c>
      <c r="N218" s="10">
        <f>(Posts5[[#This Row],[Likes]]+Posts5[[#This Row],[Shares]]+Posts5[[#This Row],[Comments]])/Posts5[[#This Row],[Impressions]]</f>
        <v>2.7809319322005904E-2</v>
      </c>
      <c r="O218" s="11">
        <f>_xlfn.XLOOKUP(Posts5[[#This Row],[Campaign_Name]],'[1]Campaign Metadata'!A:A,'[1]Campaign Metadata'!B:B)</f>
        <v>45667</v>
      </c>
      <c r="P218" s="10">
        <f>_xlfn.XLOOKUP(Posts5[[#This Row],[Campaign_Name]],'[1]Campaign Metadata'!A:A,'[1]Campaign Metadata'!C:C)</f>
        <v>45698</v>
      </c>
      <c r="Q218" s="10" t="str">
        <f>IF(AND(Posts5[[#This Row],[Date]] &gt;=Posts5[[#This Row],[Campaign Start Date]], Posts5[[#This Row],[Date]]&lt;= Posts5[[#This Row],[Campaign end date]]), "During","Before")</f>
        <v>Before</v>
      </c>
    </row>
    <row r="219" spans="1:17" x14ac:dyDescent="0.3">
      <c r="A219" s="10" t="s">
        <v>187</v>
      </c>
      <c r="B219" s="10" t="s">
        <v>8</v>
      </c>
      <c r="C219" s="11">
        <v>45624</v>
      </c>
      <c r="D219" s="10" t="s">
        <v>13</v>
      </c>
      <c r="E219" s="10" t="s">
        <v>39</v>
      </c>
      <c r="F219" s="10">
        <v>1131</v>
      </c>
      <c r="G219" s="10">
        <v>100</v>
      </c>
      <c r="H219" s="10">
        <v>116</v>
      </c>
      <c r="I219" s="10">
        <v>48437</v>
      </c>
      <c r="J219" s="10">
        <v>72704</v>
      </c>
      <c r="K219" s="10">
        <v>236</v>
      </c>
      <c r="L219" s="10" t="s">
        <v>14</v>
      </c>
      <c r="M219" s="10" t="s">
        <v>34</v>
      </c>
      <c r="N219" s="10">
        <f>(Posts5[[#This Row],[Likes]]+Posts5[[#This Row],[Shares]]+Posts5[[#This Row],[Comments]])/Posts5[[#This Row],[Impressions]]</f>
        <v>2.7809319322005904E-2</v>
      </c>
      <c r="O219" s="11">
        <f>_xlfn.XLOOKUP(Posts5[[#This Row],[Campaign_Name]],'[1]Campaign Metadata'!A:A,'[1]Campaign Metadata'!B:B)</f>
        <v>45667</v>
      </c>
      <c r="P219" s="10">
        <f>_xlfn.XLOOKUP(Posts5[[#This Row],[Campaign_Name]],'[1]Campaign Metadata'!A:A,'[1]Campaign Metadata'!C:C)</f>
        <v>45698</v>
      </c>
      <c r="Q219" s="10" t="str">
        <f>IF(AND(Posts5[[#This Row],[Date]] &gt;=Posts5[[#This Row],[Campaign Start Date]], Posts5[[#This Row],[Date]]&lt;= Posts5[[#This Row],[Campaign end date]]), "During","Before")</f>
        <v>Before</v>
      </c>
    </row>
    <row r="220" spans="1:17" x14ac:dyDescent="0.3">
      <c r="A220" s="10" t="s">
        <v>188</v>
      </c>
      <c r="B220" s="10" t="s">
        <v>8</v>
      </c>
      <c r="C220" s="11">
        <v>45725</v>
      </c>
      <c r="D220" s="10" t="s">
        <v>15</v>
      </c>
      <c r="E220" s="10" t="s">
        <v>61</v>
      </c>
      <c r="F220" s="10">
        <v>2754</v>
      </c>
      <c r="G220" s="10">
        <v>215</v>
      </c>
      <c r="H220" s="10">
        <v>264</v>
      </c>
      <c r="I220" s="10">
        <v>27762</v>
      </c>
      <c r="J220" s="10">
        <v>70203</v>
      </c>
      <c r="K220" s="10">
        <v>289</v>
      </c>
      <c r="L220" s="10" t="s">
        <v>5</v>
      </c>
      <c r="M220" s="10" t="s">
        <v>34</v>
      </c>
      <c r="N220" s="10">
        <f>(Posts5[[#This Row],[Likes]]+Posts5[[#This Row],[Shares]]+Posts5[[#This Row],[Comments]])/Posts5[[#This Row],[Impressions]]</f>
        <v>0.11645414595490239</v>
      </c>
      <c r="O220" s="11">
        <f>_xlfn.XLOOKUP(Posts5[[#This Row],[Campaign_Name]],'[1]Campaign Metadata'!A:A,'[1]Campaign Metadata'!B:B)</f>
        <v>45667</v>
      </c>
      <c r="P220" s="10">
        <f>_xlfn.XLOOKUP(Posts5[[#This Row],[Campaign_Name]],'[1]Campaign Metadata'!A:A,'[1]Campaign Metadata'!C:C)</f>
        <v>45698</v>
      </c>
      <c r="Q220" s="10" t="str">
        <f>IF(AND(Posts5[[#This Row],[Date]] &gt;=Posts5[[#This Row],[Campaign Start Date]], Posts5[[#This Row],[Date]]&lt;= Posts5[[#This Row],[Campaign end date]]), "During","Before")</f>
        <v>Before</v>
      </c>
    </row>
    <row r="221" spans="1:17" x14ac:dyDescent="0.3">
      <c r="A221" s="10" t="s">
        <v>189</v>
      </c>
      <c r="B221" s="10" t="s">
        <v>8</v>
      </c>
      <c r="C221" s="11">
        <v>45531</v>
      </c>
      <c r="D221" s="10" t="s">
        <v>13</v>
      </c>
      <c r="E221" s="10" t="s">
        <v>39</v>
      </c>
      <c r="F221" s="10">
        <v>1856</v>
      </c>
      <c r="G221" s="10">
        <v>357</v>
      </c>
      <c r="H221" s="10">
        <v>348</v>
      </c>
      <c r="I221" s="10">
        <v>29428</v>
      </c>
      <c r="J221" s="10">
        <v>70206</v>
      </c>
      <c r="K221" s="10">
        <v>236</v>
      </c>
      <c r="L221" s="10" t="s">
        <v>14</v>
      </c>
      <c r="M221" s="10" t="s">
        <v>34</v>
      </c>
      <c r="N221" s="10">
        <f>(Posts5[[#This Row],[Likes]]+Posts5[[#This Row],[Shares]]+Posts5[[#This Row],[Comments]])/Posts5[[#This Row],[Impressions]]</f>
        <v>8.702596166915863E-2</v>
      </c>
      <c r="O221" s="11">
        <f>_xlfn.XLOOKUP(Posts5[[#This Row],[Campaign_Name]],'[1]Campaign Metadata'!A:A,'[1]Campaign Metadata'!B:B)</f>
        <v>45667</v>
      </c>
      <c r="P221" s="10">
        <f>_xlfn.XLOOKUP(Posts5[[#This Row],[Campaign_Name]],'[1]Campaign Metadata'!A:A,'[1]Campaign Metadata'!C:C)</f>
        <v>45698</v>
      </c>
      <c r="Q221" s="10" t="str">
        <f>IF(AND(Posts5[[#This Row],[Date]] &gt;=Posts5[[#This Row],[Campaign Start Date]], Posts5[[#This Row],[Date]]&lt;= Posts5[[#This Row],[Campaign end date]]), "During","Before")</f>
        <v>Before</v>
      </c>
    </row>
    <row r="222" spans="1:17" x14ac:dyDescent="0.3">
      <c r="A222" s="10" t="s">
        <v>189</v>
      </c>
      <c r="B222" s="10" t="s">
        <v>8</v>
      </c>
      <c r="C222" s="11">
        <v>45531</v>
      </c>
      <c r="D222" s="10" t="s">
        <v>13</v>
      </c>
      <c r="E222" s="10" t="s">
        <v>39</v>
      </c>
      <c r="F222" s="10">
        <v>1856</v>
      </c>
      <c r="G222" s="10">
        <v>357</v>
      </c>
      <c r="H222" s="10">
        <v>348</v>
      </c>
      <c r="I222" s="10">
        <v>29428</v>
      </c>
      <c r="J222" s="10">
        <v>70206</v>
      </c>
      <c r="K222" s="10">
        <v>236</v>
      </c>
      <c r="L222" s="10" t="s">
        <v>5</v>
      </c>
      <c r="M222" s="10" t="s">
        <v>34</v>
      </c>
      <c r="N222" s="10">
        <f>(Posts5[[#This Row],[Likes]]+Posts5[[#This Row],[Shares]]+Posts5[[#This Row],[Comments]])/Posts5[[#This Row],[Impressions]]</f>
        <v>8.702596166915863E-2</v>
      </c>
      <c r="O222" s="11">
        <f>_xlfn.XLOOKUP(Posts5[[#This Row],[Campaign_Name]],'[1]Campaign Metadata'!A:A,'[1]Campaign Metadata'!B:B)</f>
        <v>45667</v>
      </c>
      <c r="P222" s="10">
        <f>_xlfn.XLOOKUP(Posts5[[#This Row],[Campaign_Name]],'[1]Campaign Metadata'!A:A,'[1]Campaign Metadata'!C:C)</f>
        <v>45698</v>
      </c>
      <c r="Q222" s="10" t="str">
        <f>IF(AND(Posts5[[#This Row],[Date]] &gt;=Posts5[[#This Row],[Campaign Start Date]], Posts5[[#This Row],[Date]]&lt;= Posts5[[#This Row],[Campaign end date]]), "During","Before")</f>
        <v>Before</v>
      </c>
    </row>
    <row r="223" spans="1:17" x14ac:dyDescent="0.3">
      <c r="A223" s="10" t="s">
        <v>190</v>
      </c>
      <c r="B223" s="10" t="s">
        <v>9</v>
      </c>
      <c r="C223" s="11">
        <v>45566</v>
      </c>
      <c r="D223" s="10" t="s">
        <v>11</v>
      </c>
      <c r="E223" s="10" t="s">
        <v>36</v>
      </c>
      <c r="F223" s="10">
        <v>3543</v>
      </c>
      <c r="G223" s="10">
        <v>334</v>
      </c>
      <c r="H223" s="10">
        <v>218</v>
      </c>
      <c r="I223" s="10">
        <v>58007</v>
      </c>
      <c r="J223" s="10">
        <v>24792</v>
      </c>
      <c r="K223" s="10">
        <v>273</v>
      </c>
      <c r="L223" s="10" t="s">
        <v>10</v>
      </c>
      <c r="M223" s="10" t="s">
        <v>68</v>
      </c>
      <c r="N223" s="10">
        <f>(Posts5[[#This Row],[Likes]]+Posts5[[#This Row],[Shares]]+Posts5[[#This Row],[Comments]])/Posts5[[#This Row],[Impressions]]</f>
        <v>7.0594928198320889E-2</v>
      </c>
      <c r="O223" s="11">
        <f>_xlfn.XLOOKUP(Posts5[[#This Row],[Campaign_Name]],'[1]Campaign Metadata'!A:A,'[1]Campaign Metadata'!B:B)</f>
        <v>45458</v>
      </c>
      <c r="P223" s="10">
        <f>_xlfn.XLOOKUP(Posts5[[#This Row],[Campaign_Name]],'[1]Campaign Metadata'!A:A,'[1]Campaign Metadata'!C:C)</f>
        <v>45488</v>
      </c>
      <c r="Q223" s="10" t="str">
        <f>IF(AND(Posts5[[#This Row],[Date]] &gt;=Posts5[[#This Row],[Campaign Start Date]], Posts5[[#This Row],[Date]]&lt;= Posts5[[#This Row],[Campaign end date]]), "During","Before")</f>
        <v>Before</v>
      </c>
    </row>
    <row r="224" spans="1:17" x14ac:dyDescent="0.3">
      <c r="A224" s="10" t="s">
        <v>190</v>
      </c>
      <c r="B224" s="10" t="s">
        <v>9</v>
      </c>
      <c r="C224" s="11">
        <v>45566</v>
      </c>
      <c r="D224" s="10" t="s">
        <v>11</v>
      </c>
      <c r="E224" s="10" t="s">
        <v>36</v>
      </c>
      <c r="F224" s="10">
        <v>3543</v>
      </c>
      <c r="G224" s="10">
        <v>334</v>
      </c>
      <c r="H224" s="10">
        <v>218</v>
      </c>
      <c r="I224" s="10">
        <v>58007</v>
      </c>
      <c r="J224" s="10">
        <v>24792</v>
      </c>
      <c r="K224" s="10">
        <v>273</v>
      </c>
      <c r="L224" s="10" t="s">
        <v>12</v>
      </c>
      <c r="M224" s="10" t="s">
        <v>68</v>
      </c>
      <c r="N224" s="10">
        <f>(Posts5[[#This Row],[Likes]]+Posts5[[#This Row],[Shares]]+Posts5[[#This Row],[Comments]])/Posts5[[#This Row],[Impressions]]</f>
        <v>7.0594928198320889E-2</v>
      </c>
      <c r="O224" s="11">
        <f>_xlfn.XLOOKUP(Posts5[[#This Row],[Campaign_Name]],'[1]Campaign Metadata'!A:A,'[1]Campaign Metadata'!B:B)</f>
        <v>45458</v>
      </c>
      <c r="P224" s="10">
        <f>_xlfn.XLOOKUP(Posts5[[#This Row],[Campaign_Name]],'[1]Campaign Metadata'!A:A,'[1]Campaign Metadata'!C:C)</f>
        <v>45488</v>
      </c>
      <c r="Q224" s="10" t="str">
        <f>IF(AND(Posts5[[#This Row],[Date]] &gt;=Posts5[[#This Row],[Campaign Start Date]], Posts5[[#This Row],[Date]]&lt;= Posts5[[#This Row],[Campaign end date]]), "During","Before")</f>
        <v>Before</v>
      </c>
    </row>
    <row r="225" spans="1:17" x14ac:dyDescent="0.3">
      <c r="A225" s="10" t="s">
        <v>191</v>
      </c>
      <c r="B225" s="10" t="s">
        <v>7</v>
      </c>
      <c r="C225" s="11">
        <v>45647</v>
      </c>
      <c r="D225" s="10" t="s">
        <v>13</v>
      </c>
      <c r="E225" s="10" t="s">
        <v>39</v>
      </c>
      <c r="F225" s="10">
        <v>4563</v>
      </c>
      <c r="G225" s="10">
        <v>398</v>
      </c>
      <c r="H225" s="10">
        <v>163</v>
      </c>
      <c r="I225" s="10">
        <v>43679</v>
      </c>
      <c r="J225" s="10">
        <v>48760</v>
      </c>
      <c r="K225" s="10">
        <v>92</v>
      </c>
      <c r="L225" s="10" t="s">
        <v>5</v>
      </c>
      <c r="M225" s="10" t="s">
        <v>65</v>
      </c>
      <c r="N225" s="10">
        <f>(Posts5[[#This Row],[Likes]]+Posts5[[#This Row],[Shares]]+Posts5[[#This Row],[Comments]])/Posts5[[#This Row],[Impressions]]</f>
        <v>0.11731037798484398</v>
      </c>
      <c r="O225" s="11">
        <f>_xlfn.XLOOKUP(Posts5[[#This Row],[Campaign_Name]],'[1]Campaign Metadata'!A:A,'[1]Campaign Metadata'!B:B)</f>
        <v>45627</v>
      </c>
      <c r="P225" s="10">
        <f>_xlfn.XLOOKUP(Posts5[[#This Row],[Campaign_Name]],'[1]Campaign Metadata'!A:A,'[1]Campaign Metadata'!C:C)</f>
        <v>45657</v>
      </c>
      <c r="Q225" s="10" t="str">
        <f>IF(AND(Posts5[[#This Row],[Date]] &gt;=Posts5[[#This Row],[Campaign Start Date]], Posts5[[#This Row],[Date]]&lt;= Posts5[[#This Row],[Campaign end date]]), "During","Before")</f>
        <v>During</v>
      </c>
    </row>
    <row r="226" spans="1:17" x14ac:dyDescent="0.3">
      <c r="A226" s="10" t="s">
        <v>192</v>
      </c>
      <c r="B226" s="10" t="s">
        <v>7</v>
      </c>
      <c r="C226" s="11">
        <v>45460</v>
      </c>
      <c r="D226" s="10" t="s">
        <v>15</v>
      </c>
      <c r="E226" s="10" t="s">
        <v>32</v>
      </c>
      <c r="F226" s="10">
        <v>4283</v>
      </c>
      <c r="G226" s="10">
        <v>471</v>
      </c>
      <c r="H226" s="10">
        <v>156</v>
      </c>
      <c r="I226" s="10">
        <v>53004</v>
      </c>
      <c r="J226" s="10">
        <v>25678</v>
      </c>
      <c r="K226" s="10">
        <v>105</v>
      </c>
      <c r="L226" s="10" t="s">
        <v>10</v>
      </c>
      <c r="M226" s="10" t="s">
        <v>37</v>
      </c>
      <c r="N226" s="10">
        <f>(Posts5[[#This Row],[Likes]]+Posts5[[#This Row],[Shares]]+Posts5[[#This Row],[Comments]])/Posts5[[#This Row],[Impressions]]</f>
        <v>9.2634518149573616E-2</v>
      </c>
      <c r="O226" s="11">
        <f>_xlfn.XLOOKUP(Posts5[[#This Row],[Campaign_Name]],'[1]Campaign Metadata'!A:A,'[1]Campaign Metadata'!B:B)</f>
        <v>45717</v>
      </c>
      <c r="P226" s="10">
        <f>_xlfn.XLOOKUP(Posts5[[#This Row],[Campaign_Name]],'[1]Campaign Metadata'!A:A,'[1]Campaign Metadata'!C:C)</f>
        <v>45747</v>
      </c>
      <c r="Q226" s="10" t="str">
        <f>IF(AND(Posts5[[#This Row],[Date]] &gt;=Posts5[[#This Row],[Campaign Start Date]], Posts5[[#This Row],[Date]]&lt;= Posts5[[#This Row],[Campaign end date]]), "During","Before")</f>
        <v>Before</v>
      </c>
    </row>
    <row r="227" spans="1:17" x14ac:dyDescent="0.3">
      <c r="A227" s="10" t="s">
        <v>193</v>
      </c>
      <c r="B227" s="10" t="s">
        <v>7</v>
      </c>
      <c r="C227" s="11">
        <v>45702</v>
      </c>
      <c r="D227" s="10" t="s">
        <v>15</v>
      </c>
      <c r="E227" s="10" t="s">
        <v>32</v>
      </c>
      <c r="F227" s="10">
        <v>2329</v>
      </c>
      <c r="G227" s="10">
        <v>373</v>
      </c>
      <c r="H227" s="10">
        <v>291</v>
      </c>
      <c r="I227" s="10">
        <v>49577</v>
      </c>
      <c r="J227" s="10">
        <v>28002</v>
      </c>
      <c r="K227" s="10">
        <v>82</v>
      </c>
      <c r="L227" s="10" t="s">
        <v>12</v>
      </c>
      <c r="M227" s="10" t="s">
        <v>34</v>
      </c>
      <c r="N227" s="10">
        <f>(Posts5[[#This Row],[Likes]]+Posts5[[#This Row],[Shares]]+Posts5[[#This Row],[Comments]])/Posts5[[#This Row],[Impressions]]</f>
        <v>6.0370736430199488E-2</v>
      </c>
      <c r="O227" s="11">
        <f>_xlfn.XLOOKUP(Posts5[[#This Row],[Campaign_Name]],'[1]Campaign Metadata'!A:A,'[1]Campaign Metadata'!B:B)</f>
        <v>45667</v>
      </c>
      <c r="P227" s="10">
        <f>_xlfn.XLOOKUP(Posts5[[#This Row],[Campaign_Name]],'[1]Campaign Metadata'!A:A,'[1]Campaign Metadata'!C:C)</f>
        <v>45698</v>
      </c>
      <c r="Q227" s="10" t="str">
        <f>IF(AND(Posts5[[#This Row],[Date]] &gt;=Posts5[[#This Row],[Campaign Start Date]], Posts5[[#This Row],[Date]]&lt;= Posts5[[#This Row],[Campaign end date]]), "During","Before")</f>
        <v>Before</v>
      </c>
    </row>
    <row r="228" spans="1:17" x14ac:dyDescent="0.3">
      <c r="A228" s="10" t="s">
        <v>193</v>
      </c>
      <c r="B228" s="10" t="s">
        <v>7</v>
      </c>
      <c r="C228" s="11">
        <v>45702</v>
      </c>
      <c r="D228" s="10" t="s">
        <v>15</v>
      </c>
      <c r="E228" s="10" t="s">
        <v>32</v>
      </c>
      <c r="F228" s="10">
        <v>2329</v>
      </c>
      <c r="G228" s="10">
        <v>373</v>
      </c>
      <c r="H228" s="10">
        <v>291</v>
      </c>
      <c r="I228" s="10">
        <v>49577</v>
      </c>
      <c r="J228" s="10">
        <v>28002</v>
      </c>
      <c r="K228" s="10">
        <v>82</v>
      </c>
      <c r="L228" s="10" t="s">
        <v>5</v>
      </c>
      <c r="M228" s="10" t="s">
        <v>34</v>
      </c>
      <c r="N228" s="10">
        <f>(Posts5[[#This Row],[Likes]]+Posts5[[#This Row],[Shares]]+Posts5[[#This Row],[Comments]])/Posts5[[#This Row],[Impressions]]</f>
        <v>6.0370736430199488E-2</v>
      </c>
      <c r="O228" s="11">
        <f>_xlfn.XLOOKUP(Posts5[[#This Row],[Campaign_Name]],'[1]Campaign Metadata'!A:A,'[1]Campaign Metadata'!B:B)</f>
        <v>45667</v>
      </c>
      <c r="P228" s="10">
        <f>_xlfn.XLOOKUP(Posts5[[#This Row],[Campaign_Name]],'[1]Campaign Metadata'!A:A,'[1]Campaign Metadata'!C:C)</f>
        <v>45698</v>
      </c>
      <c r="Q228" s="10" t="str">
        <f>IF(AND(Posts5[[#This Row],[Date]] &gt;=Posts5[[#This Row],[Campaign Start Date]], Posts5[[#This Row],[Date]]&lt;= Posts5[[#This Row],[Campaign end date]]), "During","Before")</f>
        <v>Before</v>
      </c>
    </row>
    <row r="229" spans="1:17" x14ac:dyDescent="0.3">
      <c r="A229" s="10" t="s">
        <v>194</v>
      </c>
      <c r="B229" s="10" t="s">
        <v>8</v>
      </c>
      <c r="C229" s="11">
        <v>45805</v>
      </c>
      <c r="D229" s="10" t="s">
        <v>13</v>
      </c>
      <c r="E229" s="10" t="s">
        <v>53</v>
      </c>
      <c r="F229" s="10">
        <v>4287</v>
      </c>
      <c r="G229" s="10">
        <v>273</v>
      </c>
      <c r="H229" s="10">
        <v>122</v>
      </c>
      <c r="I229" s="10">
        <v>40792</v>
      </c>
      <c r="J229" s="10">
        <v>23878</v>
      </c>
      <c r="K229" s="10">
        <v>277</v>
      </c>
      <c r="L229" s="10" t="s">
        <v>14</v>
      </c>
      <c r="M229" s="10" t="s">
        <v>34</v>
      </c>
      <c r="N229" s="10">
        <f>(Posts5[[#This Row],[Likes]]+Posts5[[#This Row],[Shares]]+Posts5[[#This Row],[Comments]])/Posts5[[#This Row],[Impressions]]</f>
        <v>0.11477740733477153</v>
      </c>
      <c r="O229" s="11">
        <f>_xlfn.XLOOKUP(Posts5[[#This Row],[Campaign_Name]],'[1]Campaign Metadata'!A:A,'[1]Campaign Metadata'!B:B)</f>
        <v>45667</v>
      </c>
      <c r="P229" s="10">
        <f>_xlfn.XLOOKUP(Posts5[[#This Row],[Campaign_Name]],'[1]Campaign Metadata'!A:A,'[1]Campaign Metadata'!C:C)</f>
        <v>45698</v>
      </c>
      <c r="Q229" s="10" t="str">
        <f>IF(AND(Posts5[[#This Row],[Date]] &gt;=Posts5[[#This Row],[Campaign Start Date]], Posts5[[#This Row],[Date]]&lt;= Posts5[[#This Row],[Campaign end date]]), "During","Before")</f>
        <v>Before</v>
      </c>
    </row>
    <row r="230" spans="1:17" x14ac:dyDescent="0.3">
      <c r="A230" s="10" t="s">
        <v>194</v>
      </c>
      <c r="B230" s="10" t="s">
        <v>8</v>
      </c>
      <c r="C230" s="11">
        <v>45805</v>
      </c>
      <c r="D230" s="10" t="s">
        <v>13</v>
      </c>
      <c r="E230" s="10" t="s">
        <v>53</v>
      </c>
      <c r="F230" s="10">
        <v>4287</v>
      </c>
      <c r="G230" s="10">
        <v>273</v>
      </c>
      <c r="H230" s="10">
        <v>122</v>
      </c>
      <c r="I230" s="10">
        <v>40792</v>
      </c>
      <c r="J230" s="10">
        <v>23878</v>
      </c>
      <c r="K230" s="10">
        <v>277</v>
      </c>
      <c r="L230" s="10" t="s">
        <v>5</v>
      </c>
      <c r="M230" s="10" t="s">
        <v>34</v>
      </c>
      <c r="N230" s="10">
        <f>(Posts5[[#This Row],[Likes]]+Posts5[[#This Row],[Shares]]+Posts5[[#This Row],[Comments]])/Posts5[[#This Row],[Impressions]]</f>
        <v>0.11477740733477153</v>
      </c>
      <c r="O230" s="11">
        <f>_xlfn.XLOOKUP(Posts5[[#This Row],[Campaign_Name]],'[1]Campaign Metadata'!A:A,'[1]Campaign Metadata'!B:B)</f>
        <v>45667</v>
      </c>
      <c r="P230" s="10">
        <f>_xlfn.XLOOKUP(Posts5[[#This Row],[Campaign_Name]],'[1]Campaign Metadata'!A:A,'[1]Campaign Metadata'!C:C)</f>
        <v>45698</v>
      </c>
      <c r="Q230" s="10" t="str">
        <f>IF(AND(Posts5[[#This Row],[Date]] &gt;=Posts5[[#This Row],[Campaign Start Date]], Posts5[[#This Row],[Date]]&lt;= Posts5[[#This Row],[Campaign end date]]), "During","Before")</f>
        <v>Before</v>
      </c>
    </row>
    <row r="231" spans="1:17" x14ac:dyDescent="0.3">
      <c r="A231" s="10" t="s">
        <v>195</v>
      </c>
      <c r="B231" s="10" t="s">
        <v>7</v>
      </c>
      <c r="C231" s="11">
        <v>45799</v>
      </c>
      <c r="D231" s="10" t="s">
        <v>15</v>
      </c>
      <c r="E231" s="10" t="s">
        <v>32</v>
      </c>
      <c r="F231" s="10">
        <v>2633</v>
      </c>
      <c r="G231" s="10">
        <v>318</v>
      </c>
      <c r="H231" s="10">
        <v>380</v>
      </c>
      <c r="I231" s="10">
        <v>40869</v>
      </c>
      <c r="J231" s="10">
        <v>64474</v>
      </c>
      <c r="K231" s="10">
        <v>245</v>
      </c>
      <c r="L231" s="10" t="s">
        <v>10</v>
      </c>
      <c r="M231" s="10" t="s">
        <v>37</v>
      </c>
      <c r="N231" s="10">
        <f>(Posts5[[#This Row],[Likes]]+Posts5[[#This Row],[Shares]]+Posts5[[#This Row],[Comments]])/Posts5[[#This Row],[Impressions]]</f>
        <v>8.1504318676747664E-2</v>
      </c>
      <c r="O231" s="11">
        <f>_xlfn.XLOOKUP(Posts5[[#This Row],[Campaign_Name]],'[1]Campaign Metadata'!A:A,'[1]Campaign Metadata'!B:B)</f>
        <v>45717</v>
      </c>
      <c r="P231" s="10">
        <f>_xlfn.XLOOKUP(Posts5[[#This Row],[Campaign_Name]],'[1]Campaign Metadata'!A:A,'[1]Campaign Metadata'!C:C)</f>
        <v>45747</v>
      </c>
      <c r="Q231" s="10" t="str">
        <f>IF(AND(Posts5[[#This Row],[Date]] &gt;=Posts5[[#This Row],[Campaign Start Date]], Posts5[[#This Row],[Date]]&lt;= Posts5[[#This Row],[Campaign end date]]), "During","Before")</f>
        <v>Before</v>
      </c>
    </row>
    <row r="232" spans="1:17" x14ac:dyDescent="0.3">
      <c r="A232" s="10" t="s">
        <v>196</v>
      </c>
      <c r="B232" s="10" t="s">
        <v>8</v>
      </c>
      <c r="C232" s="11">
        <v>45312</v>
      </c>
      <c r="D232" s="10" t="s">
        <v>13</v>
      </c>
      <c r="E232" s="10" t="s">
        <v>32</v>
      </c>
      <c r="F232" s="10">
        <v>2383</v>
      </c>
      <c r="G232" s="10">
        <v>136</v>
      </c>
      <c r="H232" s="10">
        <v>302</v>
      </c>
      <c r="I232" s="10">
        <v>39187</v>
      </c>
      <c r="J232" s="10">
        <v>22133</v>
      </c>
      <c r="K232" s="10">
        <v>208</v>
      </c>
      <c r="L232" s="10" t="s">
        <v>14</v>
      </c>
      <c r="M232" s="10" t="s">
        <v>34</v>
      </c>
      <c r="N232" s="10">
        <f>(Posts5[[#This Row],[Likes]]+Posts5[[#This Row],[Shares]]+Posts5[[#This Row],[Comments]])/Posts5[[#This Row],[Impressions]]</f>
        <v>7.1988159338556151E-2</v>
      </c>
      <c r="O232" s="11">
        <f>_xlfn.XLOOKUP(Posts5[[#This Row],[Campaign_Name]],'[1]Campaign Metadata'!A:A,'[1]Campaign Metadata'!B:B)</f>
        <v>45667</v>
      </c>
      <c r="P232" s="10">
        <f>_xlfn.XLOOKUP(Posts5[[#This Row],[Campaign_Name]],'[1]Campaign Metadata'!A:A,'[1]Campaign Metadata'!C:C)</f>
        <v>45698</v>
      </c>
      <c r="Q232" s="10" t="str">
        <f>IF(AND(Posts5[[#This Row],[Date]] &gt;=Posts5[[#This Row],[Campaign Start Date]], Posts5[[#This Row],[Date]]&lt;= Posts5[[#This Row],[Campaign end date]]), "During","Before")</f>
        <v>Before</v>
      </c>
    </row>
    <row r="233" spans="1:17" x14ac:dyDescent="0.3">
      <c r="A233" s="10" t="s">
        <v>196</v>
      </c>
      <c r="B233" s="10" t="s">
        <v>8</v>
      </c>
      <c r="C233" s="11">
        <v>45312</v>
      </c>
      <c r="D233" s="10" t="s">
        <v>13</v>
      </c>
      <c r="E233" s="10" t="s">
        <v>32</v>
      </c>
      <c r="F233" s="10">
        <v>2383</v>
      </c>
      <c r="G233" s="10">
        <v>136</v>
      </c>
      <c r="H233" s="10">
        <v>302</v>
      </c>
      <c r="I233" s="10">
        <v>39187</v>
      </c>
      <c r="J233" s="10">
        <v>22133</v>
      </c>
      <c r="K233" s="10">
        <v>208</v>
      </c>
      <c r="L233" s="10" t="s">
        <v>5</v>
      </c>
      <c r="M233" s="10" t="s">
        <v>34</v>
      </c>
      <c r="N233" s="10">
        <f>(Posts5[[#This Row],[Likes]]+Posts5[[#This Row],[Shares]]+Posts5[[#This Row],[Comments]])/Posts5[[#This Row],[Impressions]]</f>
        <v>7.1988159338556151E-2</v>
      </c>
      <c r="O233" s="11">
        <f>_xlfn.XLOOKUP(Posts5[[#This Row],[Campaign_Name]],'[1]Campaign Metadata'!A:A,'[1]Campaign Metadata'!B:B)</f>
        <v>45667</v>
      </c>
      <c r="P233" s="10">
        <f>_xlfn.XLOOKUP(Posts5[[#This Row],[Campaign_Name]],'[1]Campaign Metadata'!A:A,'[1]Campaign Metadata'!C:C)</f>
        <v>45698</v>
      </c>
      <c r="Q233" s="10" t="str">
        <f>IF(AND(Posts5[[#This Row],[Date]] &gt;=Posts5[[#This Row],[Campaign Start Date]], Posts5[[#This Row],[Date]]&lt;= Posts5[[#This Row],[Campaign end date]]), "During","Before")</f>
        <v>Before</v>
      </c>
    </row>
    <row r="234" spans="1:17" x14ac:dyDescent="0.3">
      <c r="A234" s="10" t="s">
        <v>197</v>
      </c>
      <c r="B234" s="10" t="s">
        <v>8</v>
      </c>
      <c r="C234" s="11">
        <v>45696</v>
      </c>
      <c r="D234" s="10" t="s">
        <v>13</v>
      </c>
      <c r="E234" s="10" t="s">
        <v>61</v>
      </c>
      <c r="F234" s="10">
        <v>4752</v>
      </c>
      <c r="G234" s="10">
        <v>334</v>
      </c>
      <c r="H234" s="10">
        <v>56</v>
      </c>
      <c r="I234" s="10">
        <v>48017</v>
      </c>
      <c r="J234" s="10">
        <v>55534</v>
      </c>
      <c r="K234" s="10">
        <v>270</v>
      </c>
      <c r="L234" s="10" t="s">
        <v>10</v>
      </c>
      <c r="M234" s="10" t="s">
        <v>34</v>
      </c>
      <c r="N234" s="10">
        <f>(Posts5[[#This Row],[Likes]]+Posts5[[#This Row],[Shares]]+Posts5[[#This Row],[Comments]])/Posts5[[#This Row],[Impressions]]</f>
        <v>0.10708707332819627</v>
      </c>
      <c r="O234" s="11">
        <f>_xlfn.XLOOKUP(Posts5[[#This Row],[Campaign_Name]],'[1]Campaign Metadata'!A:A,'[1]Campaign Metadata'!B:B)</f>
        <v>45667</v>
      </c>
      <c r="P234" s="10">
        <f>_xlfn.XLOOKUP(Posts5[[#This Row],[Campaign_Name]],'[1]Campaign Metadata'!A:A,'[1]Campaign Metadata'!C:C)</f>
        <v>45698</v>
      </c>
      <c r="Q234" s="10" t="str">
        <f>IF(AND(Posts5[[#This Row],[Date]] &gt;=Posts5[[#This Row],[Campaign Start Date]], Posts5[[#This Row],[Date]]&lt;= Posts5[[#This Row],[Campaign end date]]), "During","Before")</f>
        <v>During</v>
      </c>
    </row>
    <row r="235" spans="1:17" x14ac:dyDescent="0.3">
      <c r="A235" s="10" t="s">
        <v>197</v>
      </c>
      <c r="B235" s="10" t="s">
        <v>8</v>
      </c>
      <c r="C235" s="11">
        <v>45696</v>
      </c>
      <c r="D235" s="10" t="s">
        <v>13</v>
      </c>
      <c r="E235" s="10" t="s">
        <v>61</v>
      </c>
      <c r="F235" s="10">
        <v>4752</v>
      </c>
      <c r="G235" s="10">
        <v>334</v>
      </c>
      <c r="H235" s="10">
        <v>56</v>
      </c>
      <c r="I235" s="10">
        <v>48017</v>
      </c>
      <c r="J235" s="10">
        <v>55534</v>
      </c>
      <c r="K235" s="10">
        <v>270</v>
      </c>
      <c r="L235" s="10" t="s">
        <v>14</v>
      </c>
      <c r="M235" s="10" t="s">
        <v>34</v>
      </c>
      <c r="N235" s="10">
        <f>(Posts5[[#This Row],[Likes]]+Posts5[[#This Row],[Shares]]+Posts5[[#This Row],[Comments]])/Posts5[[#This Row],[Impressions]]</f>
        <v>0.10708707332819627</v>
      </c>
      <c r="O235" s="11">
        <f>_xlfn.XLOOKUP(Posts5[[#This Row],[Campaign_Name]],'[1]Campaign Metadata'!A:A,'[1]Campaign Metadata'!B:B)</f>
        <v>45667</v>
      </c>
      <c r="P235" s="10">
        <f>_xlfn.XLOOKUP(Posts5[[#This Row],[Campaign_Name]],'[1]Campaign Metadata'!A:A,'[1]Campaign Metadata'!C:C)</f>
        <v>45698</v>
      </c>
      <c r="Q235" s="10" t="str">
        <f>IF(AND(Posts5[[#This Row],[Date]] &gt;=Posts5[[#This Row],[Campaign Start Date]], Posts5[[#This Row],[Date]]&lt;= Posts5[[#This Row],[Campaign end date]]), "During","Before")</f>
        <v>During</v>
      </c>
    </row>
    <row r="236" spans="1:17" x14ac:dyDescent="0.3">
      <c r="A236" s="10" t="s">
        <v>198</v>
      </c>
      <c r="B236" s="10" t="s">
        <v>8</v>
      </c>
      <c r="C236" s="11">
        <v>45760</v>
      </c>
      <c r="D236" s="10" t="s">
        <v>15</v>
      </c>
      <c r="E236" s="10" t="s">
        <v>59</v>
      </c>
      <c r="F236" s="10">
        <v>3890</v>
      </c>
      <c r="G236" s="10">
        <v>408</v>
      </c>
      <c r="H236" s="10">
        <v>338</v>
      </c>
      <c r="I236" s="10">
        <v>56994</v>
      </c>
      <c r="J236" s="10">
        <v>32621</v>
      </c>
      <c r="K236" s="10">
        <v>286</v>
      </c>
      <c r="L236" s="10" t="s">
        <v>12</v>
      </c>
      <c r="M236" s="10" t="s">
        <v>37</v>
      </c>
      <c r="N236" s="10">
        <f>(Posts5[[#This Row],[Likes]]+Posts5[[#This Row],[Shares]]+Posts5[[#This Row],[Comments]])/Posts5[[#This Row],[Impressions]]</f>
        <v>8.1341895638137346E-2</v>
      </c>
      <c r="O236" s="11">
        <f>_xlfn.XLOOKUP(Posts5[[#This Row],[Campaign_Name]],'[1]Campaign Metadata'!A:A,'[1]Campaign Metadata'!B:B)</f>
        <v>45717</v>
      </c>
      <c r="P236" s="10">
        <f>_xlfn.XLOOKUP(Posts5[[#This Row],[Campaign_Name]],'[1]Campaign Metadata'!A:A,'[1]Campaign Metadata'!C:C)</f>
        <v>45747</v>
      </c>
      <c r="Q236" s="10" t="str">
        <f>IF(AND(Posts5[[#This Row],[Date]] &gt;=Posts5[[#This Row],[Campaign Start Date]], Posts5[[#This Row],[Date]]&lt;= Posts5[[#This Row],[Campaign end date]]), "During","Before")</f>
        <v>Before</v>
      </c>
    </row>
    <row r="237" spans="1:17" x14ac:dyDescent="0.3">
      <c r="A237" s="10" t="s">
        <v>199</v>
      </c>
      <c r="B237" s="10" t="s">
        <v>8</v>
      </c>
      <c r="C237" s="11">
        <v>45442</v>
      </c>
      <c r="D237" s="10" t="s">
        <v>13</v>
      </c>
      <c r="E237" s="10" t="s">
        <v>61</v>
      </c>
      <c r="F237" s="10">
        <v>2311</v>
      </c>
      <c r="G237" s="10">
        <v>207</v>
      </c>
      <c r="H237" s="10">
        <v>363</v>
      </c>
      <c r="I237" s="10">
        <v>30349</v>
      </c>
      <c r="J237" s="10">
        <v>32925</v>
      </c>
      <c r="K237" s="10">
        <v>88</v>
      </c>
      <c r="L237" s="10" t="s">
        <v>14</v>
      </c>
      <c r="M237" s="10" t="s">
        <v>34</v>
      </c>
      <c r="N237" s="10">
        <f>(Posts5[[#This Row],[Likes]]+Posts5[[#This Row],[Shares]]+Posts5[[#This Row],[Comments]])/Posts5[[#This Row],[Impressions]]</f>
        <v>9.4928992718046723E-2</v>
      </c>
      <c r="O237" s="11">
        <f>_xlfn.XLOOKUP(Posts5[[#This Row],[Campaign_Name]],'[1]Campaign Metadata'!A:A,'[1]Campaign Metadata'!B:B)</f>
        <v>45667</v>
      </c>
      <c r="P237" s="10">
        <f>_xlfn.XLOOKUP(Posts5[[#This Row],[Campaign_Name]],'[1]Campaign Metadata'!A:A,'[1]Campaign Metadata'!C:C)</f>
        <v>45698</v>
      </c>
      <c r="Q237" s="10" t="str">
        <f>IF(AND(Posts5[[#This Row],[Date]] &gt;=Posts5[[#This Row],[Campaign Start Date]], Posts5[[#This Row],[Date]]&lt;= Posts5[[#This Row],[Campaign end date]]), "During","Before")</f>
        <v>Before</v>
      </c>
    </row>
    <row r="238" spans="1:17" x14ac:dyDescent="0.3">
      <c r="A238" s="10" t="s">
        <v>199</v>
      </c>
      <c r="B238" s="10" t="s">
        <v>8</v>
      </c>
      <c r="C238" s="11">
        <v>45442</v>
      </c>
      <c r="D238" s="10" t="s">
        <v>13</v>
      </c>
      <c r="E238" s="10" t="s">
        <v>61</v>
      </c>
      <c r="F238" s="10">
        <v>2311</v>
      </c>
      <c r="G238" s="10">
        <v>207</v>
      </c>
      <c r="H238" s="10">
        <v>363</v>
      </c>
      <c r="I238" s="10">
        <v>30349</v>
      </c>
      <c r="J238" s="10">
        <v>32925</v>
      </c>
      <c r="K238" s="10">
        <v>88</v>
      </c>
      <c r="L238" s="10" t="s">
        <v>5</v>
      </c>
      <c r="M238" s="10" t="s">
        <v>34</v>
      </c>
      <c r="N238" s="10">
        <f>(Posts5[[#This Row],[Likes]]+Posts5[[#This Row],[Shares]]+Posts5[[#This Row],[Comments]])/Posts5[[#This Row],[Impressions]]</f>
        <v>9.4928992718046723E-2</v>
      </c>
      <c r="O238" s="11">
        <f>_xlfn.XLOOKUP(Posts5[[#This Row],[Campaign_Name]],'[1]Campaign Metadata'!A:A,'[1]Campaign Metadata'!B:B)</f>
        <v>45667</v>
      </c>
      <c r="P238" s="10">
        <f>_xlfn.XLOOKUP(Posts5[[#This Row],[Campaign_Name]],'[1]Campaign Metadata'!A:A,'[1]Campaign Metadata'!C:C)</f>
        <v>45698</v>
      </c>
      <c r="Q238" s="10" t="str">
        <f>IF(AND(Posts5[[#This Row],[Date]] &gt;=Posts5[[#This Row],[Campaign Start Date]], Posts5[[#This Row],[Date]]&lt;= Posts5[[#This Row],[Campaign end date]]), "During","Before")</f>
        <v>Before</v>
      </c>
    </row>
    <row r="239" spans="1:17" x14ac:dyDescent="0.3">
      <c r="A239" s="10" t="s">
        <v>200</v>
      </c>
      <c r="B239" s="10" t="s">
        <v>7</v>
      </c>
      <c r="C239" s="11">
        <v>45516</v>
      </c>
      <c r="D239" s="10" t="s">
        <v>13</v>
      </c>
      <c r="E239" s="10" t="s">
        <v>32</v>
      </c>
      <c r="F239" s="10">
        <v>2962</v>
      </c>
      <c r="G239" s="10">
        <v>400</v>
      </c>
      <c r="H239" s="10">
        <v>280</v>
      </c>
      <c r="I239" s="10">
        <v>52508</v>
      </c>
      <c r="J239" s="10">
        <v>58329</v>
      </c>
      <c r="K239" s="10">
        <v>219</v>
      </c>
      <c r="L239" s="10" t="s">
        <v>5</v>
      </c>
      <c r="M239" s="10" t="s">
        <v>65</v>
      </c>
      <c r="N239" s="10">
        <f>(Posts5[[#This Row],[Likes]]+Posts5[[#This Row],[Shares]]+Posts5[[#This Row],[Comments]])/Posts5[[#This Row],[Impressions]]</f>
        <v>6.9360859297630834E-2</v>
      </c>
      <c r="O239" s="11">
        <f>_xlfn.XLOOKUP(Posts5[[#This Row],[Campaign_Name]],'[1]Campaign Metadata'!A:A,'[1]Campaign Metadata'!B:B)</f>
        <v>45627</v>
      </c>
      <c r="P239" s="10">
        <f>_xlfn.XLOOKUP(Posts5[[#This Row],[Campaign_Name]],'[1]Campaign Metadata'!A:A,'[1]Campaign Metadata'!C:C)</f>
        <v>45657</v>
      </c>
      <c r="Q239" s="10" t="str">
        <f>IF(AND(Posts5[[#This Row],[Date]] &gt;=Posts5[[#This Row],[Campaign Start Date]], Posts5[[#This Row],[Date]]&lt;= Posts5[[#This Row],[Campaign end date]]), "During","Before")</f>
        <v>Before</v>
      </c>
    </row>
    <row r="240" spans="1:17" x14ac:dyDescent="0.3">
      <c r="A240" s="10" t="s">
        <v>201</v>
      </c>
      <c r="B240" s="10" t="s">
        <v>7</v>
      </c>
      <c r="C240" s="11">
        <v>45562</v>
      </c>
      <c r="D240" s="10" t="s">
        <v>15</v>
      </c>
      <c r="E240" s="10" t="s">
        <v>32</v>
      </c>
      <c r="F240" s="10">
        <v>3118</v>
      </c>
      <c r="G240" s="10">
        <v>116</v>
      </c>
      <c r="H240" s="10">
        <v>195</v>
      </c>
      <c r="I240" s="10">
        <v>37100</v>
      </c>
      <c r="J240" s="10">
        <v>62629</v>
      </c>
      <c r="K240" s="10">
        <v>272</v>
      </c>
      <c r="L240" s="10" t="s">
        <v>10</v>
      </c>
      <c r="M240" s="10" t="s">
        <v>37</v>
      </c>
      <c r="N240" s="10">
        <f>(Posts5[[#This Row],[Likes]]+Posts5[[#This Row],[Shares]]+Posts5[[#This Row],[Comments]])/Posts5[[#This Row],[Impressions]]</f>
        <v>9.2425876010781671E-2</v>
      </c>
      <c r="O240" s="11">
        <f>_xlfn.XLOOKUP(Posts5[[#This Row],[Campaign_Name]],'[1]Campaign Metadata'!A:A,'[1]Campaign Metadata'!B:B)</f>
        <v>45717</v>
      </c>
      <c r="P240" s="10">
        <f>_xlfn.XLOOKUP(Posts5[[#This Row],[Campaign_Name]],'[1]Campaign Metadata'!A:A,'[1]Campaign Metadata'!C:C)</f>
        <v>45747</v>
      </c>
      <c r="Q240" s="10" t="str">
        <f>IF(AND(Posts5[[#This Row],[Date]] &gt;=Posts5[[#This Row],[Campaign Start Date]], Posts5[[#This Row],[Date]]&lt;= Posts5[[#This Row],[Campaign end date]]), "During","Before")</f>
        <v>Before</v>
      </c>
    </row>
    <row r="241" spans="1:17" x14ac:dyDescent="0.3">
      <c r="A241" s="10" t="s">
        <v>202</v>
      </c>
      <c r="B241" s="10" t="s">
        <v>8</v>
      </c>
      <c r="C241" s="11">
        <v>45819</v>
      </c>
      <c r="D241" s="10" t="s">
        <v>13</v>
      </c>
      <c r="E241" s="10" t="s">
        <v>36</v>
      </c>
      <c r="F241" s="10">
        <v>3805</v>
      </c>
      <c r="G241" s="10">
        <v>453</v>
      </c>
      <c r="H241" s="10">
        <v>63</v>
      </c>
      <c r="I241" s="10">
        <v>52395</v>
      </c>
      <c r="J241" s="10">
        <v>72934</v>
      </c>
      <c r="K241" s="10">
        <v>87</v>
      </c>
      <c r="L241" s="10" t="s">
        <v>10</v>
      </c>
      <c r="M241" s="10" t="s">
        <v>34</v>
      </c>
      <c r="N241" s="10">
        <f>(Posts5[[#This Row],[Likes]]+Posts5[[#This Row],[Shares]]+Posts5[[#This Row],[Comments]])/Posts5[[#This Row],[Impressions]]</f>
        <v>8.2469701307376658E-2</v>
      </c>
      <c r="O241" s="11">
        <f>_xlfn.XLOOKUP(Posts5[[#This Row],[Campaign_Name]],'[1]Campaign Metadata'!A:A,'[1]Campaign Metadata'!B:B)</f>
        <v>45667</v>
      </c>
      <c r="P241" s="10">
        <f>_xlfn.XLOOKUP(Posts5[[#This Row],[Campaign_Name]],'[1]Campaign Metadata'!A:A,'[1]Campaign Metadata'!C:C)</f>
        <v>45698</v>
      </c>
      <c r="Q241" s="10" t="str">
        <f>IF(AND(Posts5[[#This Row],[Date]] &gt;=Posts5[[#This Row],[Campaign Start Date]], Posts5[[#This Row],[Date]]&lt;= Posts5[[#This Row],[Campaign end date]]), "During","Before")</f>
        <v>Before</v>
      </c>
    </row>
    <row r="242" spans="1:17" x14ac:dyDescent="0.3">
      <c r="A242" s="10" t="s">
        <v>202</v>
      </c>
      <c r="B242" s="10" t="s">
        <v>8</v>
      </c>
      <c r="C242" s="11">
        <v>45819</v>
      </c>
      <c r="D242" s="10" t="s">
        <v>13</v>
      </c>
      <c r="E242" s="10" t="s">
        <v>36</v>
      </c>
      <c r="F242" s="10">
        <v>3805</v>
      </c>
      <c r="G242" s="10">
        <v>453</v>
      </c>
      <c r="H242" s="10">
        <v>63</v>
      </c>
      <c r="I242" s="10">
        <v>52395</v>
      </c>
      <c r="J242" s="10">
        <v>72934</v>
      </c>
      <c r="K242" s="10">
        <v>87</v>
      </c>
      <c r="L242" s="10" t="s">
        <v>14</v>
      </c>
      <c r="M242" s="10" t="s">
        <v>34</v>
      </c>
      <c r="N242" s="10">
        <f>(Posts5[[#This Row],[Likes]]+Posts5[[#This Row],[Shares]]+Posts5[[#This Row],[Comments]])/Posts5[[#This Row],[Impressions]]</f>
        <v>8.2469701307376658E-2</v>
      </c>
      <c r="O242" s="11">
        <f>_xlfn.XLOOKUP(Posts5[[#This Row],[Campaign_Name]],'[1]Campaign Metadata'!A:A,'[1]Campaign Metadata'!B:B)</f>
        <v>45667</v>
      </c>
      <c r="P242" s="10">
        <f>_xlfn.XLOOKUP(Posts5[[#This Row],[Campaign_Name]],'[1]Campaign Metadata'!A:A,'[1]Campaign Metadata'!C:C)</f>
        <v>45698</v>
      </c>
      <c r="Q242" s="10" t="str">
        <f>IF(AND(Posts5[[#This Row],[Date]] &gt;=Posts5[[#This Row],[Campaign Start Date]], Posts5[[#This Row],[Date]]&lt;= Posts5[[#This Row],[Campaign end date]]), "During","Before")</f>
        <v>Before</v>
      </c>
    </row>
    <row r="243" spans="1:17" x14ac:dyDescent="0.3">
      <c r="A243" s="10" t="s">
        <v>203</v>
      </c>
      <c r="B243" s="10" t="s">
        <v>7</v>
      </c>
      <c r="C243" s="11">
        <v>45615</v>
      </c>
      <c r="D243" s="10" t="s">
        <v>15</v>
      </c>
      <c r="E243" s="10" t="s">
        <v>47</v>
      </c>
      <c r="F243" s="10">
        <v>2525</v>
      </c>
      <c r="G243" s="10">
        <v>272</v>
      </c>
      <c r="H243" s="10">
        <v>294</v>
      </c>
      <c r="I243" s="10">
        <v>51875</v>
      </c>
      <c r="J243" s="10">
        <v>24732</v>
      </c>
      <c r="K243" s="10">
        <v>92</v>
      </c>
      <c r="L243" s="10" t="s">
        <v>10</v>
      </c>
      <c r="M243" s="10" t="s">
        <v>37</v>
      </c>
      <c r="N243" s="10">
        <f>(Posts5[[#This Row],[Likes]]+Posts5[[#This Row],[Shares]]+Posts5[[#This Row],[Comments]])/Posts5[[#This Row],[Impressions]]</f>
        <v>5.9585542168674697E-2</v>
      </c>
      <c r="O243" s="11">
        <f>_xlfn.XLOOKUP(Posts5[[#This Row],[Campaign_Name]],'[1]Campaign Metadata'!A:A,'[1]Campaign Metadata'!B:B)</f>
        <v>45717</v>
      </c>
      <c r="P243" s="10">
        <f>_xlfn.XLOOKUP(Posts5[[#This Row],[Campaign_Name]],'[1]Campaign Metadata'!A:A,'[1]Campaign Metadata'!C:C)</f>
        <v>45747</v>
      </c>
      <c r="Q243" s="10" t="str">
        <f>IF(AND(Posts5[[#This Row],[Date]] &gt;=Posts5[[#This Row],[Campaign Start Date]], Posts5[[#This Row],[Date]]&lt;= Posts5[[#This Row],[Campaign end date]]), "During","Before")</f>
        <v>Before</v>
      </c>
    </row>
    <row r="244" spans="1:17" x14ac:dyDescent="0.3">
      <c r="A244" s="10" t="s">
        <v>204</v>
      </c>
      <c r="B244" s="10" t="s">
        <v>7</v>
      </c>
      <c r="C244" s="11">
        <v>45407</v>
      </c>
      <c r="D244" s="10" t="s">
        <v>15</v>
      </c>
      <c r="E244" s="10" t="s">
        <v>44</v>
      </c>
      <c r="F244" s="10">
        <v>3563</v>
      </c>
      <c r="G244" s="10">
        <v>483</v>
      </c>
      <c r="H244" s="10">
        <v>227</v>
      </c>
      <c r="I244" s="10">
        <v>41085</v>
      </c>
      <c r="J244" s="10">
        <v>26393</v>
      </c>
      <c r="K244" s="10">
        <v>236</v>
      </c>
      <c r="L244" s="10" t="s">
        <v>12</v>
      </c>
      <c r="M244" s="10" t="s">
        <v>34</v>
      </c>
      <c r="N244" s="10">
        <f>(Posts5[[#This Row],[Likes]]+Posts5[[#This Row],[Shares]]+Posts5[[#This Row],[Comments]])/Posts5[[#This Row],[Impressions]]</f>
        <v>0.10400389436534015</v>
      </c>
      <c r="O244" s="11">
        <f>_xlfn.XLOOKUP(Posts5[[#This Row],[Campaign_Name]],'[1]Campaign Metadata'!A:A,'[1]Campaign Metadata'!B:B)</f>
        <v>45667</v>
      </c>
      <c r="P244" s="10">
        <f>_xlfn.XLOOKUP(Posts5[[#This Row],[Campaign_Name]],'[1]Campaign Metadata'!A:A,'[1]Campaign Metadata'!C:C)</f>
        <v>45698</v>
      </c>
      <c r="Q244" s="10" t="str">
        <f>IF(AND(Posts5[[#This Row],[Date]] &gt;=Posts5[[#This Row],[Campaign Start Date]], Posts5[[#This Row],[Date]]&lt;= Posts5[[#This Row],[Campaign end date]]), "During","Before")</f>
        <v>Before</v>
      </c>
    </row>
    <row r="245" spans="1:17" x14ac:dyDescent="0.3">
      <c r="A245" s="10" t="s">
        <v>204</v>
      </c>
      <c r="B245" s="10" t="s">
        <v>7</v>
      </c>
      <c r="C245" s="11">
        <v>45407</v>
      </c>
      <c r="D245" s="10" t="s">
        <v>15</v>
      </c>
      <c r="E245" s="10" t="s">
        <v>44</v>
      </c>
      <c r="F245" s="10">
        <v>3563</v>
      </c>
      <c r="G245" s="10">
        <v>483</v>
      </c>
      <c r="H245" s="10">
        <v>227</v>
      </c>
      <c r="I245" s="10">
        <v>41085</v>
      </c>
      <c r="J245" s="10">
        <v>26393</v>
      </c>
      <c r="K245" s="10">
        <v>236</v>
      </c>
      <c r="L245" s="10" t="s">
        <v>5</v>
      </c>
      <c r="M245" s="10" t="s">
        <v>34</v>
      </c>
      <c r="N245" s="10">
        <f>(Posts5[[#This Row],[Likes]]+Posts5[[#This Row],[Shares]]+Posts5[[#This Row],[Comments]])/Posts5[[#This Row],[Impressions]]</f>
        <v>0.10400389436534015</v>
      </c>
      <c r="O245" s="11">
        <f>_xlfn.XLOOKUP(Posts5[[#This Row],[Campaign_Name]],'[1]Campaign Metadata'!A:A,'[1]Campaign Metadata'!B:B)</f>
        <v>45667</v>
      </c>
      <c r="P245" s="10">
        <f>_xlfn.XLOOKUP(Posts5[[#This Row],[Campaign_Name]],'[1]Campaign Metadata'!A:A,'[1]Campaign Metadata'!C:C)</f>
        <v>45698</v>
      </c>
      <c r="Q245" s="10" t="str">
        <f>IF(AND(Posts5[[#This Row],[Date]] &gt;=Posts5[[#This Row],[Campaign Start Date]], Posts5[[#This Row],[Date]]&lt;= Posts5[[#This Row],[Campaign end date]]), "During","Before")</f>
        <v>Before</v>
      </c>
    </row>
    <row r="246" spans="1:17" x14ac:dyDescent="0.3">
      <c r="A246" s="10" t="s">
        <v>205</v>
      </c>
      <c r="B246" s="10" t="s">
        <v>9</v>
      </c>
      <c r="C246" s="11">
        <v>45538</v>
      </c>
      <c r="D246" s="10" t="s">
        <v>11</v>
      </c>
      <c r="E246" s="10" t="s">
        <v>47</v>
      </c>
      <c r="F246" s="10">
        <v>1437</v>
      </c>
      <c r="G246" s="10">
        <v>494</v>
      </c>
      <c r="H246" s="10">
        <v>129</v>
      </c>
      <c r="I246" s="10">
        <v>53048</v>
      </c>
      <c r="J246" s="10">
        <v>44090</v>
      </c>
      <c r="K246" s="10">
        <v>230</v>
      </c>
      <c r="L246" s="10" t="s">
        <v>10</v>
      </c>
      <c r="M246" s="10" t="s">
        <v>68</v>
      </c>
      <c r="N246" s="10">
        <f>(Posts5[[#This Row],[Likes]]+Posts5[[#This Row],[Shares]]+Posts5[[#This Row],[Comments]])/Posts5[[#This Row],[Impressions]]</f>
        <v>3.8832755240536872E-2</v>
      </c>
      <c r="O246" s="11">
        <f>_xlfn.XLOOKUP(Posts5[[#This Row],[Campaign_Name]],'[1]Campaign Metadata'!A:A,'[1]Campaign Metadata'!B:B)</f>
        <v>45458</v>
      </c>
      <c r="P246" s="10">
        <f>_xlfn.XLOOKUP(Posts5[[#This Row],[Campaign_Name]],'[1]Campaign Metadata'!A:A,'[1]Campaign Metadata'!C:C)</f>
        <v>45488</v>
      </c>
      <c r="Q246" s="10" t="str">
        <f>IF(AND(Posts5[[#This Row],[Date]] &gt;=Posts5[[#This Row],[Campaign Start Date]], Posts5[[#This Row],[Date]]&lt;= Posts5[[#This Row],[Campaign end date]]), "During","Before")</f>
        <v>Before</v>
      </c>
    </row>
    <row r="247" spans="1:17" x14ac:dyDescent="0.3">
      <c r="A247" s="10" t="s">
        <v>205</v>
      </c>
      <c r="B247" s="10" t="s">
        <v>9</v>
      </c>
      <c r="C247" s="11">
        <v>45538</v>
      </c>
      <c r="D247" s="10" t="s">
        <v>11</v>
      </c>
      <c r="E247" s="10" t="s">
        <v>47</v>
      </c>
      <c r="F247" s="10">
        <v>1437</v>
      </c>
      <c r="G247" s="10">
        <v>494</v>
      </c>
      <c r="H247" s="10">
        <v>129</v>
      </c>
      <c r="I247" s="10">
        <v>53048</v>
      </c>
      <c r="J247" s="10">
        <v>44090</v>
      </c>
      <c r="K247" s="10">
        <v>230</v>
      </c>
      <c r="L247" s="10" t="s">
        <v>12</v>
      </c>
      <c r="M247" s="10" t="s">
        <v>68</v>
      </c>
      <c r="N247" s="10">
        <f>(Posts5[[#This Row],[Likes]]+Posts5[[#This Row],[Shares]]+Posts5[[#This Row],[Comments]])/Posts5[[#This Row],[Impressions]]</f>
        <v>3.8832755240536872E-2</v>
      </c>
      <c r="O247" s="11">
        <f>_xlfn.XLOOKUP(Posts5[[#This Row],[Campaign_Name]],'[1]Campaign Metadata'!A:A,'[1]Campaign Metadata'!B:B)</f>
        <v>45458</v>
      </c>
      <c r="P247" s="10">
        <f>_xlfn.XLOOKUP(Posts5[[#This Row],[Campaign_Name]],'[1]Campaign Metadata'!A:A,'[1]Campaign Metadata'!C:C)</f>
        <v>45488</v>
      </c>
      <c r="Q247" s="10" t="str">
        <f>IF(AND(Posts5[[#This Row],[Date]] &gt;=Posts5[[#This Row],[Campaign Start Date]], Posts5[[#This Row],[Date]]&lt;= Posts5[[#This Row],[Campaign end date]]), "During","Before")</f>
        <v>Before</v>
      </c>
    </row>
    <row r="248" spans="1:17" x14ac:dyDescent="0.3">
      <c r="A248" s="10" t="s">
        <v>206</v>
      </c>
      <c r="B248" s="10" t="s">
        <v>9</v>
      </c>
      <c r="C248" s="11">
        <v>45718</v>
      </c>
      <c r="D248" s="10" t="s">
        <v>15</v>
      </c>
      <c r="E248" s="10" t="s">
        <v>59</v>
      </c>
      <c r="F248" s="10">
        <v>4425</v>
      </c>
      <c r="G248" s="10">
        <v>185</v>
      </c>
      <c r="H248" s="10">
        <v>162</v>
      </c>
      <c r="I248" s="10">
        <v>24610</v>
      </c>
      <c r="J248" s="10">
        <v>21342</v>
      </c>
      <c r="K248" s="10">
        <v>158</v>
      </c>
      <c r="L248" s="10" t="s">
        <v>10</v>
      </c>
      <c r="M248" s="10" t="s">
        <v>37</v>
      </c>
      <c r="N248" s="10">
        <f>(Posts5[[#This Row],[Likes]]+Posts5[[#This Row],[Shares]]+Posts5[[#This Row],[Comments]])/Posts5[[#This Row],[Impressions]]</f>
        <v>0.19390491670052823</v>
      </c>
      <c r="O248" s="11">
        <f>_xlfn.XLOOKUP(Posts5[[#This Row],[Campaign_Name]],'[1]Campaign Metadata'!A:A,'[1]Campaign Metadata'!B:B)</f>
        <v>45717</v>
      </c>
      <c r="P248" s="10">
        <f>_xlfn.XLOOKUP(Posts5[[#This Row],[Campaign_Name]],'[1]Campaign Metadata'!A:A,'[1]Campaign Metadata'!C:C)</f>
        <v>45747</v>
      </c>
      <c r="Q248" s="10" t="str">
        <f>IF(AND(Posts5[[#This Row],[Date]] &gt;=Posts5[[#This Row],[Campaign Start Date]], Posts5[[#This Row],[Date]]&lt;= Posts5[[#This Row],[Campaign end date]]), "During","Before")</f>
        <v>During</v>
      </c>
    </row>
    <row r="249" spans="1:17" x14ac:dyDescent="0.3">
      <c r="A249" s="10" t="s">
        <v>206</v>
      </c>
      <c r="B249" s="10" t="s">
        <v>9</v>
      </c>
      <c r="C249" s="11">
        <v>45718</v>
      </c>
      <c r="D249" s="10" t="s">
        <v>15</v>
      </c>
      <c r="E249" s="10" t="s">
        <v>59</v>
      </c>
      <c r="F249" s="10">
        <v>4425</v>
      </c>
      <c r="G249" s="10">
        <v>185</v>
      </c>
      <c r="H249" s="10">
        <v>162</v>
      </c>
      <c r="I249" s="10">
        <v>24610</v>
      </c>
      <c r="J249" s="10">
        <v>21342</v>
      </c>
      <c r="K249" s="10">
        <v>158</v>
      </c>
      <c r="L249" s="10" t="s">
        <v>16</v>
      </c>
      <c r="M249" s="10" t="s">
        <v>37</v>
      </c>
      <c r="N249" s="10">
        <f>(Posts5[[#This Row],[Likes]]+Posts5[[#This Row],[Shares]]+Posts5[[#This Row],[Comments]])/Posts5[[#This Row],[Impressions]]</f>
        <v>0.19390491670052823</v>
      </c>
      <c r="O249" s="11">
        <f>_xlfn.XLOOKUP(Posts5[[#This Row],[Campaign_Name]],'[1]Campaign Metadata'!A:A,'[1]Campaign Metadata'!B:B)</f>
        <v>45717</v>
      </c>
      <c r="P249" s="10">
        <f>_xlfn.XLOOKUP(Posts5[[#This Row],[Campaign_Name]],'[1]Campaign Metadata'!A:A,'[1]Campaign Metadata'!C:C)</f>
        <v>45747</v>
      </c>
      <c r="Q249" s="10" t="str">
        <f>IF(AND(Posts5[[#This Row],[Date]] &gt;=Posts5[[#This Row],[Campaign Start Date]], Posts5[[#This Row],[Date]]&lt;= Posts5[[#This Row],[Campaign end date]]), "During","Before")</f>
        <v>During</v>
      </c>
    </row>
    <row r="250" spans="1:17" x14ac:dyDescent="0.3">
      <c r="A250" s="10" t="s">
        <v>207</v>
      </c>
      <c r="B250" s="10" t="s">
        <v>8</v>
      </c>
      <c r="C250" s="11">
        <v>45737</v>
      </c>
      <c r="D250" s="10" t="s">
        <v>13</v>
      </c>
      <c r="E250" s="10" t="s">
        <v>39</v>
      </c>
      <c r="F250" s="10">
        <v>4609</v>
      </c>
      <c r="G250" s="10">
        <v>427</v>
      </c>
      <c r="H250" s="10">
        <v>395</v>
      </c>
      <c r="I250" s="10">
        <v>33698</v>
      </c>
      <c r="J250" s="10">
        <v>29259</v>
      </c>
      <c r="K250" s="10">
        <v>216</v>
      </c>
      <c r="L250" s="10" t="s">
        <v>10</v>
      </c>
      <c r="M250" s="10" t="s">
        <v>34</v>
      </c>
      <c r="N250" s="10">
        <f>(Posts5[[#This Row],[Likes]]+Posts5[[#This Row],[Shares]]+Posts5[[#This Row],[Comments]])/Posts5[[#This Row],[Impressions]]</f>
        <v>0.16116683482699271</v>
      </c>
      <c r="O250" s="11">
        <f>_xlfn.XLOOKUP(Posts5[[#This Row],[Campaign_Name]],'[1]Campaign Metadata'!A:A,'[1]Campaign Metadata'!B:B)</f>
        <v>45667</v>
      </c>
      <c r="P250" s="10">
        <f>_xlfn.XLOOKUP(Posts5[[#This Row],[Campaign_Name]],'[1]Campaign Metadata'!A:A,'[1]Campaign Metadata'!C:C)</f>
        <v>45698</v>
      </c>
      <c r="Q250" s="10" t="str">
        <f>IF(AND(Posts5[[#This Row],[Date]] &gt;=Posts5[[#This Row],[Campaign Start Date]], Posts5[[#This Row],[Date]]&lt;= Posts5[[#This Row],[Campaign end date]]), "During","Before")</f>
        <v>Before</v>
      </c>
    </row>
    <row r="251" spans="1:17" x14ac:dyDescent="0.3">
      <c r="A251" s="10" t="s">
        <v>207</v>
      </c>
      <c r="B251" s="10" t="s">
        <v>8</v>
      </c>
      <c r="C251" s="11">
        <v>45737</v>
      </c>
      <c r="D251" s="10" t="s">
        <v>13</v>
      </c>
      <c r="E251" s="10" t="s">
        <v>39</v>
      </c>
      <c r="F251" s="10">
        <v>4609</v>
      </c>
      <c r="G251" s="10">
        <v>427</v>
      </c>
      <c r="H251" s="10">
        <v>395</v>
      </c>
      <c r="I251" s="10">
        <v>33698</v>
      </c>
      <c r="J251" s="10">
        <v>29259</v>
      </c>
      <c r="K251" s="10">
        <v>216</v>
      </c>
      <c r="L251" s="10" t="s">
        <v>14</v>
      </c>
      <c r="M251" s="10" t="s">
        <v>34</v>
      </c>
      <c r="N251" s="10">
        <f>(Posts5[[#This Row],[Likes]]+Posts5[[#This Row],[Shares]]+Posts5[[#This Row],[Comments]])/Posts5[[#This Row],[Impressions]]</f>
        <v>0.16116683482699271</v>
      </c>
      <c r="O251" s="11">
        <f>_xlfn.XLOOKUP(Posts5[[#This Row],[Campaign_Name]],'[1]Campaign Metadata'!A:A,'[1]Campaign Metadata'!B:B)</f>
        <v>45667</v>
      </c>
      <c r="P251" s="10">
        <f>_xlfn.XLOOKUP(Posts5[[#This Row],[Campaign_Name]],'[1]Campaign Metadata'!A:A,'[1]Campaign Metadata'!C:C)</f>
        <v>45698</v>
      </c>
      <c r="Q251" s="10" t="str">
        <f>IF(AND(Posts5[[#This Row],[Date]] &gt;=Posts5[[#This Row],[Campaign Start Date]], Posts5[[#This Row],[Date]]&lt;= Posts5[[#This Row],[Campaign end date]]), "During","Before")</f>
        <v>Before</v>
      </c>
    </row>
    <row r="252" spans="1:17" x14ac:dyDescent="0.3">
      <c r="A252" s="10" t="s">
        <v>208</v>
      </c>
      <c r="B252" s="10" t="s">
        <v>7</v>
      </c>
      <c r="C252" s="11">
        <v>45394</v>
      </c>
      <c r="D252" s="10" t="s">
        <v>13</v>
      </c>
      <c r="E252" s="10" t="s">
        <v>49</v>
      </c>
      <c r="F252" s="10">
        <v>1558</v>
      </c>
      <c r="G252" s="10">
        <v>352</v>
      </c>
      <c r="H252" s="10">
        <v>202</v>
      </c>
      <c r="I252" s="10">
        <v>25405</v>
      </c>
      <c r="J252" s="10">
        <v>69941</v>
      </c>
      <c r="K252" s="10">
        <v>219</v>
      </c>
      <c r="L252" s="10" t="s">
        <v>5</v>
      </c>
      <c r="M252" s="10" t="s">
        <v>65</v>
      </c>
      <c r="N252" s="10">
        <f>(Posts5[[#This Row],[Likes]]+Posts5[[#This Row],[Shares]]+Posts5[[#This Row],[Comments]])/Posts5[[#This Row],[Impressions]]</f>
        <v>8.3133241487896081E-2</v>
      </c>
      <c r="O252" s="11">
        <f>_xlfn.XLOOKUP(Posts5[[#This Row],[Campaign_Name]],'[1]Campaign Metadata'!A:A,'[1]Campaign Metadata'!B:B)</f>
        <v>45627</v>
      </c>
      <c r="P252" s="10">
        <f>_xlfn.XLOOKUP(Posts5[[#This Row],[Campaign_Name]],'[1]Campaign Metadata'!A:A,'[1]Campaign Metadata'!C:C)</f>
        <v>45657</v>
      </c>
      <c r="Q252" s="10" t="str">
        <f>IF(AND(Posts5[[#This Row],[Date]] &gt;=Posts5[[#This Row],[Campaign Start Date]], Posts5[[#This Row],[Date]]&lt;= Posts5[[#This Row],[Campaign end date]]), "During","Before")</f>
        <v>Before</v>
      </c>
    </row>
    <row r="253" spans="1:17" x14ac:dyDescent="0.3">
      <c r="A253" s="10" t="s">
        <v>209</v>
      </c>
      <c r="B253" s="10" t="s">
        <v>9</v>
      </c>
      <c r="C253" s="11">
        <v>45330</v>
      </c>
      <c r="D253" s="10" t="s">
        <v>11</v>
      </c>
      <c r="E253" s="10" t="s">
        <v>53</v>
      </c>
      <c r="F253" s="10">
        <v>1889</v>
      </c>
      <c r="G253" s="10">
        <v>298</v>
      </c>
      <c r="H253" s="10">
        <v>122</v>
      </c>
      <c r="I253" s="10">
        <v>46225</v>
      </c>
      <c r="J253" s="10">
        <v>74305</v>
      </c>
      <c r="K253" s="10">
        <v>293</v>
      </c>
      <c r="L253" s="10" t="s">
        <v>10</v>
      </c>
      <c r="M253" s="10" t="s">
        <v>68</v>
      </c>
      <c r="N253" s="10">
        <f>(Posts5[[#This Row],[Likes]]+Posts5[[#This Row],[Shares]]+Posts5[[#This Row],[Comments]])/Posts5[[#This Row],[Impressions]]</f>
        <v>4.9951325040562468E-2</v>
      </c>
      <c r="O253" s="11">
        <f>_xlfn.XLOOKUP(Posts5[[#This Row],[Campaign_Name]],'[1]Campaign Metadata'!A:A,'[1]Campaign Metadata'!B:B)</f>
        <v>45458</v>
      </c>
      <c r="P253" s="10">
        <f>_xlfn.XLOOKUP(Posts5[[#This Row],[Campaign_Name]],'[1]Campaign Metadata'!A:A,'[1]Campaign Metadata'!C:C)</f>
        <v>45488</v>
      </c>
      <c r="Q253" s="10" t="str">
        <f>IF(AND(Posts5[[#This Row],[Date]] &gt;=Posts5[[#This Row],[Campaign Start Date]], Posts5[[#This Row],[Date]]&lt;= Posts5[[#This Row],[Campaign end date]]), "During","Before")</f>
        <v>Before</v>
      </c>
    </row>
    <row r="254" spans="1:17" x14ac:dyDescent="0.3">
      <c r="A254" s="10" t="s">
        <v>209</v>
      </c>
      <c r="B254" s="10" t="s">
        <v>9</v>
      </c>
      <c r="C254" s="11">
        <v>45330</v>
      </c>
      <c r="D254" s="10" t="s">
        <v>11</v>
      </c>
      <c r="E254" s="10" t="s">
        <v>53</v>
      </c>
      <c r="F254" s="10">
        <v>1889</v>
      </c>
      <c r="G254" s="10">
        <v>298</v>
      </c>
      <c r="H254" s="10">
        <v>122</v>
      </c>
      <c r="I254" s="10">
        <v>46225</v>
      </c>
      <c r="J254" s="10">
        <v>74305</v>
      </c>
      <c r="K254" s="10">
        <v>293</v>
      </c>
      <c r="L254" s="10" t="s">
        <v>12</v>
      </c>
      <c r="M254" s="10" t="s">
        <v>68</v>
      </c>
      <c r="N254" s="10">
        <f>(Posts5[[#This Row],[Likes]]+Posts5[[#This Row],[Shares]]+Posts5[[#This Row],[Comments]])/Posts5[[#This Row],[Impressions]]</f>
        <v>4.9951325040562468E-2</v>
      </c>
      <c r="O254" s="11">
        <f>_xlfn.XLOOKUP(Posts5[[#This Row],[Campaign_Name]],'[1]Campaign Metadata'!A:A,'[1]Campaign Metadata'!B:B)</f>
        <v>45458</v>
      </c>
      <c r="P254" s="10">
        <f>_xlfn.XLOOKUP(Posts5[[#This Row],[Campaign_Name]],'[1]Campaign Metadata'!A:A,'[1]Campaign Metadata'!C:C)</f>
        <v>45488</v>
      </c>
      <c r="Q254" s="10" t="str">
        <f>IF(AND(Posts5[[#This Row],[Date]] &gt;=Posts5[[#This Row],[Campaign Start Date]], Posts5[[#This Row],[Date]]&lt;= Posts5[[#This Row],[Campaign end date]]), "During","Before")</f>
        <v>Before</v>
      </c>
    </row>
    <row r="255" spans="1:17" x14ac:dyDescent="0.3">
      <c r="A255" s="10" t="s">
        <v>210</v>
      </c>
      <c r="B255" s="10" t="s">
        <v>7</v>
      </c>
      <c r="C255" s="11">
        <v>45803</v>
      </c>
      <c r="D255" s="10" t="s">
        <v>15</v>
      </c>
      <c r="E255" s="10" t="s">
        <v>32</v>
      </c>
      <c r="F255" s="10">
        <v>3086</v>
      </c>
      <c r="G255" s="10">
        <v>148</v>
      </c>
      <c r="H255" s="10">
        <v>310</v>
      </c>
      <c r="I255" s="10">
        <v>22824</v>
      </c>
      <c r="J255" s="10">
        <v>58103</v>
      </c>
      <c r="K255" s="10">
        <v>275</v>
      </c>
      <c r="L255" s="10" t="s">
        <v>10</v>
      </c>
      <c r="M255" s="10" t="s">
        <v>37</v>
      </c>
      <c r="N255" s="10">
        <f>(Posts5[[#This Row],[Likes]]+Posts5[[#This Row],[Shares]]+Posts5[[#This Row],[Comments]])/Posts5[[#This Row],[Impressions]]</f>
        <v>0.1552751489660007</v>
      </c>
      <c r="O255" s="11">
        <f>_xlfn.XLOOKUP(Posts5[[#This Row],[Campaign_Name]],'[1]Campaign Metadata'!A:A,'[1]Campaign Metadata'!B:B)</f>
        <v>45717</v>
      </c>
      <c r="P255" s="10">
        <f>_xlfn.XLOOKUP(Posts5[[#This Row],[Campaign_Name]],'[1]Campaign Metadata'!A:A,'[1]Campaign Metadata'!C:C)</f>
        <v>45747</v>
      </c>
      <c r="Q255" s="10" t="str">
        <f>IF(AND(Posts5[[#This Row],[Date]] &gt;=Posts5[[#This Row],[Campaign Start Date]], Posts5[[#This Row],[Date]]&lt;= Posts5[[#This Row],[Campaign end date]]), "During","Before")</f>
        <v>Before</v>
      </c>
    </row>
    <row r="256" spans="1:17" x14ac:dyDescent="0.3">
      <c r="A256" s="10" t="s">
        <v>211</v>
      </c>
      <c r="B256" s="10" t="s">
        <v>7</v>
      </c>
      <c r="C256" s="11">
        <v>45610</v>
      </c>
      <c r="D256" s="10" t="s">
        <v>15</v>
      </c>
      <c r="E256" s="10" t="s">
        <v>44</v>
      </c>
      <c r="F256" s="10">
        <v>2422</v>
      </c>
      <c r="G256" s="10">
        <v>318</v>
      </c>
      <c r="H256" s="10">
        <v>118</v>
      </c>
      <c r="I256" s="10">
        <v>25386</v>
      </c>
      <c r="J256" s="10">
        <v>20873</v>
      </c>
      <c r="K256" s="10">
        <v>100</v>
      </c>
      <c r="L256" s="10" t="s">
        <v>12</v>
      </c>
      <c r="M256" s="10" t="s">
        <v>34</v>
      </c>
      <c r="N256" s="10">
        <f>(Posts5[[#This Row],[Likes]]+Posts5[[#This Row],[Shares]]+Posts5[[#This Row],[Comments]])/Posts5[[#This Row],[Impressions]]</f>
        <v>0.11258173796580792</v>
      </c>
      <c r="O256" s="11">
        <f>_xlfn.XLOOKUP(Posts5[[#This Row],[Campaign_Name]],'[1]Campaign Metadata'!A:A,'[1]Campaign Metadata'!B:B)</f>
        <v>45667</v>
      </c>
      <c r="P256" s="10">
        <f>_xlfn.XLOOKUP(Posts5[[#This Row],[Campaign_Name]],'[1]Campaign Metadata'!A:A,'[1]Campaign Metadata'!C:C)</f>
        <v>45698</v>
      </c>
      <c r="Q256" s="10" t="str">
        <f>IF(AND(Posts5[[#This Row],[Date]] &gt;=Posts5[[#This Row],[Campaign Start Date]], Posts5[[#This Row],[Date]]&lt;= Posts5[[#This Row],[Campaign end date]]), "During","Before")</f>
        <v>Before</v>
      </c>
    </row>
    <row r="257" spans="1:17" x14ac:dyDescent="0.3">
      <c r="A257" s="10" t="s">
        <v>211</v>
      </c>
      <c r="B257" s="10" t="s">
        <v>7</v>
      </c>
      <c r="C257" s="11">
        <v>45610</v>
      </c>
      <c r="D257" s="10" t="s">
        <v>15</v>
      </c>
      <c r="E257" s="10" t="s">
        <v>44</v>
      </c>
      <c r="F257" s="10">
        <v>2422</v>
      </c>
      <c r="G257" s="10">
        <v>318</v>
      </c>
      <c r="H257" s="10">
        <v>118</v>
      </c>
      <c r="I257" s="10">
        <v>25386</v>
      </c>
      <c r="J257" s="10">
        <v>20873</v>
      </c>
      <c r="K257" s="10">
        <v>100</v>
      </c>
      <c r="L257" s="10" t="s">
        <v>5</v>
      </c>
      <c r="M257" s="10" t="s">
        <v>34</v>
      </c>
      <c r="N257" s="10">
        <f>(Posts5[[#This Row],[Likes]]+Posts5[[#This Row],[Shares]]+Posts5[[#This Row],[Comments]])/Posts5[[#This Row],[Impressions]]</f>
        <v>0.11258173796580792</v>
      </c>
      <c r="O257" s="11">
        <f>_xlfn.XLOOKUP(Posts5[[#This Row],[Campaign_Name]],'[1]Campaign Metadata'!A:A,'[1]Campaign Metadata'!B:B)</f>
        <v>45667</v>
      </c>
      <c r="P257" s="10">
        <f>_xlfn.XLOOKUP(Posts5[[#This Row],[Campaign_Name]],'[1]Campaign Metadata'!A:A,'[1]Campaign Metadata'!C:C)</f>
        <v>45698</v>
      </c>
      <c r="Q257" s="10" t="str">
        <f>IF(AND(Posts5[[#This Row],[Date]] &gt;=Posts5[[#This Row],[Campaign Start Date]], Posts5[[#This Row],[Date]]&lt;= Posts5[[#This Row],[Campaign end date]]), "During","Before")</f>
        <v>Before</v>
      </c>
    </row>
    <row r="258" spans="1:17" x14ac:dyDescent="0.3">
      <c r="A258" s="10" t="s">
        <v>212</v>
      </c>
      <c r="B258" s="10" t="s">
        <v>9</v>
      </c>
      <c r="C258" s="11">
        <v>45513</v>
      </c>
      <c r="D258" s="10" t="s">
        <v>11</v>
      </c>
      <c r="E258" s="10" t="s">
        <v>59</v>
      </c>
      <c r="F258" s="10">
        <v>3414</v>
      </c>
      <c r="G258" s="10">
        <v>154</v>
      </c>
      <c r="H258" s="10">
        <v>204</v>
      </c>
      <c r="I258" s="10">
        <v>34146</v>
      </c>
      <c r="J258" s="10">
        <v>44633</v>
      </c>
      <c r="K258" s="10">
        <v>256</v>
      </c>
      <c r="L258" s="10" t="s">
        <v>10</v>
      </c>
      <c r="M258" s="10" t="s">
        <v>68</v>
      </c>
      <c r="N258" s="10">
        <f>(Posts5[[#This Row],[Likes]]+Posts5[[#This Row],[Shares]]+Posts5[[#This Row],[Comments]])/Posts5[[#This Row],[Impressions]]</f>
        <v>0.11046681895390383</v>
      </c>
      <c r="O258" s="11">
        <f>_xlfn.XLOOKUP(Posts5[[#This Row],[Campaign_Name]],'[1]Campaign Metadata'!A:A,'[1]Campaign Metadata'!B:B)</f>
        <v>45458</v>
      </c>
      <c r="P258" s="10">
        <f>_xlfn.XLOOKUP(Posts5[[#This Row],[Campaign_Name]],'[1]Campaign Metadata'!A:A,'[1]Campaign Metadata'!C:C)</f>
        <v>45488</v>
      </c>
      <c r="Q258" s="10" t="str">
        <f>IF(AND(Posts5[[#This Row],[Date]] &gt;=Posts5[[#This Row],[Campaign Start Date]], Posts5[[#This Row],[Date]]&lt;= Posts5[[#This Row],[Campaign end date]]), "During","Before")</f>
        <v>Before</v>
      </c>
    </row>
    <row r="259" spans="1:17" x14ac:dyDescent="0.3">
      <c r="A259" s="10" t="s">
        <v>212</v>
      </c>
      <c r="B259" s="10" t="s">
        <v>9</v>
      </c>
      <c r="C259" s="11">
        <v>45513</v>
      </c>
      <c r="D259" s="10" t="s">
        <v>11</v>
      </c>
      <c r="E259" s="10" t="s">
        <v>59</v>
      </c>
      <c r="F259" s="10">
        <v>3414</v>
      </c>
      <c r="G259" s="10">
        <v>154</v>
      </c>
      <c r="H259" s="10">
        <v>204</v>
      </c>
      <c r="I259" s="10">
        <v>34146</v>
      </c>
      <c r="J259" s="10">
        <v>44633</v>
      </c>
      <c r="K259" s="10">
        <v>256</v>
      </c>
      <c r="L259" s="10" t="s">
        <v>12</v>
      </c>
      <c r="M259" s="10" t="s">
        <v>68</v>
      </c>
      <c r="N259" s="10">
        <f>(Posts5[[#This Row],[Likes]]+Posts5[[#This Row],[Shares]]+Posts5[[#This Row],[Comments]])/Posts5[[#This Row],[Impressions]]</f>
        <v>0.11046681895390383</v>
      </c>
      <c r="O259" s="11">
        <f>_xlfn.XLOOKUP(Posts5[[#This Row],[Campaign_Name]],'[1]Campaign Metadata'!A:A,'[1]Campaign Metadata'!B:B)</f>
        <v>45458</v>
      </c>
      <c r="P259" s="10">
        <f>_xlfn.XLOOKUP(Posts5[[#This Row],[Campaign_Name]],'[1]Campaign Metadata'!A:A,'[1]Campaign Metadata'!C:C)</f>
        <v>45488</v>
      </c>
      <c r="Q259" s="10" t="str">
        <f>IF(AND(Posts5[[#This Row],[Date]] &gt;=Posts5[[#This Row],[Campaign Start Date]], Posts5[[#This Row],[Date]]&lt;= Posts5[[#This Row],[Campaign end date]]), "During","Before")</f>
        <v>Before</v>
      </c>
    </row>
    <row r="260" spans="1:17" x14ac:dyDescent="0.3">
      <c r="A260" s="10" t="s">
        <v>213</v>
      </c>
      <c r="B260" s="10" t="s">
        <v>7</v>
      </c>
      <c r="C260" s="11">
        <v>45835</v>
      </c>
      <c r="D260" s="10" t="s">
        <v>13</v>
      </c>
      <c r="E260" s="10" t="s">
        <v>47</v>
      </c>
      <c r="F260" s="10">
        <v>1342</v>
      </c>
      <c r="G260" s="10">
        <v>332</v>
      </c>
      <c r="H260" s="10">
        <v>163</v>
      </c>
      <c r="I260" s="10">
        <v>51712</v>
      </c>
      <c r="J260" s="10">
        <v>57922</v>
      </c>
      <c r="K260" s="10">
        <v>168</v>
      </c>
      <c r="L260" s="10" t="s">
        <v>5</v>
      </c>
      <c r="M260" s="10" t="s">
        <v>65</v>
      </c>
      <c r="N260" s="10">
        <f>(Posts5[[#This Row],[Likes]]+Posts5[[#This Row],[Shares]]+Posts5[[#This Row],[Comments]])/Posts5[[#This Row],[Impressions]]</f>
        <v>3.5523669554455448E-2</v>
      </c>
      <c r="O260" s="11">
        <f>_xlfn.XLOOKUP(Posts5[[#This Row],[Campaign_Name]],'[1]Campaign Metadata'!A:A,'[1]Campaign Metadata'!B:B)</f>
        <v>45627</v>
      </c>
      <c r="P260" s="10">
        <f>_xlfn.XLOOKUP(Posts5[[#This Row],[Campaign_Name]],'[1]Campaign Metadata'!A:A,'[1]Campaign Metadata'!C:C)</f>
        <v>45657</v>
      </c>
      <c r="Q260" s="10" t="str">
        <f>IF(AND(Posts5[[#This Row],[Date]] &gt;=Posts5[[#This Row],[Campaign Start Date]], Posts5[[#This Row],[Date]]&lt;= Posts5[[#This Row],[Campaign end date]]), "During","Before")</f>
        <v>Before</v>
      </c>
    </row>
    <row r="261" spans="1:17" x14ac:dyDescent="0.3">
      <c r="A261" s="10" t="s">
        <v>214</v>
      </c>
      <c r="B261" s="10" t="s">
        <v>7</v>
      </c>
      <c r="C261" s="11">
        <v>45420</v>
      </c>
      <c r="D261" s="10" t="s">
        <v>13</v>
      </c>
      <c r="E261" s="10" t="s">
        <v>44</v>
      </c>
      <c r="F261" s="10">
        <v>2414</v>
      </c>
      <c r="G261" s="10">
        <v>220</v>
      </c>
      <c r="H261" s="10">
        <v>280</v>
      </c>
      <c r="I261" s="10">
        <v>27355</v>
      </c>
      <c r="J261" s="10">
        <v>50562</v>
      </c>
      <c r="K261" s="10">
        <v>258</v>
      </c>
      <c r="L261" s="10" t="s">
        <v>5</v>
      </c>
      <c r="M261" s="10" t="s">
        <v>65</v>
      </c>
      <c r="N261" s="10">
        <f>(Posts5[[#This Row],[Likes]]+Posts5[[#This Row],[Shares]]+Posts5[[#This Row],[Comments]])/Posts5[[#This Row],[Impressions]]</f>
        <v>0.10652531529884847</v>
      </c>
      <c r="O261" s="11">
        <f>_xlfn.XLOOKUP(Posts5[[#This Row],[Campaign_Name]],'[1]Campaign Metadata'!A:A,'[1]Campaign Metadata'!B:B)</f>
        <v>45627</v>
      </c>
      <c r="P261" s="10">
        <f>_xlfn.XLOOKUP(Posts5[[#This Row],[Campaign_Name]],'[1]Campaign Metadata'!A:A,'[1]Campaign Metadata'!C:C)</f>
        <v>45657</v>
      </c>
      <c r="Q261" s="10" t="str">
        <f>IF(AND(Posts5[[#This Row],[Date]] &gt;=Posts5[[#This Row],[Campaign Start Date]], Posts5[[#This Row],[Date]]&lt;= Posts5[[#This Row],[Campaign end date]]), "During","Before")</f>
        <v>Before</v>
      </c>
    </row>
    <row r="262" spans="1:17" x14ac:dyDescent="0.3">
      <c r="A262" s="10" t="s">
        <v>215</v>
      </c>
      <c r="B262" s="10" t="s">
        <v>7</v>
      </c>
      <c r="C262" s="11">
        <v>45387</v>
      </c>
      <c r="D262" s="10" t="s">
        <v>15</v>
      </c>
      <c r="E262" s="10" t="s">
        <v>39</v>
      </c>
      <c r="F262" s="10">
        <v>4383</v>
      </c>
      <c r="G262" s="10">
        <v>352</v>
      </c>
      <c r="H262" s="10">
        <v>176</v>
      </c>
      <c r="I262" s="10">
        <v>53239</v>
      </c>
      <c r="J262" s="10">
        <v>34168</v>
      </c>
      <c r="K262" s="10">
        <v>288</v>
      </c>
      <c r="L262" s="10" t="s">
        <v>10</v>
      </c>
      <c r="M262" s="10" t="s">
        <v>37</v>
      </c>
      <c r="N262" s="10">
        <f>(Posts5[[#This Row],[Likes]]+Posts5[[#This Row],[Shares]]+Posts5[[#This Row],[Comments]])/Posts5[[#This Row],[Impressions]]</f>
        <v>9.2244407295403744E-2</v>
      </c>
      <c r="O262" s="11">
        <f>_xlfn.XLOOKUP(Posts5[[#This Row],[Campaign_Name]],'[1]Campaign Metadata'!A:A,'[1]Campaign Metadata'!B:B)</f>
        <v>45717</v>
      </c>
      <c r="P262" s="10">
        <f>_xlfn.XLOOKUP(Posts5[[#This Row],[Campaign_Name]],'[1]Campaign Metadata'!A:A,'[1]Campaign Metadata'!C:C)</f>
        <v>45747</v>
      </c>
      <c r="Q262" s="10" t="str">
        <f>IF(AND(Posts5[[#This Row],[Date]] &gt;=Posts5[[#This Row],[Campaign Start Date]], Posts5[[#This Row],[Date]]&lt;= Posts5[[#This Row],[Campaign end date]]), "During","Before")</f>
        <v>Before</v>
      </c>
    </row>
    <row r="263" spans="1:17" x14ac:dyDescent="0.3">
      <c r="A263" s="10" t="s">
        <v>216</v>
      </c>
      <c r="B263" s="10" t="s">
        <v>9</v>
      </c>
      <c r="C263" s="11">
        <v>45684</v>
      </c>
      <c r="D263" s="10" t="s">
        <v>15</v>
      </c>
      <c r="E263" s="10" t="s">
        <v>42</v>
      </c>
      <c r="F263" s="10">
        <v>4294</v>
      </c>
      <c r="G263" s="10">
        <v>423</v>
      </c>
      <c r="H263" s="10">
        <v>93</v>
      </c>
      <c r="I263" s="10">
        <v>29828</v>
      </c>
      <c r="J263" s="10">
        <v>73144</v>
      </c>
      <c r="K263" s="10">
        <v>298</v>
      </c>
      <c r="L263" s="10" t="s">
        <v>10</v>
      </c>
      <c r="M263" s="10" t="s">
        <v>37</v>
      </c>
      <c r="N263" s="10">
        <f>(Posts5[[#This Row],[Likes]]+Posts5[[#This Row],[Shares]]+Posts5[[#This Row],[Comments]])/Posts5[[#This Row],[Impressions]]</f>
        <v>0.1612578785034196</v>
      </c>
      <c r="O263" s="11">
        <f>_xlfn.XLOOKUP(Posts5[[#This Row],[Campaign_Name]],'[1]Campaign Metadata'!A:A,'[1]Campaign Metadata'!B:B)</f>
        <v>45717</v>
      </c>
      <c r="P263" s="10">
        <f>_xlfn.XLOOKUP(Posts5[[#This Row],[Campaign_Name]],'[1]Campaign Metadata'!A:A,'[1]Campaign Metadata'!C:C)</f>
        <v>45747</v>
      </c>
      <c r="Q263" s="10" t="str">
        <f>IF(AND(Posts5[[#This Row],[Date]] &gt;=Posts5[[#This Row],[Campaign Start Date]], Posts5[[#This Row],[Date]]&lt;= Posts5[[#This Row],[Campaign end date]]), "During","Before")</f>
        <v>Before</v>
      </c>
    </row>
    <row r="264" spans="1:17" x14ac:dyDescent="0.3">
      <c r="A264" s="10" t="s">
        <v>216</v>
      </c>
      <c r="B264" s="10" t="s">
        <v>9</v>
      </c>
      <c r="C264" s="11">
        <v>45684</v>
      </c>
      <c r="D264" s="10" t="s">
        <v>15</v>
      </c>
      <c r="E264" s="10" t="s">
        <v>42</v>
      </c>
      <c r="F264" s="10">
        <v>4294</v>
      </c>
      <c r="G264" s="10">
        <v>423</v>
      </c>
      <c r="H264" s="10">
        <v>93</v>
      </c>
      <c r="I264" s="10">
        <v>29828</v>
      </c>
      <c r="J264" s="10">
        <v>73144</v>
      </c>
      <c r="K264" s="10">
        <v>298</v>
      </c>
      <c r="L264" s="10" t="s">
        <v>16</v>
      </c>
      <c r="M264" s="10" t="s">
        <v>37</v>
      </c>
      <c r="N264" s="10">
        <f>(Posts5[[#This Row],[Likes]]+Posts5[[#This Row],[Shares]]+Posts5[[#This Row],[Comments]])/Posts5[[#This Row],[Impressions]]</f>
        <v>0.1612578785034196</v>
      </c>
      <c r="O264" s="11">
        <f>_xlfn.XLOOKUP(Posts5[[#This Row],[Campaign_Name]],'[1]Campaign Metadata'!A:A,'[1]Campaign Metadata'!B:B)</f>
        <v>45717</v>
      </c>
      <c r="P264" s="10">
        <f>_xlfn.XLOOKUP(Posts5[[#This Row],[Campaign_Name]],'[1]Campaign Metadata'!A:A,'[1]Campaign Metadata'!C:C)</f>
        <v>45747</v>
      </c>
      <c r="Q264" s="10" t="str">
        <f>IF(AND(Posts5[[#This Row],[Date]] &gt;=Posts5[[#This Row],[Campaign Start Date]], Posts5[[#This Row],[Date]]&lt;= Posts5[[#This Row],[Campaign end date]]), "During","Before")</f>
        <v>Before</v>
      </c>
    </row>
    <row r="265" spans="1:17" x14ac:dyDescent="0.3">
      <c r="A265" s="10" t="s">
        <v>217</v>
      </c>
      <c r="B265" s="10" t="s">
        <v>7</v>
      </c>
      <c r="C265" s="11">
        <v>45385</v>
      </c>
      <c r="D265" s="10" t="s">
        <v>15</v>
      </c>
      <c r="E265" s="10" t="s">
        <v>53</v>
      </c>
      <c r="F265" s="10">
        <v>2762</v>
      </c>
      <c r="G265" s="10">
        <v>339</v>
      </c>
      <c r="H265" s="10">
        <v>323</v>
      </c>
      <c r="I265" s="10">
        <v>33757</v>
      </c>
      <c r="J265" s="10">
        <v>68511</v>
      </c>
      <c r="K265" s="10">
        <v>121</v>
      </c>
      <c r="L265" s="10" t="s">
        <v>12</v>
      </c>
      <c r="M265" s="10" t="s">
        <v>34</v>
      </c>
      <c r="N265" s="10">
        <f>(Posts5[[#This Row],[Likes]]+Posts5[[#This Row],[Shares]]+Posts5[[#This Row],[Comments]])/Posts5[[#This Row],[Impressions]]</f>
        <v>0.10143081434961637</v>
      </c>
      <c r="O265" s="11">
        <f>_xlfn.XLOOKUP(Posts5[[#This Row],[Campaign_Name]],'[1]Campaign Metadata'!A:A,'[1]Campaign Metadata'!B:B)</f>
        <v>45667</v>
      </c>
      <c r="P265" s="10">
        <f>_xlfn.XLOOKUP(Posts5[[#This Row],[Campaign_Name]],'[1]Campaign Metadata'!A:A,'[1]Campaign Metadata'!C:C)</f>
        <v>45698</v>
      </c>
      <c r="Q265" s="10" t="str">
        <f>IF(AND(Posts5[[#This Row],[Date]] &gt;=Posts5[[#This Row],[Campaign Start Date]], Posts5[[#This Row],[Date]]&lt;= Posts5[[#This Row],[Campaign end date]]), "During","Before")</f>
        <v>Before</v>
      </c>
    </row>
    <row r="266" spans="1:17" x14ac:dyDescent="0.3">
      <c r="A266" s="10" t="s">
        <v>217</v>
      </c>
      <c r="B266" s="10" t="s">
        <v>7</v>
      </c>
      <c r="C266" s="11">
        <v>45385</v>
      </c>
      <c r="D266" s="10" t="s">
        <v>15</v>
      </c>
      <c r="E266" s="10" t="s">
        <v>53</v>
      </c>
      <c r="F266" s="10">
        <v>2762</v>
      </c>
      <c r="G266" s="10">
        <v>339</v>
      </c>
      <c r="H266" s="10">
        <v>323</v>
      </c>
      <c r="I266" s="10">
        <v>33757</v>
      </c>
      <c r="J266" s="10">
        <v>68511</v>
      </c>
      <c r="K266" s="10">
        <v>121</v>
      </c>
      <c r="L266" s="10" t="s">
        <v>5</v>
      </c>
      <c r="M266" s="10" t="s">
        <v>34</v>
      </c>
      <c r="N266" s="10">
        <f>(Posts5[[#This Row],[Likes]]+Posts5[[#This Row],[Shares]]+Posts5[[#This Row],[Comments]])/Posts5[[#This Row],[Impressions]]</f>
        <v>0.10143081434961637</v>
      </c>
      <c r="O266" s="11">
        <f>_xlfn.XLOOKUP(Posts5[[#This Row],[Campaign_Name]],'[1]Campaign Metadata'!A:A,'[1]Campaign Metadata'!B:B)</f>
        <v>45667</v>
      </c>
      <c r="P266" s="10">
        <f>_xlfn.XLOOKUP(Posts5[[#This Row],[Campaign_Name]],'[1]Campaign Metadata'!A:A,'[1]Campaign Metadata'!C:C)</f>
        <v>45698</v>
      </c>
      <c r="Q266" s="10" t="str">
        <f>IF(AND(Posts5[[#This Row],[Date]] &gt;=Posts5[[#This Row],[Campaign Start Date]], Posts5[[#This Row],[Date]]&lt;= Posts5[[#This Row],[Campaign end date]]), "During","Before")</f>
        <v>Before</v>
      </c>
    </row>
    <row r="267" spans="1:17" x14ac:dyDescent="0.3">
      <c r="A267" s="10" t="s">
        <v>218</v>
      </c>
      <c r="B267" s="10" t="s">
        <v>9</v>
      </c>
      <c r="C267" s="11">
        <v>45660</v>
      </c>
      <c r="D267" s="10" t="s">
        <v>15</v>
      </c>
      <c r="E267" s="10" t="s">
        <v>39</v>
      </c>
      <c r="F267" s="10">
        <v>3782</v>
      </c>
      <c r="G267" s="10">
        <v>484</v>
      </c>
      <c r="H267" s="10">
        <v>144</v>
      </c>
      <c r="I267" s="10">
        <v>52172</v>
      </c>
      <c r="J267" s="10">
        <v>59386</v>
      </c>
      <c r="K267" s="10">
        <v>175</v>
      </c>
      <c r="L267" s="10" t="s">
        <v>10</v>
      </c>
      <c r="M267" s="10" t="s">
        <v>37</v>
      </c>
      <c r="N267" s="10">
        <f>(Posts5[[#This Row],[Likes]]+Posts5[[#This Row],[Shares]]+Posts5[[#This Row],[Comments]])/Posts5[[#This Row],[Impressions]]</f>
        <v>8.4528099363643333E-2</v>
      </c>
      <c r="O267" s="11">
        <f>_xlfn.XLOOKUP(Posts5[[#This Row],[Campaign_Name]],'[1]Campaign Metadata'!A:A,'[1]Campaign Metadata'!B:B)</f>
        <v>45717</v>
      </c>
      <c r="P267" s="10">
        <f>_xlfn.XLOOKUP(Posts5[[#This Row],[Campaign_Name]],'[1]Campaign Metadata'!A:A,'[1]Campaign Metadata'!C:C)</f>
        <v>45747</v>
      </c>
      <c r="Q267" s="10" t="str">
        <f>IF(AND(Posts5[[#This Row],[Date]] &gt;=Posts5[[#This Row],[Campaign Start Date]], Posts5[[#This Row],[Date]]&lt;= Posts5[[#This Row],[Campaign end date]]), "During","Before")</f>
        <v>Before</v>
      </c>
    </row>
    <row r="268" spans="1:17" x14ac:dyDescent="0.3">
      <c r="A268" s="10" t="s">
        <v>218</v>
      </c>
      <c r="B268" s="10" t="s">
        <v>9</v>
      </c>
      <c r="C268" s="11">
        <v>45660</v>
      </c>
      <c r="D268" s="10" t="s">
        <v>15</v>
      </c>
      <c r="E268" s="10" t="s">
        <v>39</v>
      </c>
      <c r="F268" s="10">
        <v>3782</v>
      </c>
      <c r="G268" s="10">
        <v>484</v>
      </c>
      <c r="H268" s="10">
        <v>144</v>
      </c>
      <c r="I268" s="10">
        <v>52172</v>
      </c>
      <c r="J268" s="10">
        <v>59386</v>
      </c>
      <c r="K268" s="10">
        <v>175</v>
      </c>
      <c r="L268" s="10" t="s">
        <v>16</v>
      </c>
      <c r="M268" s="10" t="s">
        <v>37</v>
      </c>
      <c r="N268" s="10">
        <f>(Posts5[[#This Row],[Likes]]+Posts5[[#This Row],[Shares]]+Posts5[[#This Row],[Comments]])/Posts5[[#This Row],[Impressions]]</f>
        <v>8.4528099363643333E-2</v>
      </c>
      <c r="O268" s="11">
        <f>_xlfn.XLOOKUP(Posts5[[#This Row],[Campaign_Name]],'[1]Campaign Metadata'!A:A,'[1]Campaign Metadata'!B:B)</f>
        <v>45717</v>
      </c>
      <c r="P268" s="10">
        <f>_xlfn.XLOOKUP(Posts5[[#This Row],[Campaign_Name]],'[1]Campaign Metadata'!A:A,'[1]Campaign Metadata'!C:C)</f>
        <v>45747</v>
      </c>
      <c r="Q268" s="10" t="str">
        <f>IF(AND(Posts5[[#This Row],[Date]] &gt;=Posts5[[#This Row],[Campaign Start Date]], Posts5[[#This Row],[Date]]&lt;= Posts5[[#This Row],[Campaign end date]]), "During","Before")</f>
        <v>Before</v>
      </c>
    </row>
    <row r="269" spans="1:17" x14ac:dyDescent="0.3">
      <c r="A269" s="10" t="s">
        <v>219</v>
      </c>
      <c r="B269" s="10" t="s">
        <v>8</v>
      </c>
      <c r="C269" s="11">
        <v>45619</v>
      </c>
      <c r="D269" s="10" t="s">
        <v>15</v>
      </c>
      <c r="E269" s="10" t="s">
        <v>39</v>
      </c>
      <c r="F269" s="10">
        <v>4318</v>
      </c>
      <c r="G269" s="10">
        <v>371</v>
      </c>
      <c r="H269" s="10">
        <v>329</v>
      </c>
      <c r="I269" s="10">
        <v>32347</v>
      </c>
      <c r="J269" s="10">
        <v>68956</v>
      </c>
      <c r="K269" s="10">
        <v>259</v>
      </c>
      <c r="L269" s="10" t="s">
        <v>12</v>
      </c>
      <c r="M269" s="10" t="s">
        <v>37</v>
      </c>
      <c r="N269" s="10">
        <f>(Posts5[[#This Row],[Likes]]+Posts5[[#This Row],[Shares]]+Posts5[[#This Row],[Comments]])/Posts5[[#This Row],[Impressions]]</f>
        <v>0.15513030574705536</v>
      </c>
      <c r="O269" s="11">
        <f>_xlfn.XLOOKUP(Posts5[[#This Row],[Campaign_Name]],'[1]Campaign Metadata'!A:A,'[1]Campaign Metadata'!B:B)</f>
        <v>45717</v>
      </c>
      <c r="P269" s="10">
        <f>_xlfn.XLOOKUP(Posts5[[#This Row],[Campaign_Name]],'[1]Campaign Metadata'!A:A,'[1]Campaign Metadata'!C:C)</f>
        <v>45747</v>
      </c>
      <c r="Q269" s="10" t="str">
        <f>IF(AND(Posts5[[#This Row],[Date]] &gt;=Posts5[[#This Row],[Campaign Start Date]], Posts5[[#This Row],[Date]]&lt;= Posts5[[#This Row],[Campaign end date]]), "During","Before")</f>
        <v>Before</v>
      </c>
    </row>
    <row r="270" spans="1:17" x14ac:dyDescent="0.3">
      <c r="A270" s="10" t="s">
        <v>220</v>
      </c>
      <c r="B270" s="10" t="s">
        <v>7</v>
      </c>
      <c r="C270" s="11">
        <v>45536</v>
      </c>
      <c r="D270" s="10" t="s">
        <v>13</v>
      </c>
      <c r="E270" s="10" t="s">
        <v>42</v>
      </c>
      <c r="F270" s="10">
        <v>2335</v>
      </c>
      <c r="G270" s="10">
        <v>150</v>
      </c>
      <c r="H270" s="10">
        <v>75</v>
      </c>
      <c r="I270" s="10">
        <v>26114</v>
      </c>
      <c r="J270" s="10">
        <v>57549</v>
      </c>
      <c r="K270" s="10">
        <v>135</v>
      </c>
      <c r="L270" s="10" t="s">
        <v>5</v>
      </c>
      <c r="M270" s="10" t="s">
        <v>65</v>
      </c>
      <c r="N270" s="10">
        <f>(Posts5[[#This Row],[Likes]]+Posts5[[#This Row],[Shares]]+Posts5[[#This Row],[Comments]])/Posts5[[#This Row],[Impressions]]</f>
        <v>9.8031707130274953E-2</v>
      </c>
      <c r="O270" s="11">
        <f>_xlfn.XLOOKUP(Posts5[[#This Row],[Campaign_Name]],'[1]Campaign Metadata'!A:A,'[1]Campaign Metadata'!B:B)</f>
        <v>45627</v>
      </c>
      <c r="P270" s="10">
        <f>_xlfn.XLOOKUP(Posts5[[#This Row],[Campaign_Name]],'[1]Campaign Metadata'!A:A,'[1]Campaign Metadata'!C:C)</f>
        <v>45657</v>
      </c>
      <c r="Q270" s="10" t="str">
        <f>IF(AND(Posts5[[#This Row],[Date]] &gt;=Posts5[[#This Row],[Campaign Start Date]], Posts5[[#This Row],[Date]]&lt;= Posts5[[#This Row],[Campaign end date]]), "During","Before")</f>
        <v>Before</v>
      </c>
    </row>
    <row r="271" spans="1:17" x14ac:dyDescent="0.3">
      <c r="A271" s="10" t="s">
        <v>221</v>
      </c>
      <c r="B271" s="10" t="s">
        <v>9</v>
      </c>
      <c r="C271" s="11">
        <v>45400</v>
      </c>
      <c r="D271" s="10" t="s">
        <v>15</v>
      </c>
      <c r="E271" s="10" t="s">
        <v>36</v>
      </c>
      <c r="F271" s="10">
        <v>4023</v>
      </c>
      <c r="G271" s="10">
        <v>293</v>
      </c>
      <c r="H271" s="10">
        <v>91</v>
      </c>
      <c r="I271" s="10">
        <v>26795</v>
      </c>
      <c r="J271" s="10">
        <v>28924</v>
      </c>
      <c r="K271" s="10">
        <v>278</v>
      </c>
      <c r="L271" s="10" t="s">
        <v>10</v>
      </c>
      <c r="M271" s="10" t="s">
        <v>37</v>
      </c>
      <c r="N271" s="10">
        <f>(Posts5[[#This Row],[Likes]]+Posts5[[#This Row],[Shares]]+Posts5[[#This Row],[Comments]])/Posts5[[#This Row],[Impressions]]</f>
        <v>0.16447098339242397</v>
      </c>
      <c r="O271" s="11">
        <f>_xlfn.XLOOKUP(Posts5[[#This Row],[Campaign_Name]],'[1]Campaign Metadata'!A:A,'[1]Campaign Metadata'!B:B)</f>
        <v>45717</v>
      </c>
      <c r="P271" s="10">
        <f>_xlfn.XLOOKUP(Posts5[[#This Row],[Campaign_Name]],'[1]Campaign Metadata'!A:A,'[1]Campaign Metadata'!C:C)</f>
        <v>45747</v>
      </c>
      <c r="Q271" s="10" t="str">
        <f>IF(AND(Posts5[[#This Row],[Date]] &gt;=Posts5[[#This Row],[Campaign Start Date]], Posts5[[#This Row],[Date]]&lt;= Posts5[[#This Row],[Campaign end date]]), "During","Before")</f>
        <v>Before</v>
      </c>
    </row>
    <row r="272" spans="1:17" x14ac:dyDescent="0.3">
      <c r="A272" s="10" t="s">
        <v>221</v>
      </c>
      <c r="B272" s="10" t="s">
        <v>9</v>
      </c>
      <c r="C272" s="11">
        <v>45400</v>
      </c>
      <c r="D272" s="10" t="s">
        <v>15</v>
      </c>
      <c r="E272" s="10" t="s">
        <v>36</v>
      </c>
      <c r="F272" s="10">
        <v>4023</v>
      </c>
      <c r="G272" s="10">
        <v>293</v>
      </c>
      <c r="H272" s="10">
        <v>91</v>
      </c>
      <c r="I272" s="10">
        <v>26795</v>
      </c>
      <c r="J272" s="10">
        <v>28924</v>
      </c>
      <c r="K272" s="10">
        <v>278</v>
      </c>
      <c r="L272" s="10" t="s">
        <v>16</v>
      </c>
      <c r="M272" s="10" t="s">
        <v>37</v>
      </c>
      <c r="N272" s="10">
        <f>(Posts5[[#This Row],[Likes]]+Posts5[[#This Row],[Shares]]+Posts5[[#This Row],[Comments]])/Posts5[[#This Row],[Impressions]]</f>
        <v>0.16447098339242397</v>
      </c>
      <c r="O272" s="11">
        <f>_xlfn.XLOOKUP(Posts5[[#This Row],[Campaign_Name]],'[1]Campaign Metadata'!A:A,'[1]Campaign Metadata'!B:B)</f>
        <v>45717</v>
      </c>
      <c r="P272" s="10">
        <f>_xlfn.XLOOKUP(Posts5[[#This Row],[Campaign_Name]],'[1]Campaign Metadata'!A:A,'[1]Campaign Metadata'!C:C)</f>
        <v>45747</v>
      </c>
      <c r="Q272" s="10" t="str">
        <f>IF(AND(Posts5[[#This Row],[Date]] &gt;=Posts5[[#This Row],[Campaign Start Date]], Posts5[[#This Row],[Date]]&lt;= Posts5[[#This Row],[Campaign end date]]), "During","Before")</f>
        <v>Before</v>
      </c>
    </row>
    <row r="273" spans="1:17" x14ac:dyDescent="0.3">
      <c r="A273" s="10" t="s">
        <v>222</v>
      </c>
      <c r="B273" s="10" t="s">
        <v>7</v>
      </c>
      <c r="C273" s="11">
        <v>45447</v>
      </c>
      <c r="D273" s="10" t="s">
        <v>15</v>
      </c>
      <c r="E273" s="10" t="s">
        <v>49</v>
      </c>
      <c r="F273" s="10">
        <v>3948</v>
      </c>
      <c r="G273" s="10">
        <v>151</v>
      </c>
      <c r="H273" s="10">
        <v>249</v>
      </c>
      <c r="I273" s="10">
        <v>43147</v>
      </c>
      <c r="J273" s="10">
        <v>63136</v>
      </c>
      <c r="K273" s="10">
        <v>230</v>
      </c>
      <c r="L273" s="10" t="s">
        <v>10</v>
      </c>
      <c r="M273" s="10" t="s">
        <v>37</v>
      </c>
      <c r="N273" s="10">
        <f>(Posts5[[#This Row],[Likes]]+Posts5[[#This Row],[Shares]]+Posts5[[#This Row],[Comments]])/Posts5[[#This Row],[Impressions]]</f>
        <v>0.10077178019329269</v>
      </c>
      <c r="O273" s="11">
        <f>_xlfn.XLOOKUP(Posts5[[#This Row],[Campaign_Name]],'[1]Campaign Metadata'!A:A,'[1]Campaign Metadata'!B:B)</f>
        <v>45717</v>
      </c>
      <c r="P273" s="10">
        <f>_xlfn.XLOOKUP(Posts5[[#This Row],[Campaign_Name]],'[1]Campaign Metadata'!A:A,'[1]Campaign Metadata'!C:C)</f>
        <v>45747</v>
      </c>
      <c r="Q273" s="10" t="str">
        <f>IF(AND(Posts5[[#This Row],[Date]] &gt;=Posts5[[#This Row],[Campaign Start Date]], Posts5[[#This Row],[Date]]&lt;= Posts5[[#This Row],[Campaign end date]]), "During","Before")</f>
        <v>Before</v>
      </c>
    </row>
    <row r="274" spans="1:17" x14ac:dyDescent="0.3">
      <c r="A274" s="10" t="s">
        <v>223</v>
      </c>
      <c r="B274" s="10" t="s">
        <v>9</v>
      </c>
      <c r="C274" s="11">
        <v>45749</v>
      </c>
      <c r="D274" s="10" t="s">
        <v>15</v>
      </c>
      <c r="E274" s="10" t="s">
        <v>42</v>
      </c>
      <c r="F274" s="10">
        <v>4598</v>
      </c>
      <c r="G274" s="10">
        <v>455</v>
      </c>
      <c r="H274" s="10">
        <v>378</v>
      </c>
      <c r="I274" s="10">
        <v>52952</v>
      </c>
      <c r="J274" s="10">
        <v>58504</v>
      </c>
      <c r="K274" s="10">
        <v>269</v>
      </c>
      <c r="L274" s="10" t="s">
        <v>10</v>
      </c>
      <c r="M274" s="10" t="s">
        <v>37</v>
      </c>
      <c r="N274" s="10">
        <f>(Posts5[[#This Row],[Likes]]+Posts5[[#This Row],[Shares]]+Posts5[[#This Row],[Comments]])/Posts5[[#This Row],[Impressions]]</f>
        <v>0.10256458679558846</v>
      </c>
      <c r="O274" s="11">
        <f>_xlfn.XLOOKUP(Posts5[[#This Row],[Campaign_Name]],'[1]Campaign Metadata'!A:A,'[1]Campaign Metadata'!B:B)</f>
        <v>45717</v>
      </c>
      <c r="P274" s="10">
        <f>_xlfn.XLOOKUP(Posts5[[#This Row],[Campaign_Name]],'[1]Campaign Metadata'!A:A,'[1]Campaign Metadata'!C:C)</f>
        <v>45747</v>
      </c>
      <c r="Q274" s="10" t="str">
        <f>IF(AND(Posts5[[#This Row],[Date]] &gt;=Posts5[[#This Row],[Campaign Start Date]], Posts5[[#This Row],[Date]]&lt;= Posts5[[#This Row],[Campaign end date]]), "During","Before")</f>
        <v>Before</v>
      </c>
    </row>
    <row r="275" spans="1:17" x14ac:dyDescent="0.3">
      <c r="A275" s="10" t="s">
        <v>223</v>
      </c>
      <c r="B275" s="10" t="s">
        <v>9</v>
      </c>
      <c r="C275" s="11">
        <v>45749</v>
      </c>
      <c r="D275" s="10" t="s">
        <v>15</v>
      </c>
      <c r="E275" s="10" t="s">
        <v>42</v>
      </c>
      <c r="F275" s="10">
        <v>4598</v>
      </c>
      <c r="G275" s="10">
        <v>455</v>
      </c>
      <c r="H275" s="10">
        <v>378</v>
      </c>
      <c r="I275" s="10">
        <v>52952</v>
      </c>
      <c r="J275" s="10">
        <v>58504</v>
      </c>
      <c r="K275" s="10">
        <v>269</v>
      </c>
      <c r="L275" s="10" t="s">
        <v>16</v>
      </c>
      <c r="M275" s="10" t="s">
        <v>37</v>
      </c>
      <c r="N275" s="10">
        <f>(Posts5[[#This Row],[Likes]]+Posts5[[#This Row],[Shares]]+Posts5[[#This Row],[Comments]])/Posts5[[#This Row],[Impressions]]</f>
        <v>0.10256458679558846</v>
      </c>
      <c r="O275" s="11">
        <f>_xlfn.XLOOKUP(Posts5[[#This Row],[Campaign_Name]],'[1]Campaign Metadata'!A:A,'[1]Campaign Metadata'!B:B)</f>
        <v>45717</v>
      </c>
      <c r="P275" s="10">
        <f>_xlfn.XLOOKUP(Posts5[[#This Row],[Campaign_Name]],'[1]Campaign Metadata'!A:A,'[1]Campaign Metadata'!C:C)</f>
        <v>45747</v>
      </c>
      <c r="Q275" s="10" t="str">
        <f>IF(AND(Posts5[[#This Row],[Date]] &gt;=Posts5[[#This Row],[Campaign Start Date]], Posts5[[#This Row],[Date]]&lt;= Posts5[[#This Row],[Campaign end date]]), "During","Before")</f>
        <v>Before</v>
      </c>
    </row>
    <row r="276" spans="1:17" x14ac:dyDescent="0.3">
      <c r="A276" s="10" t="s">
        <v>224</v>
      </c>
      <c r="B276" s="10" t="s">
        <v>8</v>
      </c>
      <c r="C276" s="11">
        <v>45748</v>
      </c>
      <c r="D276" s="10" t="s">
        <v>13</v>
      </c>
      <c r="E276" s="10" t="s">
        <v>44</v>
      </c>
      <c r="F276" s="10">
        <v>2665</v>
      </c>
      <c r="G276" s="10">
        <v>143</v>
      </c>
      <c r="H276" s="10">
        <v>315</v>
      </c>
      <c r="I276" s="10">
        <v>54808</v>
      </c>
      <c r="J276" s="10">
        <v>29818</v>
      </c>
      <c r="K276" s="10">
        <v>98</v>
      </c>
      <c r="L276" s="10" t="s">
        <v>10</v>
      </c>
      <c r="M276" s="10" t="s">
        <v>34</v>
      </c>
      <c r="N276" s="10">
        <f>(Posts5[[#This Row],[Likes]]+Posts5[[#This Row],[Shares]]+Posts5[[#This Row],[Comments]])/Posts5[[#This Row],[Impressions]]</f>
        <v>5.6980732739746021E-2</v>
      </c>
      <c r="O276" s="11">
        <f>_xlfn.XLOOKUP(Posts5[[#This Row],[Campaign_Name]],'[1]Campaign Metadata'!A:A,'[1]Campaign Metadata'!B:B)</f>
        <v>45667</v>
      </c>
      <c r="P276" s="10">
        <f>_xlfn.XLOOKUP(Posts5[[#This Row],[Campaign_Name]],'[1]Campaign Metadata'!A:A,'[1]Campaign Metadata'!C:C)</f>
        <v>45698</v>
      </c>
      <c r="Q276" s="10" t="str">
        <f>IF(AND(Posts5[[#This Row],[Date]] &gt;=Posts5[[#This Row],[Campaign Start Date]], Posts5[[#This Row],[Date]]&lt;= Posts5[[#This Row],[Campaign end date]]), "During","Before")</f>
        <v>Before</v>
      </c>
    </row>
    <row r="277" spans="1:17" x14ac:dyDescent="0.3">
      <c r="A277" s="10" t="s">
        <v>224</v>
      </c>
      <c r="B277" s="10" t="s">
        <v>8</v>
      </c>
      <c r="C277" s="11">
        <v>45748</v>
      </c>
      <c r="D277" s="10" t="s">
        <v>13</v>
      </c>
      <c r="E277" s="10" t="s">
        <v>44</v>
      </c>
      <c r="F277" s="10">
        <v>2665</v>
      </c>
      <c r="G277" s="10">
        <v>143</v>
      </c>
      <c r="H277" s="10">
        <v>315</v>
      </c>
      <c r="I277" s="10">
        <v>54808</v>
      </c>
      <c r="J277" s="10">
        <v>29818</v>
      </c>
      <c r="K277" s="10">
        <v>98</v>
      </c>
      <c r="L277" s="10" t="s">
        <v>14</v>
      </c>
      <c r="M277" s="10" t="s">
        <v>34</v>
      </c>
      <c r="N277" s="10">
        <f>(Posts5[[#This Row],[Likes]]+Posts5[[#This Row],[Shares]]+Posts5[[#This Row],[Comments]])/Posts5[[#This Row],[Impressions]]</f>
        <v>5.6980732739746021E-2</v>
      </c>
      <c r="O277" s="11">
        <f>_xlfn.XLOOKUP(Posts5[[#This Row],[Campaign_Name]],'[1]Campaign Metadata'!A:A,'[1]Campaign Metadata'!B:B)</f>
        <v>45667</v>
      </c>
      <c r="P277" s="10">
        <f>_xlfn.XLOOKUP(Posts5[[#This Row],[Campaign_Name]],'[1]Campaign Metadata'!A:A,'[1]Campaign Metadata'!C:C)</f>
        <v>45698</v>
      </c>
      <c r="Q277" s="10" t="str">
        <f>IF(AND(Posts5[[#This Row],[Date]] &gt;=Posts5[[#This Row],[Campaign Start Date]], Posts5[[#This Row],[Date]]&lt;= Posts5[[#This Row],[Campaign end date]]), "During","Before")</f>
        <v>Before</v>
      </c>
    </row>
    <row r="278" spans="1:17" x14ac:dyDescent="0.3">
      <c r="A278" s="10" t="s">
        <v>225</v>
      </c>
      <c r="B278" s="10" t="s">
        <v>7</v>
      </c>
      <c r="C278" s="11">
        <v>45475</v>
      </c>
      <c r="D278" s="10" t="s">
        <v>15</v>
      </c>
      <c r="E278" s="10" t="s">
        <v>53</v>
      </c>
      <c r="F278" s="10">
        <v>3469</v>
      </c>
      <c r="G278" s="10">
        <v>371</v>
      </c>
      <c r="H278" s="10">
        <v>76</v>
      </c>
      <c r="I278" s="10">
        <v>46493</v>
      </c>
      <c r="J278" s="10">
        <v>26906</v>
      </c>
      <c r="K278" s="10">
        <v>150</v>
      </c>
      <c r="L278" s="10" t="s">
        <v>12</v>
      </c>
      <c r="M278" s="10" t="s">
        <v>34</v>
      </c>
      <c r="N278" s="10">
        <f>(Posts5[[#This Row],[Likes]]+Posts5[[#This Row],[Shares]]+Posts5[[#This Row],[Comments]])/Posts5[[#This Row],[Impressions]]</f>
        <v>8.4227733207149463E-2</v>
      </c>
      <c r="O278" s="11">
        <f>_xlfn.XLOOKUP(Posts5[[#This Row],[Campaign_Name]],'[1]Campaign Metadata'!A:A,'[1]Campaign Metadata'!B:B)</f>
        <v>45667</v>
      </c>
      <c r="P278" s="10">
        <f>_xlfn.XLOOKUP(Posts5[[#This Row],[Campaign_Name]],'[1]Campaign Metadata'!A:A,'[1]Campaign Metadata'!C:C)</f>
        <v>45698</v>
      </c>
      <c r="Q278" s="10" t="str">
        <f>IF(AND(Posts5[[#This Row],[Date]] &gt;=Posts5[[#This Row],[Campaign Start Date]], Posts5[[#This Row],[Date]]&lt;= Posts5[[#This Row],[Campaign end date]]), "During","Before")</f>
        <v>Before</v>
      </c>
    </row>
    <row r="279" spans="1:17" x14ac:dyDescent="0.3">
      <c r="A279" s="10" t="s">
        <v>225</v>
      </c>
      <c r="B279" s="10" t="s">
        <v>7</v>
      </c>
      <c r="C279" s="11">
        <v>45475</v>
      </c>
      <c r="D279" s="10" t="s">
        <v>15</v>
      </c>
      <c r="E279" s="10" t="s">
        <v>53</v>
      </c>
      <c r="F279" s="10">
        <v>3469</v>
      </c>
      <c r="G279" s="10">
        <v>371</v>
      </c>
      <c r="H279" s="10">
        <v>76</v>
      </c>
      <c r="I279" s="10">
        <v>46493</v>
      </c>
      <c r="J279" s="10">
        <v>26906</v>
      </c>
      <c r="K279" s="10">
        <v>150</v>
      </c>
      <c r="L279" s="10" t="s">
        <v>5</v>
      </c>
      <c r="M279" s="10" t="s">
        <v>34</v>
      </c>
      <c r="N279" s="10">
        <f>(Posts5[[#This Row],[Likes]]+Posts5[[#This Row],[Shares]]+Posts5[[#This Row],[Comments]])/Posts5[[#This Row],[Impressions]]</f>
        <v>8.4227733207149463E-2</v>
      </c>
      <c r="O279" s="11">
        <f>_xlfn.XLOOKUP(Posts5[[#This Row],[Campaign_Name]],'[1]Campaign Metadata'!A:A,'[1]Campaign Metadata'!B:B)</f>
        <v>45667</v>
      </c>
      <c r="P279" s="10">
        <f>_xlfn.XLOOKUP(Posts5[[#This Row],[Campaign_Name]],'[1]Campaign Metadata'!A:A,'[1]Campaign Metadata'!C:C)</f>
        <v>45698</v>
      </c>
      <c r="Q279" s="10" t="str">
        <f>IF(AND(Posts5[[#This Row],[Date]] &gt;=Posts5[[#This Row],[Campaign Start Date]], Posts5[[#This Row],[Date]]&lt;= Posts5[[#This Row],[Campaign end date]]), "During","Before")</f>
        <v>Before</v>
      </c>
    </row>
    <row r="280" spans="1:17" x14ac:dyDescent="0.3">
      <c r="A280" s="10" t="s">
        <v>226</v>
      </c>
      <c r="B280" s="10" t="s">
        <v>8</v>
      </c>
      <c r="C280" s="11">
        <v>45606</v>
      </c>
      <c r="D280" s="10" t="s">
        <v>15</v>
      </c>
      <c r="E280" s="10" t="s">
        <v>36</v>
      </c>
      <c r="F280" s="10">
        <v>4823</v>
      </c>
      <c r="G280" s="10">
        <v>489</v>
      </c>
      <c r="H280" s="10">
        <v>302</v>
      </c>
      <c r="I280" s="10">
        <v>32470</v>
      </c>
      <c r="J280" s="10">
        <v>31861</v>
      </c>
      <c r="K280" s="10">
        <v>178</v>
      </c>
      <c r="L280" s="10" t="s">
        <v>12</v>
      </c>
      <c r="M280" s="10" t="s">
        <v>37</v>
      </c>
      <c r="N280" s="10">
        <f>(Posts5[[#This Row],[Likes]]+Posts5[[#This Row],[Shares]]+Posts5[[#This Row],[Comments]])/Posts5[[#This Row],[Impressions]]</f>
        <v>0.1728980597474592</v>
      </c>
      <c r="O280" s="11">
        <f>_xlfn.XLOOKUP(Posts5[[#This Row],[Campaign_Name]],'[1]Campaign Metadata'!A:A,'[1]Campaign Metadata'!B:B)</f>
        <v>45717</v>
      </c>
      <c r="P280" s="10">
        <f>_xlfn.XLOOKUP(Posts5[[#This Row],[Campaign_Name]],'[1]Campaign Metadata'!A:A,'[1]Campaign Metadata'!C:C)</f>
        <v>45747</v>
      </c>
      <c r="Q280" s="10" t="str">
        <f>IF(AND(Posts5[[#This Row],[Date]] &gt;=Posts5[[#This Row],[Campaign Start Date]], Posts5[[#This Row],[Date]]&lt;= Posts5[[#This Row],[Campaign end date]]), "During","Before")</f>
        <v>Before</v>
      </c>
    </row>
    <row r="281" spans="1:17" x14ac:dyDescent="0.3">
      <c r="A281" s="10" t="s">
        <v>227</v>
      </c>
      <c r="B281" s="10" t="s">
        <v>7</v>
      </c>
      <c r="C281" s="11">
        <v>45640</v>
      </c>
      <c r="D281" s="10" t="s">
        <v>13</v>
      </c>
      <c r="E281" s="10" t="s">
        <v>59</v>
      </c>
      <c r="F281" s="10">
        <v>3812</v>
      </c>
      <c r="G281" s="10">
        <v>321</v>
      </c>
      <c r="H281" s="10">
        <v>289</v>
      </c>
      <c r="I281" s="10">
        <v>59838</v>
      </c>
      <c r="J281" s="10">
        <v>36337</v>
      </c>
      <c r="K281" s="10">
        <v>161</v>
      </c>
      <c r="L281" s="10" t="s">
        <v>5</v>
      </c>
      <c r="M281" s="10" t="s">
        <v>65</v>
      </c>
      <c r="N281" s="10">
        <f>(Posts5[[#This Row],[Likes]]+Posts5[[#This Row],[Shares]]+Posts5[[#This Row],[Comments]])/Posts5[[#This Row],[Impressions]]</f>
        <v>7.3899528727564417E-2</v>
      </c>
      <c r="O281" s="11">
        <f>_xlfn.XLOOKUP(Posts5[[#This Row],[Campaign_Name]],'[1]Campaign Metadata'!A:A,'[1]Campaign Metadata'!B:B)</f>
        <v>45627</v>
      </c>
      <c r="P281" s="10">
        <f>_xlfn.XLOOKUP(Posts5[[#This Row],[Campaign_Name]],'[1]Campaign Metadata'!A:A,'[1]Campaign Metadata'!C:C)</f>
        <v>45657</v>
      </c>
      <c r="Q281" s="10" t="str">
        <f>IF(AND(Posts5[[#This Row],[Date]] &gt;=Posts5[[#This Row],[Campaign Start Date]], Posts5[[#This Row],[Date]]&lt;= Posts5[[#This Row],[Campaign end date]]), "During","Before")</f>
        <v>During</v>
      </c>
    </row>
    <row r="282" spans="1:17" x14ac:dyDescent="0.3">
      <c r="A282" s="10" t="s">
        <v>228</v>
      </c>
      <c r="B282" s="10" t="s">
        <v>8</v>
      </c>
      <c r="C282" s="11">
        <v>45615</v>
      </c>
      <c r="D282" s="10" t="s">
        <v>15</v>
      </c>
      <c r="E282" s="10" t="s">
        <v>36</v>
      </c>
      <c r="F282" s="10">
        <v>2387</v>
      </c>
      <c r="G282" s="10">
        <v>353</v>
      </c>
      <c r="H282" s="10">
        <v>78</v>
      </c>
      <c r="I282" s="10">
        <v>39745</v>
      </c>
      <c r="J282" s="10">
        <v>69226</v>
      </c>
      <c r="K282" s="10">
        <v>208</v>
      </c>
      <c r="L282" s="10" t="s">
        <v>12</v>
      </c>
      <c r="M282" s="10" t="s">
        <v>37</v>
      </c>
      <c r="N282" s="10">
        <f>(Posts5[[#This Row],[Likes]]+Posts5[[#This Row],[Shares]]+Posts5[[#This Row],[Comments]])/Posts5[[#This Row],[Impressions]]</f>
        <v>7.090200025160398E-2</v>
      </c>
      <c r="O282" s="11">
        <f>_xlfn.XLOOKUP(Posts5[[#This Row],[Campaign_Name]],'[1]Campaign Metadata'!A:A,'[1]Campaign Metadata'!B:B)</f>
        <v>45717</v>
      </c>
      <c r="P282" s="10">
        <f>_xlfn.XLOOKUP(Posts5[[#This Row],[Campaign_Name]],'[1]Campaign Metadata'!A:A,'[1]Campaign Metadata'!C:C)</f>
        <v>45747</v>
      </c>
      <c r="Q282" s="10" t="str">
        <f>IF(AND(Posts5[[#This Row],[Date]] &gt;=Posts5[[#This Row],[Campaign Start Date]], Posts5[[#This Row],[Date]]&lt;= Posts5[[#This Row],[Campaign end date]]), "During","Before")</f>
        <v>Before</v>
      </c>
    </row>
    <row r="283" spans="1:17" x14ac:dyDescent="0.3">
      <c r="A283" s="10" t="s">
        <v>229</v>
      </c>
      <c r="B283" s="10" t="s">
        <v>8</v>
      </c>
      <c r="C283" s="11">
        <v>45777</v>
      </c>
      <c r="D283" s="10" t="s">
        <v>13</v>
      </c>
      <c r="E283" s="10" t="s">
        <v>42</v>
      </c>
      <c r="F283" s="10">
        <v>3929</v>
      </c>
      <c r="G283" s="10">
        <v>275</v>
      </c>
      <c r="H283" s="10">
        <v>330</v>
      </c>
      <c r="I283" s="10">
        <v>58329</v>
      </c>
      <c r="J283" s="10">
        <v>33196</v>
      </c>
      <c r="K283" s="10">
        <v>85</v>
      </c>
      <c r="L283" s="10" t="s">
        <v>14</v>
      </c>
      <c r="M283" s="10" t="s">
        <v>34</v>
      </c>
      <c r="N283" s="10">
        <f>(Posts5[[#This Row],[Likes]]+Posts5[[#This Row],[Shares]]+Posts5[[#This Row],[Comments]])/Posts5[[#This Row],[Impressions]]</f>
        <v>7.7731488624869283E-2</v>
      </c>
      <c r="O283" s="11">
        <f>_xlfn.XLOOKUP(Posts5[[#This Row],[Campaign_Name]],'[1]Campaign Metadata'!A:A,'[1]Campaign Metadata'!B:B)</f>
        <v>45667</v>
      </c>
      <c r="P283" s="10">
        <f>_xlfn.XLOOKUP(Posts5[[#This Row],[Campaign_Name]],'[1]Campaign Metadata'!A:A,'[1]Campaign Metadata'!C:C)</f>
        <v>45698</v>
      </c>
      <c r="Q283" s="10" t="str">
        <f>IF(AND(Posts5[[#This Row],[Date]] &gt;=Posts5[[#This Row],[Campaign Start Date]], Posts5[[#This Row],[Date]]&lt;= Posts5[[#This Row],[Campaign end date]]), "During","Before")</f>
        <v>Before</v>
      </c>
    </row>
    <row r="284" spans="1:17" x14ac:dyDescent="0.3">
      <c r="A284" s="10" t="s">
        <v>229</v>
      </c>
      <c r="B284" s="10" t="s">
        <v>8</v>
      </c>
      <c r="C284" s="11">
        <v>45777</v>
      </c>
      <c r="D284" s="10" t="s">
        <v>13</v>
      </c>
      <c r="E284" s="10" t="s">
        <v>42</v>
      </c>
      <c r="F284" s="10">
        <v>3929</v>
      </c>
      <c r="G284" s="10">
        <v>275</v>
      </c>
      <c r="H284" s="10">
        <v>330</v>
      </c>
      <c r="I284" s="10">
        <v>58329</v>
      </c>
      <c r="J284" s="10">
        <v>33196</v>
      </c>
      <c r="K284" s="10">
        <v>85</v>
      </c>
      <c r="L284" s="10" t="s">
        <v>5</v>
      </c>
      <c r="M284" s="10" t="s">
        <v>34</v>
      </c>
      <c r="N284" s="10">
        <f>(Posts5[[#This Row],[Likes]]+Posts5[[#This Row],[Shares]]+Posts5[[#This Row],[Comments]])/Posts5[[#This Row],[Impressions]]</f>
        <v>7.7731488624869283E-2</v>
      </c>
      <c r="O284" s="11">
        <f>_xlfn.XLOOKUP(Posts5[[#This Row],[Campaign_Name]],'[1]Campaign Metadata'!A:A,'[1]Campaign Metadata'!B:B)</f>
        <v>45667</v>
      </c>
      <c r="P284" s="10">
        <f>_xlfn.XLOOKUP(Posts5[[#This Row],[Campaign_Name]],'[1]Campaign Metadata'!A:A,'[1]Campaign Metadata'!C:C)</f>
        <v>45698</v>
      </c>
      <c r="Q284" s="10" t="str">
        <f>IF(AND(Posts5[[#This Row],[Date]] &gt;=Posts5[[#This Row],[Campaign Start Date]], Posts5[[#This Row],[Date]]&lt;= Posts5[[#This Row],[Campaign end date]]), "During","Before")</f>
        <v>Before</v>
      </c>
    </row>
    <row r="285" spans="1:17" x14ac:dyDescent="0.3">
      <c r="A285" s="10" t="s">
        <v>230</v>
      </c>
      <c r="B285" s="10" t="s">
        <v>8</v>
      </c>
      <c r="C285" s="11">
        <v>45370</v>
      </c>
      <c r="D285" s="10" t="s">
        <v>15</v>
      </c>
      <c r="E285" s="10" t="s">
        <v>59</v>
      </c>
      <c r="F285" s="10">
        <v>2191</v>
      </c>
      <c r="G285" s="10">
        <v>288</v>
      </c>
      <c r="H285" s="10">
        <v>83</v>
      </c>
      <c r="I285" s="10">
        <v>59606</v>
      </c>
      <c r="J285" s="10">
        <v>24765</v>
      </c>
      <c r="K285" s="10">
        <v>281</v>
      </c>
      <c r="L285" s="10" t="s">
        <v>12</v>
      </c>
      <c r="M285" s="10" t="s">
        <v>37</v>
      </c>
      <c r="N285" s="10">
        <f>(Posts5[[#This Row],[Likes]]+Posts5[[#This Row],[Shares]]+Posts5[[#This Row],[Comments]])/Posts5[[#This Row],[Impressions]]</f>
        <v>4.2982250109049422E-2</v>
      </c>
      <c r="O285" s="11">
        <f>_xlfn.XLOOKUP(Posts5[[#This Row],[Campaign_Name]],'[1]Campaign Metadata'!A:A,'[1]Campaign Metadata'!B:B)</f>
        <v>45717</v>
      </c>
      <c r="P285" s="10">
        <f>_xlfn.XLOOKUP(Posts5[[#This Row],[Campaign_Name]],'[1]Campaign Metadata'!A:A,'[1]Campaign Metadata'!C:C)</f>
        <v>45747</v>
      </c>
      <c r="Q285" s="10" t="str">
        <f>IF(AND(Posts5[[#This Row],[Date]] &gt;=Posts5[[#This Row],[Campaign Start Date]], Posts5[[#This Row],[Date]]&lt;= Posts5[[#This Row],[Campaign end date]]), "During","Before")</f>
        <v>Before</v>
      </c>
    </row>
    <row r="286" spans="1:17" x14ac:dyDescent="0.3">
      <c r="A286" s="10" t="s">
        <v>231</v>
      </c>
      <c r="B286" s="10" t="s">
        <v>7</v>
      </c>
      <c r="C286" s="11">
        <v>45370</v>
      </c>
      <c r="D286" s="10" t="s">
        <v>15</v>
      </c>
      <c r="E286" s="10" t="s">
        <v>59</v>
      </c>
      <c r="F286" s="10">
        <v>2878</v>
      </c>
      <c r="G286" s="10">
        <v>278</v>
      </c>
      <c r="H286" s="10">
        <v>255</v>
      </c>
      <c r="I286" s="10">
        <v>47235</v>
      </c>
      <c r="J286" s="10">
        <v>57922</v>
      </c>
      <c r="K286" s="10">
        <v>112</v>
      </c>
      <c r="L286" s="10" t="s">
        <v>12</v>
      </c>
      <c r="M286" s="10" t="s">
        <v>34</v>
      </c>
      <c r="N286" s="10">
        <f>(Posts5[[#This Row],[Likes]]+Posts5[[#This Row],[Shares]]+Posts5[[#This Row],[Comments]])/Posts5[[#This Row],[Impressions]]</f>
        <v>7.2213401079707848E-2</v>
      </c>
      <c r="O286" s="11">
        <f>_xlfn.XLOOKUP(Posts5[[#This Row],[Campaign_Name]],'[1]Campaign Metadata'!A:A,'[1]Campaign Metadata'!B:B)</f>
        <v>45667</v>
      </c>
      <c r="P286" s="10">
        <f>_xlfn.XLOOKUP(Posts5[[#This Row],[Campaign_Name]],'[1]Campaign Metadata'!A:A,'[1]Campaign Metadata'!C:C)</f>
        <v>45698</v>
      </c>
      <c r="Q286" s="10" t="str">
        <f>IF(AND(Posts5[[#This Row],[Date]] &gt;=Posts5[[#This Row],[Campaign Start Date]], Posts5[[#This Row],[Date]]&lt;= Posts5[[#This Row],[Campaign end date]]), "During","Before")</f>
        <v>Before</v>
      </c>
    </row>
    <row r="287" spans="1:17" x14ac:dyDescent="0.3">
      <c r="A287" s="10" t="s">
        <v>231</v>
      </c>
      <c r="B287" s="10" t="s">
        <v>7</v>
      </c>
      <c r="C287" s="11">
        <v>45370</v>
      </c>
      <c r="D287" s="10" t="s">
        <v>15</v>
      </c>
      <c r="E287" s="10" t="s">
        <v>59</v>
      </c>
      <c r="F287" s="10">
        <v>2878</v>
      </c>
      <c r="G287" s="10">
        <v>278</v>
      </c>
      <c r="H287" s="10">
        <v>255</v>
      </c>
      <c r="I287" s="10">
        <v>47235</v>
      </c>
      <c r="J287" s="10">
        <v>57922</v>
      </c>
      <c r="K287" s="10">
        <v>112</v>
      </c>
      <c r="L287" s="10" t="s">
        <v>5</v>
      </c>
      <c r="M287" s="10" t="s">
        <v>34</v>
      </c>
      <c r="N287" s="10">
        <f>(Posts5[[#This Row],[Likes]]+Posts5[[#This Row],[Shares]]+Posts5[[#This Row],[Comments]])/Posts5[[#This Row],[Impressions]]</f>
        <v>7.2213401079707848E-2</v>
      </c>
      <c r="O287" s="11">
        <f>_xlfn.XLOOKUP(Posts5[[#This Row],[Campaign_Name]],'[1]Campaign Metadata'!A:A,'[1]Campaign Metadata'!B:B)</f>
        <v>45667</v>
      </c>
      <c r="P287" s="10">
        <f>_xlfn.XLOOKUP(Posts5[[#This Row],[Campaign_Name]],'[1]Campaign Metadata'!A:A,'[1]Campaign Metadata'!C:C)</f>
        <v>45698</v>
      </c>
      <c r="Q287" s="10" t="str">
        <f>IF(AND(Posts5[[#This Row],[Date]] &gt;=Posts5[[#This Row],[Campaign Start Date]], Posts5[[#This Row],[Date]]&lt;= Posts5[[#This Row],[Campaign end date]]), "During","Before")</f>
        <v>Before</v>
      </c>
    </row>
    <row r="288" spans="1:17" x14ac:dyDescent="0.3">
      <c r="A288" s="10" t="s">
        <v>232</v>
      </c>
      <c r="B288" s="10" t="s">
        <v>8</v>
      </c>
      <c r="C288" s="11">
        <v>45496</v>
      </c>
      <c r="D288" s="10" t="s">
        <v>15</v>
      </c>
      <c r="E288" s="10" t="s">
        <v>53</v>
      </c>
      <c r="F288" s="10">
        <v>3204</v>
      </c>
      <c r="G288" s="10">
        <v>398</v>
      </c>
      <c r="H288" s="10">
        <v>85</v>
      </c>
      <c r="I288" s="10">
        <v>22020</v>
      </c>
      <c r="J288" s="10">
        <v>58353</v>
      </c>
      <c r="K288" s="10">
        <v>286</v>
      </c>
      <c r="L288" s="10" t="s">
        <v>12</v>
      </c>
      <c r="M288" s="10" t="s">
        <v>37</v>
      </c>
      <c r="N288" s="10">
        <f>(Posts5[[#This Row],[Likes]]+Posts5[[#This Row],[Shares]]+Posts5[[#This Row],[Comments]])/Posts5[[#This Row],[Impressions]]</f>
        <v>0.16743869209809265</v>
      </c>
      <c r="O288" s="11">
        <f>_xlfn.XLOOKUP(Posts5[[#This Row],[Campaign_Name]],'[1]Campaign Metadata'!A:A,'[1]Campaign Metadata'!B:B)</f>
        <v>45717</v>
      </c>
      <c r="P288" s="10">
        <f>_xlfn.XLOOKUP(Posts5[[#This Row],[Campaign_Name]],'[1]Campaign Metadata'!A:A,'[1]Campaign Metadata'!C:C)</f>
        <v>45747</v>
      </c>
      <c r="Q288" s="10" t="str">
        <f>IF(AND(Posts5[[#This Row],[Date]] &gt;=Posts5[[#This Row],[Campaign Start Date]], Posts5[[#This Row],[Date]]&lt;= Posts5[[#This Row],[Campaign end date]]), "During","Before")</f>
        <v>Before</v>
      </c>
    </row>
    <row r="289" spans="1:17" x14ac:dyDescent="0.3">
      <c r="A289" s="10" t="s">
        <v>233</v>
      </c>
      <c r="B289" s="10" t="s">
        <v>8</v>
      </c>
      <c r="C289" s="11">
        <v>45486</v>
      </c>
      <c r="D289" s="10" t="s">
        <v>13</v>
      </c>
      <c r="E289" s="10" t="s">
        <v>49</v>
      </c>
      <c r="F289" s="10">
        <v>2408</v>
      </c>
      <c r="G289" s="10">
        <v>323</v>
      </c>
      <c r="H289" s="10">
        <v>251</v>
      </c>
      <c r="I289" s="10">
        <v>47599</v>
      </c>
      <c r="J289" s="10">
        <v>35543</v>
      </c>
      <c r="K289" s="10">
        <v>287</v>
      </c>
      <c r="L289" s="10" t="s">
        <v>14</v>
      </c>
      <c r="M289" s="10" t="s">
        <v>34</v>
      </c>
      <c r="N289" s="10">
        <f>(Posts5[[#This Row],[Likes]]+Posts5[[#This Row],[Shares]]+Posts5[[#This Row],[Comments]])/Posts5[[#This Row],[Impressions]]</f>
        <v>6.2648374965860634E-2</v>
      </c>
      <c r="O289" s="11">
        <f>_xlfn.XLOOKUP(Posts5[[#This Row],[Campaign_Name]],'[1]Campaign Metadata'!A:A,'[1]Campaign Metadata'!B:B)</f>
        <v>45667</v>
      </c>
      <c r="P289" s="10">
        <f>_xlfn.XLOOKUP(Posts5[[#This Row],[Campaign_Name]],'[1]Campaign Metadata'!A:A,'[1]Campaign Metadata'!C:C)</f>
        <v>45698</v>
      </c>
      <c r="Q289" s="10" t="str">
        <f>IF(AND(Posts5[[#This Row],[Date]] &gt;=Posts5[[#This Row],[Campaign Start Date]], Posts5[[#This Row],[Date]]&lt;= Posts5[[#This Row],[Campaign end date]]), "During","Before")</f>
        <v>Before</v>
      </c>
    </row>
    <row r="290" spans="1:17" x14ac:dyDescent="0.3">
      <c r="A290" s="10" t="s">
        <v>233</v>
      </c>
      <c r="B290" s="10" t="s">
        <v>8</v>
      </c>
      <c r="C290" s="11">
        <v>45486</v>
      </c>
      <c r="D290" s="10" t="s">
        <v>13</v>
      </c>
      <c r="E290" s="10" t="s">
        <v>49</v>
      </c>
      <c r="F290" s="10">
        <v>2408</v>
      </c>
      <c r="G290" s="10">
        <v>323</v>
      </c>
      <c r="H290" s="10">
        <v>251</v>
      </c>
      <c r="I290" s="10">
        <v>47599</v>
      </c>
      <c r="J290" s="10">
        <v>35543</v>
      </c>
      <c r="K290" s="10">
        <v>287</v>
      </c>
      <c r="L290" s="10" t="s">
        <v>5</v>
      </c>
      <c r="M290" s="10" t="s">
        <v>34</v>
      </c>
      <c r="N290" s="10">
        <f>(Posts5[[#This Row],[Likes]]+Posts5[[#This Row],[Shares]]+Posts5[[#This Row],[Comments]])/Posts5[[#This Row],[Impressions]]</f>
        <v>6.2648374965860634E-2</v>
      </c>
      <c r="O290" s="11">
        <f>_xlfn.XLOOKUP(Posts5[[#This Row],[Campaign_Name]],'[1]Campaign Metadata'!A:A,'[1]Campaign Metadata'!B:B)</f>
        <v>45667</v>
      </c>
      <c r="P290" s="10">
        <f>_xlfn.XLOOKUP(Posts5[[#This Row],[Campaign_Name]],'[1]Campaign Metadata'!A:A,'[1]Campaign Metadata'!C:C)</f>
        <v>45698</v>
      </c>
      <c r="Q290" s="10" t="str">
        <f>IF(AND(Posts5[[#This Row],[Date]] &gt;=Posts5[[#This Row],[Campaign Start Date]], Posts5[[#This Row],[Date]]&lt;= Posts5[[#This Row],[Campaign end date]]), "During","Before")</f>
        <v>Before</v>
      </c>
    </row>
    <row r="291" spans="1:17" x14ac:dyDescent="0.3">
      <c r="A291" s="10" t="s">
        <v>234</v>
      </c>
      <c r="B291" s="10" t="s">
        <v>9</v>
      </c>
      <c r="C291" s="11">
        <v>45769</v>
      </c>
      <c r="D291" s="10" t="s">
        <v>11</v>
      </c>
      <c r="E291" s="10" t="s">
        <v>39</v>
      </c>
      <c r="F291" s="10">
        <v>2733</v>
      </c>
      <c r="G291" s="10">
        <v>297</v>
      </c>
      <c r="H291" s="10">
        <v>235</v>
      </c>
      <c r="I291" s="10">
        <v>37980</v>
      </c>
      <c r="J291" s="10">
        <v>33058</v>
      </c>
      <c r="K291" s="10">
        <v>219</v>
      </c>
      <c r="L291" s="10" t="s">
        <v>10</v>
      </c>
      <c r="M291" s="10" t="s">
        <v>68</v>
      </c>
      <c r="N291" s="10">
        <f>(Posts5[[#This Row],[Likes]]+Posts5[[#This Row],[Shares]]+Posts5[[#This Row],[Comments]])/Posts5[[#This Row],[Impressions]]</f>
        <v>8.5966298051606105E-2</v>
      </c>
      <c r="O291" s="11">
        <f>_xlfn.XLOOKUP(Posts5[[#This Row],[Campaign_Name]],'[1]Campaign Metadata'!A:A,'[1]Campaign Metadata'!B:B)</f>
        <v>45458</v>
      </c>
      <c r="P291" s="10">
        <f>_xlfn.XLOOKUP(Posts5[[#This Row],[Campaign_Name]],'[1]Campaign Metadata'!A:A,'[1]Campaign Metadata'!C:C)</f>
        <v>45488</v>
      </c>
      <c r="Q291" s="10" t="str">
        <f>IF(AND(Posts5[[#This Row],[Date]] &gt;=Posts5[[#This Row],[Campaign Start Date]], Posts5[[#This Row],[Date]]&lt;= Posts5[[#This Row],[Campaign end date]]), "During","Before")</f>
        <v>Before</v>
      </c>
    </row>
    <row r="292" spans="1:17" x14ac:dyDescent="0.3">
      <c r="A292" s="10" t="s">
        <v>234</v>
      </c>
      <c r="B292" s="10" t="s">
        <v>9</v>
      </c>
      <c r="C292" s="11">
        <v>45769</v>
      </c>
      <c r="D292" s="10" t="s">
        <v>11</v>
      </c>
      <c r="E292" s="10" t="s">
        <v>39</v>
      </c>
      <c r="F292" s="10">
        <v>2733</v>
      </c>
      <c r="G292" s="10">
        <v>297</v>
      </c>
      <c r="H292" s="10">
        <v>235</v>
      </c>
      <c r="I292" s="10">
        <v>37980</v>
      </c>
      <c r="J292" s="10">
        <v>33058</v>
      </c>
      <c r="K292" s="10">
        <v>219</v>
      </c>
      <c r="L292" s="10" t="s">
        <v>12</v>
      </c>
      <c r="M292" s="10" t="s">
        <v>68</v>
      </c>
      <c r="N292" s="10">
        <f>(Posts5[[#This Row],[Likes]]+Posts5[[#This Row],[Shares]]+Posts5[[#This Row],[Comments]])/Posts5[[#This Row],[Impressions]]</f>
        <v>8.5966298051606105E-2</v>
      </c>
      <c r="O292" s="11">
        <f>_xlfn.XLOOKUP(Posts5[[#This Row],[Campaign_Name]],'[1]Campaign Metadata'!A:A,'[1]Campaign Metadata'!B:B)</f>
        <v>45458</v>
      </c>
      <c r="P292" s="10">
        <f>_xlfn.XLOOKUP(Posts5[[#This Row],[Campaign_Name]],'[1]Campaign Metadata'!A:A,'[1]Campaign Metadata'!C:C)</f>
        <v>45488</v>
      </c>
      <c r="Q292" s="10" t="str">
        <f>IF(AND(Posts5[[#This Row],[Date]] &gt;=Posts5[[#This Row],[Campaign Start Date]], Posts5[[#This Row],[Date]]&lt;= Posts5[[#This Row],[Campaign end date]]), "During","Before")</f>
        <v>Before</v>
      </c>
    </row>
    <row r="293" spans="1:17" x14ac:dyDescent="0.3">
      <c r="A293" s="10" t="s">
        <v>235</v>
      </c>
      <c r="B293" s="10" t="s">
        <v>8</v>
      </c>
      <c r="C293" s="11">
        <v>45459</v>
      </c>
      <c r="D293" s="10" t="s">
        <v>13</v>
      </c>
      <c r="E293" s="10" t="s">
        <v>36</v>
      </c>
      <c r="F293" s="10">
        <v>4618</v>
      </c>
      <c r="G293" s="10">
        <v>312</v>
      </c>
      <c r="H293" s="10">
        <v>254</v>
      </c>
      <c r="I293" s="10">
        <v>22571</v>
      </c>
      <c r="J293" s="10">
        <v>29453</v>
      </c>
      <c r="K293" s="10">
        <v>197</v>
      </c>
      <c r="L293" s="10" t="s">
        <v>14</v>
      </c>
      <c r="M293" s="10" t="s">
        <v>34</v>
      </c>
      <c r="N293" s="10">
        <f>(Posts5[[#This Row],[Likes]]+Posts5[[#This Row],[Shares]]+Posts5[[#This Row],[Comments]])/Posts5[[#This Row],[Impressions]]</f>
        <v>0.22967524699836073</v>
      </c>
      <c r="O293" s="11">
        <f>_xlfn.XLOOKUP(Posts5[[#This Row],[Campaign_Name]],'[1]Campaign Metadata'!A:A,'[1]Campaign Metadata'!B:B)</f>
        <v>45667</v>
      </c>
      <c r="P293" s="10">
        <f>_xlfn.XLOOKUP(Posts5[[#This Row],[Campaign_Name]],'[1]Campaign Metadata'!A:A,'[1]Campaign Metadata'!C:C)</f>
        <v>45698</v>
      </c>
      <c r="Q293" s="10" t="str">
        <f>IF(AND(Posts5[[#This Row],[Date]] &gt;=Posts5[[#This Row],[Campaign Start Date]], Posts5[[#This Row],[Date]]&lt;= Posts5[[#This Row],[Campaign end date]]), "During","Before")</f>
        <v>Before</v>
      </c>
    </row>
    <row r="294" spans="1:17" x14ac:dyDescent="0.3">
      <c r="A294" s="10" t="s">
        <v>235</v>
      </c>
      <c r="B294" s="10" t="s">
        <v>8</v>
      </c>
      <c r="C294" s="11">
        <v>45459</v>
      </c>
      <c r="D294" s="10" t="s">
        <v>13</v>
      </c>
      <c r="E294" s="10" t="s">
        <v>36</v>
      </c>
      <c r="F294" s="10">
        <v>4618</v>
      </c>
      <c r="G294" s="10">
        <v>312</v>
      </c>
      <c r="H294" s="10">
        <v>254</v>
      </c>
      <c r="I294" s="10">
        <v>22571</v>
      </c>
      <c r="J294" s="10">
        <v>29453</v>
      </c>
      <c r="K294" s="10">
        <v>197</v>
      </c>
      <c r="L294" s="10" t="s">
        <v>5</v>
      </c>
      <c r="M294" s="10" t="s">
        <v>34</v>
      </c>
      <c r="N294" s="10">
        <f>(Posts5[[#This Row],[Likes]]+Posts5[[#This Row],[Shares]]+Posts5[[#This Row],[Comments]])/Posts5[[#This Row],[Impressions]]</f>
        <v>0.22967524699836073</v>
      </c>
      <c r="O294" s="11">
        <f>_xlfn.XLOOKUP(Posts5[[#This Row],[Campaign_Name]],'[1]Campaign Metadata'!A:A,'[1]Campaign Metadata'!B:B)</f>
        <v>45667</v>
      </c>
      <c r="P294" s="10">
        <f>_xlfn.XLOOKUP(Posts5[[#This Row],[Campaign_Name]],'[1]Campaign Metadata'!A:A,'[1]Campaign Metadata'!C:C)</f>
        <v>45698</v>
      </c>
      <c r="Q294" s="10" t="str">
        <f>IF(AND(Posts5[[#This Row],[Date]] &gt;=Posts5[[#This Row],[Campaign Start Date]], Posts5[[#This Row],[Date]]&lt;= Posts5[[#This Row],[Campaign end date]]), "During","Before")</f>
        <v>Before</v>
      </c>
    </row>
    <row r="295" spans="1:17" x14ac:dyDescent="0.3">
      <c r="A295" s="10" t="s">
        <v>236</v>
      </c>
      <c r="B295" s="10" t="s">
        <v>9</v>
      </c>
      <c r="C295" s="11">
        <v>45795</v>
      </c>
      <c r="D295" s="10" t="s">
        <v>11</v>
      </c>
      <c r="E295" s="10" t="s">
        <v>42</v>
      </c>
      <c r="F295" s="10">
        <v>4210</v>
      </c>
      <c r="G295" s="10">
        <v>319</v>
      </c>
      <c r="H295" s="10">
        <v>350</v>
      </c>
      <c r="I295" s="10">
        <v>37762</v>
      </c>
      <c r="J295" s="10">
        <v>55162</v>
      </c>
      <c r="K295" s="10">
        <v>204</v>
      </c>
      <c r="L295" s="10" t="s">
        <v>10</v>
      </c>
      <c r="M295" s="10" t="s">
        <v>68</v>
      </c>
      <c r="N295" s="10">
        <f>(Posts5[[#This Row],[Likes]]+Posts5[[#This Row],[Shares]]+Posts5[[#This Row],[Comments]])/Posts5[[#This Row],[Impressions]]</f>
        <v>0.12920396165457337</v>
      </c>
      <c r="O295" s="11">
        <f>_xlfn.XLOOKUP(Posts5[[#This Row],[Campaign_Name]],'[1]Campaign Metadata'!A:A,'[1]Campaign Metadata'!B:B)</f>
        <v>45458</v>
      </c>
      <c r="P295" s="10">
        <f>_xlfn.XLOOKUP(Posts5[[#This Row],[Campaign_Name]],'[1]Campaign Metadata'!A:A,'[1]Campaign Metadata'!C:C)</f>
        <v>45488</v>
      </c>
      <c r="Q295" s="10" t="str">
        <f>IF(AND(Posts5[[#This Row],[Date]] &gt;=Posts5[[#This Row],[Campaign Start Date]], Posts5[[#This Row],[Date]]&lt;= Posts5[[#This Row],[Campaign end date]]), "During","Before")</f>
        <v>Before</v>
      </c>
    </row>
    <row r="296" spans="1:17" x14ac:dyDescent="0.3">
      <c r="A296" s="10" t="s">
        <v>236</v>
      </c>
      <c r="B296" s="10" t="s">
        <v>9</v>
      </c>
      <c r="C296" s="11">
        <v>45795</v>
      </c>
      <c r="D296" s="10" t="s">
        <v>11</v>
      </c>
      <c r="E296" s="10" t="s">
        <v>42</v>
      </c>
      <c r="F296" s="10">
        <v>4210</v>
      </c>
      <c r="G296" s="10">
        <v>319</v>
      </c>
      <c r="H296" s="10">
        <v>350</v>
      </c>
      <c r="I296" s="10">
        <v>37762</v>
      </c>
      <c r="J296" s="10">
        <v>55162</v>
      </c>
      <c r="K296" s="10">
        <v>204</v>
      </c>
      <c r="L296" s="10" t="s">
        <v>12</v>
      </c>
      <c r="M296" s="10" t="s">
        <v>68</v>
      </c>
      <c r="N296" s="10">
        <f>(Posts5[[#This Row],[Likes]]+Posts5[[#This Row],[Shares]]+Posts5[[#This Row],[Comments]])/Posts5[[#This Row],[Impressions]]</f>
        <v>0.12920396165457337</v>
      </c>
      <c r="O296" s="11">
        <f>_xlfn.XLOOKUP(Posts5[[#This Row],[Campaign_Name]],'[1]Campaign Metadata'!A:A,'[1]Campaign Metadata'!B:B)</f>
        <v>45458</v>
      </c>
      <c r="P296" s="10">
        <f>_xlfn.XLOOKUP(Posts5[[#This Row],[Campaign_Name]],'[1]Campaign Metadata'!A:A,'[1]Campaign Metadata'!C:C)</f>
        <v>45488</v>
      </c>
      <c r="Q296" s="10" t="str">
        <f>IF(AND(Posts5[[#This Row],[Date]] &gt;=Posts5[[#This Row],[Campaign Start Date]], Posts5[[#This Row],[Date]]&lt;= Posts5[[#This Row],[Campaign end date]]), "During","Before")</f>
        <v>Before</v>
      </c>
    </row>
    <row r="297" spans="1:17" x14ac:dyDescent="0.3">
      <c r="A297" s="10" t="s">
        <v>237</v>
      </c>
      <c r="B297" s="10" t="s">
        <v>7</v>
      </c>
      <c r="C297" s="11">
        <v>45814</v>
      </c>
      <c r="D297" s="10" t="s">
        <v>15</v>
      </c>
      <c r="E297" s="10" t="s">
        <v>42</v>
      </c>
      <c r="F297" s="10">
        <v>3987</v>
      </c>
      <c r="G297" s="10">
        <v>171</v>
      </c>
      <c r="H297" s="10">
        <v>274</v>
      </c>
      <c r="I297" s="10">
        <v>45122</v>
      </c>
      <c r="J297" s="10">
        <v>65431</v>
      </c>
      <c r="K297" s="10">
        <v>168</v>
      </c>
      <c r="L297" s="10" t="s">
        <v>10</v>
      </c>
      <c r="M297" s="10" t="s">
        <v>37</v>
      </c>
      <c r="N297" s="10">
        <f>(Posts5[[#This Row],[Likes]]+Posts5[[#This Row],[Shares]]+Posts5[[#This Row],[Comments]])/Posts5[[#This Row],[Impressions]]</f>
        <v>9.8222596516111871E-2</v>
      </c>
      <c r="O297" s="11">
        <f>_xlfn.XLOOKUP(Posts5[[#This Row],[Campaign_Name]],'[1]Campaign Metadata'!A:A,'[1]Campaign Metadata'!B:B)</f>
        <v>45717</v>
      </c>
      <c r="P297" s="10">
        <f>_xlfn.XLOOKUP(Posts5[[#This Row],[Campaign_Name]],'[1]Campaign Metadata'!A:A,'[1]Campaign Metadata'!C:C)</f>
        <v>45747</v>
      </c>
      <c r="Q297" s="10" t="str">
        <f>IF(AND(Posts5[[#This Row],[Date]] &gt;=Posts5[[#This Row],[Campaign Start Date]], Posts5[[#This Row],[Date]]&lt;= Posts5[[#This Row],[Campaign end date]]), "During","Before")</f>
        <v>Before</v>
      </c>
    </row>
    <row r="298" spans="1:17" x14ac:dyDescent="0.3">
      <c r="A298" s="10" t="s">
        <v>238</v>
      </c>
      <c r="B298" s="10" t="s">
        <v>9</v>
      </c>
      <c r="C298" s="11">
        <v>45708</v>
      </c>
      <c r="D298" s="10" t="s">
        <v>11</v>
      </c>
      <c r="E298" s="10" t="s">
        <v>49</v>
      </c>
      <c r="F298" s="10">
        <v>4957</v>
      </c>
      <c r="G298" s="10">
        <v>262</v>
      </c>
      <c r="H298" s="10">
        <v>365</v>
      </c>
      <c r="I298" s="10">
        <v>49199</v>
      </c>
      <c r="J298" s="10">
        <v>40314</v>
      </c>
      <c r="K298" s="10">
        <v>216</v>
      </c>
      <c r="L298" s="10" t="s">
        <v>10</v>
      </c>
      <c r="M298" s="10" t="s">
        <v>68</v>
      </c>
      <c r="N298" s="10">
        <f>(Posts5[[#This Row],[Likes]]+Posts5[[#This Row],[Shares]]+Posts5[[#This Row],[Comments]])/Posts5[[#This Row],[Impressions]]</f>
        <v>0.11349824183418362</v>
      </c>
      <c r="O298" s="11">
        <f>_xlfn.XLOOKUP(Posts5[[#This Row],[Campaign_Name]],'[1]Campaign Metadata'!A:A,'[1]Campaign Metadata'!B:B)</f>
        <v>45458</v>
      </c>
      <c r="P298" s="10">
        <f>_xlfn.XLOOKUP(Posts5[[#This Row],[Campaign_Name]],'[1]Campaign Metadata'!A:A,'[1]Campaign Metadata'!C:C)</f>
        <v>45488</v>
      </c>
      <c r="Q298" s="10" t="str">
        <f>IF(AND(Posts5[[#This Row],[Date]] &gt;=Posts5[[#This Row],[Campaign Start Date]], Posts5[[#This Row],[Date]]&lt;= Posts5[[#This Row],[Campaign end date]]), "During","Before")</f>
        <v>Before</v>
      </c>
    </row>
    <row r="299" spans="1:17" x14ac:dyDescent="0.3">
      <c r="A299" s="10" t="s">
        <v>238</v>
      </c>
      <c r="B299" s="10" t="s">
        <v>9</v>
      </c>
      <c r="C299" s="11">
        <v>45708</v>
      </c>
      <c r="D299" s="10" t="s">
        <v>11</v>
      </c>
      <c r="E299" s="10" t="s">
        <v>49</v>
      </c>
      <c r="F299" s="10">
        <v>4957</v>
      </c>
      <c r="G299" s="10">
        <v>262</v>
      </c>
      <c r="H299" s="10">
        <v>365</v>
      </c>
      <c r="I299" s="10">
        <v>49199</v>
      </c>
      <c r="J299" s="10">
        <v>40314</v>
      </c>
      <c r="K299" s="10">
        <v>216</v>
      </c>
      <c r="L299" s="10" t="s">
        <v>12</v>
      </c>
      <c r="M299" s="10" t="s">
        <v>68</v>
      </c>
      <c r="N299" s="10">
        <f>(Posts5[[#This Row],[Likes]]+Posts5[[#This Row],[Shares]]+Posts5[[#This Row],[Comments]])/Posts5[[#This Row],[Impressions]]</f>
        <v>0.11349824183418362</v>
      </c>
      <c r="O299" s="11">
        <f>_xlfn.XLOOKUP(Posts5[[#This Row],[Campaign_Name]],'[1]Campaign Metadata'!A:A,'[1]Campaign Metadata'!B:B)</f>
        <v>45458</v>
      </c>
      <c r="P299" s="10">
        <f>_xlfn.XLOOKUP(Posts5[[#This Row],[Campaign_Name]],'[1]Campaign Metadata'!A:A,'[1]Campaign Metadata'!C:C)</f>
        <v>45488</v>
      </c>
      <c r="Q299" s="10" t="str">
        <f>IF(AND(Posts5[[#This Row],[Date]] &gt;=Posts5[[#This Row],[Campaign Start Date]], Posts5[[#This Row],[Date]]&lt;= Posts5[[#This Row],[Campaign end date]]), "During","Before")</f>
        <v>Before</v>
      </c>
    </row>
    <row r="300" spans="1:17" x14ac:dyDescent="0.3">
      <c r="A300" s="10" t="s">
        <v>239</v>
      </c>
      <c r="B300" s="10" t="s">
        <v>7</v>
      </c>
      <c r="C300" s="11">
        <v>45673</v>
      </c>
      <c r="D300" s="10" t="s">
        <v>15</v>
      </c>
      <c r="E300" s="10" t="s">
        <v>44</v>
      </c>
      <c r="F300" s="10">
        <v>2605</v>
      </c>
      <c r="G300" s="10">
        <v>282</v>
      </c>
      <c r="H300" s="10">
        <v>148</v>
      </c>
      <c r="I300" s="10">
        <v>32201</v>
      </c>
      <c r="J300" s="10">
        <v>49583</v>
      </c>
      <c r="K300" s="10">
        <v>241</v>
      </c>
      <c r="L300" s="10" t="s">
        <v>12</v>
      </c>
      <c r="M300" s="10" t="s">
        <v>34</v>
      </c>
      <c r="N300" s="10">
        <f>(Posts5[[#This Row],[Likes]]+Posts5[[#This Row],[Shares]]+Posts5[[#This Row],[Comments]])/Posts5[[#This Row],[Impressions]]</f>
        <v>9.4251731312692155E-2</v>
      </c>
      <c r="O300" s="11">
        <f>_xlfn.XLOOKUP(Posts5[[#This Row],[Campaign_Name]],'[1]Campaign Metadata'!A:A,'[1]Campaign Metadata'!B:B)</f>
        <v>45667</v>
      </c>
      <c r="P300" s="10">
        <f>_xlfn.XLOOKUP(Posts5[[#This Row],[Campaign_Name]],'[1]Campaign Metadata'!A:A,'[1]Campaign Metadata'!C:C)</f>
        <v>45698</v>
      </c>
      <c r="Q300" s="10" t="str">
        <f>IF(AND(Posts5[[#This Row],[Date]] &gt;=Posts5[[#This Row],[Campaign Start Date]], Posts5[[#This Row],[Date]]&lt;= Posts5[[#This Row],[Campaign end date]]), "During","Before")</f>
        <v>During</v>
      </c>
    </row>
    <row r="301" spans="1:17" x14ac:dyDescent="0.3">
      <c r="A301" s="10" t="s">
        <v>239</v>
      </c>
      <c r="B301" s="10" t="s">
        <v>7</v>
      </c>
      <c r="C301" s="11">
        <v>45673</v>
      </c>
      <c r="D301" s="10" t="s">
        <v>15</v>
      </c>
      <c r="E301" s="10" t="s">
        <v>44</v>
      </c>
      <c r="F301" s="10">
        <v>2605</v>
      </c>
      <c r="G301" s="10">
        <v>282</v>
      </c>
      <c r="H301" s="10">
        <v>148</v>
      </c>
      <c r="I301" s="10">
        <v>32201</v>
      </c>
      <c r="J301" s="10">
        <v>49583</v>
      </c>
      <c r="K301" s="10">
        <v>241</v>
      </c>
      <c r="L301" s="10" t="s">
        <v>5</v>
      </c>
      <c r="M301" s="10" t="s">
        <v>34</v>
      </c>
      <c r="N301" s="10">
        <f>(Posts5[[#This Row],[Likes]]+Posts5[[#This Row],[Shares]]+Posts5[[#This Row],[Comments]])/Posts5[[#This Row],[Impressions]]</f>
        <v>9.4251731312692155E-2</v>
      </c>
      <c r="O301" s="11">
        <f>_xlfn.XLOOKUP(Posts5[[#This Row],[Campaign_Name]],'[1]Campaign Metadata'!A:A,'[1]Campaign Metadata'!B:B)</f>
        <v>45667</v>
      </c>
      <c r="P301" s="10">
        <f>_xlfn.XLOOKUP(Posts5[[#This Row],[Campaign_Name]],'[1]Campaign Metadata'!A:A,'[1]Campaign Metadata'!C:C)</f>
        <v>45698</v>
      </c>
      <c r="Q301" s="10" t="str">
        <f>IF(AND(Posts5[[#This Row],[Date]] &gt;=Posts5[[#This Row],[Campaign Start Date]], Posts5[[#This Row],[Date]]&lt;= Posts5[[#This Row],[Campaign end date]]), "During","Before")</f>
        <v>During</v>
      </c>
    </row>
    <row r="302" spans="1:17" x14ac:dyDescent="0.3">
      <c r="A302" s="10" t="s">
        <v>240</v>
      </c>
      <c r="B302" s="10" t="s">
        <v>9</v>
      </c>
      <c r="C302" s="11">
        <v>45346</v>
      </c>
      <c r="D302" s="10" t="s">
        <v>11</v>
      </c>
      <c r="E302" s="10" t="s">
        <v>32</v>
      </c>
      <c r="F302" s="10">
        <v>4221</v>
      </c>
      <c r="G302" s="10">
        <v>307</v>
      </c>
      <c r="H302" s="10">
        <v>58</v>
      </c>
      <c r="I302" s="10">
        <v>45080</v>
      </c>
      <c r="J302" s="10">
        <v>37214</v>
      </c>
      <c r="K302" s="10">
        <v>240</v>
      </c>
      <c r="L302" s="10" t="s">
        <v>10</v>
      </c>
      <c r="M302" s="10" t="s">
        <v>68</v>
      </c>
      <c r="N302" s="10">
        <f>(Posts5[[#This Row],[Likes]]+Posts5[[#This Row],[Shares]]+Posts5[[#This Row],[Comments]])/Posts5[[#This Row],[Impressions]]</f>
        <v>0.10173025732031943</v>
      </c>
      <c r="O302" s="11">
        <f>_xlfn.XLOOKUP(Posts5[[#This Row],[Campaign_Name]],'[1]Campaign Metadata'!A:A,'[1]Campaign Metadata'!B:B)</f>
        <v>45458</v>
      </c>
      <c r="P302" s="10">
        <f>_xlfn.XLOOKUP(Posts5[[#This Row],[Campaign_Name]],'[1]Campaign Metadata'!A:A,'[1]Campaign Metadata'!C:C)</f>
        <v>45488</v>
      </c>
      <c r="Q302" s="10" t="str">
        <f>IF(AND(Posts5[[#This Row],[Date]] &gt;=Posts5[[#This Row],[Campaign Start Date]], Posts5[[#This Row],[Date]]&lt;= Posts5[[#This Row],[Campaign end date]]), "During","Before")</f>
        <v>Before</v>
      </c>
    </row>
    <row r="303" spans="1:17" x14ac:dyDescent="0.3">
      <c r="A303" s="10" t="s">
        <v>240</v>
      </c>
      <c r="B303" s="10" t="s">
        <v>9</v>
      </c>
      <c r="C303" s="11">
        <v>45346</v>
      </c>
      <c r="D303" s="10" t="s">
        <v>11</v>
      </c>
      <c r="E303" s="10" t="s">
        <v>32</v>
      </c>
      <c r="F303" s="10">
        <v>4221</v>
      </c>
      <c r="G303" s="10">
        <v>307</v>
      </c>
      <c r="H303" s="10">
        <v>58</v>
      </c>
      <c r="I303" s="10">
        <v>45080</v>
      </c>
      <c r="J303" s="10">
        <v>37214</v>
      </c>
      <c r="K303" s="10">
        <v>240</v>
      </c>
      <c r="L303" s="10" t="s">
        <v>12</v>
      </c>
      <c r="M303" s="10" t="s">
        <v>68</v>
      </c>
      <c r="N303" s="10">
        <f>(Posts5[[#This Row],[Likes]]+Posts5[[#This Row],[Shares]]+Posts5[[#This Row],[Comments]])/Posts5[[#This Row],[Impressions]]</f>
        <v>0.10173025732031943</v>
      </c>
      <c r="O303" s="11">
        <f>_xlfn.XLOOKUP(Posts5[[#This Row],[Campaign_Name]],'[1]Campaign Metadata'!A:A,'[1]Campaign Metadata'!B:B)</f>
        <v>45458</v>
      </c>
      <c r="P303" s="10">
        <f>_xlfn.XLOOKUP(Posts5[[#This Row],[Campaign_Name]],'[1]Campaign Metadata'!A:A,'[1]Campaign Metadata'!C:C)</f>
        <v>45488</v>
      </c>
      <c r="Q303" s="10" t="str">
        <f>IF(AND(Posts5[[#This Row],[Date]] &gt;=Posts5[[#This Row],[Campaign Start Date]], Posts5[[#This Row],[Date]]&lt;= Posts5[[#This Row],[Campaign end date]]), "During","Before")</f>
        <v>Before</v>
      </c>
    </row>
    <row r="304" spans="1:17" x14ac:dyDescent="0.3">
      <c r="A304" s="10" t="s">
        <v>241</v>
      </c>
      <c r="B304" s="10" t="s">
        <v>8</v>
      </c>
      <c r="C304" s="11">
        <v>45551</v>
      </c>
      <c r="D304" s="10" t="s">
        <v>13</v>
      </c>
      <c r="E304" s="10" t="s">
        <v>47</v>
      </c>
      <c r="F304" s="10">
        <v>4422</v>
      </c>
      <c r="G304" s="10">
        <v>434</v>
      </c>
      <c r="H304" s="10">
        <v>156</v>
      </c>
      <c r="I304" s="10">
        <v>56165</v>
      </c>
      <c r="J304" s="10">
        <v>52431</v>
      </c>
      <c r="K304" s="10">
        <v>173</v>
      </c>
      <c r="L304" s="10" t="s">
        <v>10</v>
      </c>
      <c r="M304" s="10" t="s">
        <v>34</v>
      </c>
      <c r="N304" s="10">
        <f>(Posts5[[#This Row],[Likes]]+Posts5[[#This Row],[Shares]]+Posts5[[#This Row],[Comments]])/Posts5[[#This Row],[Impressions]]</f>
        <v>8.9237069349238848E-2</v>
      </c>
      <c r="O304" s="11">
        <f>_xlfn.XLOOKUP(Posts5[[#This Row],[Campaign_Name]],'[1]Campaign Metadata'!A:A,'[1]Campaign Metadata'!B:B)</f>
        <v>45667</v>
      </c>
      <c r="P304" s="10">
        <f>_xlfn.XLOOKUP(Posts5[[#This Row],[Campaign_Name]],'[1]Campaign Metadata'!A:A,'[1]Campaign Metadata'!C:C)</f>
        <v>45698</v>
      </c>
      <c r="Q304" s="10" t="str">
        <f>IF(AND(Posts5[[#This Row],[Date]] &gt;=Posts5[[#This Row],[Campaign Start Date]], Posts5[[#This Row],[Date]]&lt;= Posts5[[#This Row],[Campaign end date]]), "During","Before")</f>
        <v>Before</v>
      </c>
    </row>
    <row r="305" spans="1:17" x14ac:dyDescent="0.3">
      <c r="A305" s="10" t="s">
        <v>241</v>
      </c>
      <c r="B305" s="10" t="s">
        <v>8</v>
      </c>
      <c r="C305" s="11">
        <v>45551</v>
      </c>
      <c r="D305" s="10" t="s">
        <v>13</v>
      </c>
      <c r="E305" s="10" t="s">
        <v>47</v>
      </c>
      <c r="F305" s="10">
        <v>4422</v>
      </c>
      <c r="G305" s="10">
        <v>434</v>
      </c>
      <c r="H305" s="10">
        <v>156</v>
      </c>
      <c r="I305" s="10">
        <v>56165</v>
      </c>
      <c r="J305" s="10">
        <v>52431</v>
      </c>
      <c r="K305" s="10">
        <v>173</v>
      </c>
      <c r="L305" s="10" t="s">
        <v>14</v>
      </c>
      <c r="M305" s="10" t="s">
        <v>34</v>
      </c>
      <c r="N305" s="10">
        <f>(Posts5[[#This Row],[Likes]]+Posts5[[#This Row],[Shares]]+Posts5[[#This Row],[Comments]])/Posts5[[#This Row],[Impressions]]</f>
        <v>8.9237069349238848E-2</v>
      </c>
      <c r="O305" s="11">
        <f>_xlfn.XLOOKUP(Posts5[[#This Row],[Campaign_Name]],'[1]Campaign Metadata'!A:A,'[1]Campaign Metadata'!B:B)</f>
        <v>45667</v>
      </c>
      <c r="P305" s="10">
        <f>_xlfn.XLOOKUP(Posts5[[#This Row],[Campaign_Name]],'[1]Campaign Metadata'!A:A,'[1]Campaign Metadata'!C:C)</f>
        <v>45698</v>
      </c>
      <c r="Q305" s="10" t="str">
        <f>IF(AND(Posts5[[#This Row],[Date]] &gt;=Posts5[[#This Row],[Campaign Start Date]], Posts5[[#This Row],[Date]]&lt;= Posts5[[#This Row],[Campaign end date]]), "During","Before")</f>
        <v>Before</v>
      </c>
    </row>
    <row r="306" spans="1:17" x14ac:dyDescent="0.3">
      <c r="A306" s="10" t="s">
        <v>242</v>
      </c>
      <c r="B306" s="10" t="s">
        <v>9</v>
      </c>
      <c r="C306" s="11">
        <v>45447</v>
      </c>
      <c r="D306" s="10" t="s">
        <v>11</v>
      </c>
      <c r="E306" s="10" t="s">
        <v>42</v>
      </c>
      <c r="F306" s="10">
        <v>1211</v>
      </c>
      <c r="G306" s="10">
        <v>431</v>
      </c>
      <c r="H306" s="10">
        <v>83</v>
      </c>
      <c r="I306" s="10">
        <v>26532</v>
      </c>
      <c r="J306" s="10">
        <v>47305</v>
      </c>
      <c r="K306" s="10">
        <v>232</v>
      </c>
      <c r="L306" s="10" t="s">
        <v>10</v>
      </c>
      <c r="M306" s="10" t="s">
        <v>68</v>
      </c>
      <c r="N306" s="10">
        <f>(Posts5[[#This Row],[Likes]]+Posts5[[#This Row],[Shares]]+Posts5[[#This Row],[Comments]])/Posts5[[#This Row],[Impressions]]</f>
        <v>6.5015829941203071E-2</v>
      </c>
      <c r="O306" s="11">
        <f>_xlfn.XLOOKUP(Posts5[[#This Row],[Campaign_Name]],'[1]Campaign Metadata'!A:A,'[1]Campaign Metadata'!B:B)</f>
        <v>45458</v>
      </c>
      <c r="P306" s="10">
        <f>_xlfn.XLOOKUP(Posts5[[#This Row],[Campaign_Name]],'[1]Campaign Metadata'!A:A,'[1]Campaign Metadata'!C:C)</f>
        <v>45488</v>
      </c>
      <c r="Q306" s="10" t="str">
        <f>IF(AND(Posts5[[#This Row],[Date]] &gt;=Posts5[[#This Row],[Campaign Start Date]], Posts5[[#This Row],[Date]]&lt;= Posts5[[#This Row],[Campaign end date]]), "During","Before")</f>
        <v>Before</v>
      </c>
    </row>
    <row r="307" spans="1:17" x14ac:dyDescent="0.3">
      <c r="A307" s="10" t="s">
        <v>242</v>
      </c>
      <c r="B307" s="10" t="s">
        <v>9</v>
      </c>
      <c r="C307" s="11">
        <v>45447</v>
      </c>
      <c r="D307" s="10" t="s">
        <v>11</v>
      </c>
      <c r="E307" s="10" t="s">
        <v>42</v>
      </c>
      <c r="F307" s="10">
        <v>1211</v>
      </c>
      <c r="G307" s="10">
        <v>431</v>
      </c>
      <c r="H307" s="10">
        <v>83</v>
      </c>
      <c r="I307" s="10">
        <v>26532</v>
      </c>
      <c r="J307" s="10">
        <v>47305</v>
      </c>
      <c r="K307" s="10">
        <v>232</v>
      </c>
      <c r="L307" s="10" t="s">
        <v>12</v>
      </c>
      <c r="M307" s="10" t="s">
        <v>68</v>
      </c>
      <c r="N307" s="10">
        <f>(Posts5[[#This Row],[Likes]]+Posts5[[#This Row],[Shares]]+Posts5[[#This Row],[Comments]])/Posts5[[#This Row],[Impressions]]</f>
        <v>6.5015829941203071E-2</v>
      </c>
      <c r="O307" s="11">
        <f>_xlfn.XLOOKUP(Posts5[[#This Row],[Campaign_Name]],'[1]Campaign Metadata'!A:A,'[1]Campaign Metadata'!B:B)</f>
        <v>45458</v>
      </c>
      <c r="P307" s="10">
        <f>_xlfn.XLOOKUP(Posts5[[#This Row],[Campaign_Name]],'[1]Campaign Metadata'!A:A,'[1]Campaign Metadata'!C:C)</f>
        <v>45488</v>
      </c>
      <c r="Q307" s="10" t="str">
        <f>IF(AND(Posts5[[#This Row],[Date]] &gt;=Posts5[[#This Row],[Campaign Start Date]], Posts5[[#This Row],[Date]]&lt;= Posts5[[#This Row],[Campaign end date]]), "During","Before")</f>
        <v>Before</v>
      </c>
    </row>
    <row r="308" spans="1:17" x14ac:dyDescent="0.3">
      <c r="A308" s="10" t="s">
        <v>243</v>
      </c>
      <c r="B308" s="10" t="s">
        <v>8</v>
      </c>
      <c r="C308" s="11">
        <v>45422</v>
      </c>
      <c r="D308" s="10" t="s">
        <v>13</v>
      </c>
      <c r="E308" s="10" t="s">
        <v>36</v>
      </c>
      <c r="F308" s="10">
        <v>2784</v>
      </c>
      <c r="G308" s="10">
        <v>111</v>
      </c>
      <c r="H308" s="10">
        <v>399</v>
      </c>
      <c r="I308" s="10">
        <v>58366</v>
      </c>
      <c r="J308" s="10">
        <v>69512</v>
      </c>
      <c r="K308" s="10">
        <v>269</v>
      </c>
      <c r="L308" s="10" t="s">
        <v>14</v>
      </c>
      <c r="M308" s="10" t="s">
        <v>34</v>
      </c>
      <c r="N308" s="10">
        <f>(Posts5[[#This Row],[Likes]]+Posts5[[#This Row],[Shares]]+Posts5[[#This Row],[Comments]])/Posts5[[#This Row],[Impressions]]</f>
        <v>5.6436966727204191E-2</v>
      </c>
      <c r="O308" s="11">
        <f>_xlfn.XLOOKUP(Posts5[[#This Row],[Campaign_Name]],'[1]Campaign Metadata'!A:A,'[1]Campaign Metadata'!B:B)</f>
        <v>45667</v>
      </c>
      <c r="P308" s="10">
        <f>_xlfn.XLOOKUP(Posts5[[#This Row],[Campaign_Name]],'[1]Campaign Metadata'!A:A,'[1]Campaign Metadata'!C:C)</f>
        <v>45698</v>
      </c>
      <c r="Q308" s="10" t="str">
        <f>IF(AND(Posts5[[#This Row],[Date]] &gt;=Posts5[[#This Row],[Campaign Start Date]], Posts5[[#This Row],[Date]]&lt;= Posts5[[#This Row],[Campaign end date]]), "During","Before")</f>
        <v>Before</v>
      </c>
    </row>
    <row r="309" spans="1:17" x14ac:dyDescent="0.3">
      <c r="A309" s="10" t="s">
        <v>243</v>
      </c>
      <c r="B309" s="10" t="s">
        <v>8</v>
      </c>
      <c r="C309" s="11">
        <v>45422</v>
      </c>
      <c r="D309" s="10" t="s">
        <v>13</v>
      </c>
      <c r="E309" s="10" t="s">
        <v>36</v>
      </c>
      <c r="F309" s="10">
        <v>2784</v>
      </c>
      <c r="G309" s="10">
        <v>111</v>
      </c>
      <c r="H309" s="10">
        <v>399</v>
      </c>
      <c r="I309" s="10">
        <v>58366</v>
      </c>
      <c r="J309" s="10">
        <v>69512</v>
      </c>
      <c r="K309" s="10">
        <v>269</v>
      </c>
      <c r="L309" s="10" t="s">
        <v>5</v>
      </c>
      <c r="M309" s="10" t="s">
        <v>34</v>
      </c>
      <c r="N309" s="10">
        <f>(Posts5[[#This Row],[Likes]]+Posts5[[#This Row],[Shares]]+Posts5[[#This Row],[Comments]])/Posts5[[#This Row],[Impressions]]</f>
        <v>5.6436966727204191E-2</v>
      </c>
      <c r="O309" s="11">
        <f>_xlfn.XLOOKUP(Posts5[[#This Row],[Campaign_Name]],'[1]Campaign Metadata'!A:A,'[1]Campaign Metadata'!B:B)</f>
        <v>45667</v>
      </c>
      <c r="P309" s="10">
        <f>_xlfn.XLOOKUP(Posts5[[#This Row],[Campaign_Name]],'[1]Campaign Metadata'!A:A,'[1]Campaign Metadata'!C:C)</f>
        <v>45698</v>
      </c>
      <c r="Q309" s="10" t="str">
        <f>IF(AND(Posts5[[#This Row],[Date]] &gt;=Posts5[[#This Row],[Campaign Start Date]], Posts5[[#This Row],[Date]]&lt;= Posts5[[#This Row],[Campaign end date]]), "During","Before")</f>
        <v>Before</v>
      </c>
    </row>
    <row r="310" spans="1:17" x14ac:dyDescent="0.3">
      <c r="A310" s="10" t="s">
        <v>244</v>
      </c>
      <c r="B310" s="10" t="s">
        <v>9</v>
      </c>
      <c r="C310" s="11">
        <v>45305</v>
      </c>
      <c r="D310" s="10" t="s">
        <v>15</v>
      </c>
      <c r="E310" s="10" t="s">
        <v>39</v>
      </c>
      <c r="F310" s="10">
        <v>3634</v>
      </c>
      <c r="G310" s="10">
        <v>280</v>
      </c>
      <c r="H310" s="10">
        <v>399</v>
      </c>
      <c r="I310" s="10">
        <v>40256</v>
      </c>
      <c r="J310" s="10">
        <v>52605</v>
      </c>
      <c r="K310" s="10">
        <v>213</v>
      </c>
      <c r="L310" s="10" t="s">
        <v>10</v>
      </c>
      <c r="M310" s="10" t="s">
        <v>37</v>
      </c>
      <c r="N310" s="10">
        <f>(Posts5[[#This Row],[Likes]]+Posts5[[#This Row],[Shares]]+Posts5[[#This Row],[Comments]])/Posts5[[#This Row],[Impressions]]</f>
        <v>0.10713930842607314</v>
      </c>
      <c r="O310" s="11">
        <f>_xlfn.XLOOKUP(Posts5[[#This Row],[Campaign_Name]],'[1]Campaign Metadata'!A:A,'[1]Campaign Metadata'!B:B)</f>
        <v>45717</v>
      </c>
      <c r="P310" s="10">
        <f>_xlfn.XLOOKUP(Posts5[[#This Row],[Campaign_Name]],'[1]Campaign Metadata'!A:A,'[1]Campaign Metadata'!C:C)</f>
        <v>45747</v>
      </c>
      <c r="Q310" s="10" t="str">
        <f>IF(AND(Posts5[[#This Row],[Date]] &gt;=Posts5[[#This Row],[Campaign Start Date]], Posts5[[#This Row],[Date]]&lt;= Posts5[[#This Row],[Campaign end date]]), "During","Before")</f>
        <v>Before</v>
      </c>
    </row>
    <row r="311" spans="1:17" x14ac:dyDescent="0.3">
      <c r="A311" s="10" t="s">
        <v>244</v>
      </c>
      <c r="B311" s="10" t="s">
        <v>9</v>
      </c>
      <c r="C311" s="11">
        <v>45305</v>
      </c>
      <c r="D311" s="10" t="s">
        <v>15</v>
      </c>
      <c r="E311" s="10" t="s">
        <v>39</v>
      </c>
      <c r="F311" s="10">
        <v>3634</v>
      </c>
      <c r="G311" s="10">
        <v>280</v>
      </c>
      <c r="H311" s="10">
        <v>399</v>
      </c>
      <c r="I311" s="10">
        <v>40256</v>
      </c>
      <c r="J311" s="10">
        <v>52605</v>
      </c>
      <c r="K311" s="10">
        <v>213</v>
      </c>
      <c r="L311" s="10" t="s">
        <v>16</v>
      </c>
      <c r="M311" s="10" t="s">
        <v>37</v>
      </c>
      <c r="N311" s="10">
        <f>(Posts5[[#This Row],[Likes]]+Posts5[[#This Row],[Shares]]+Posts5[[#This Row],[Comments]])/Posts5[[#This Row],[Impressions]]</f>
        <v>0.10713930842607314</v>
      </c>
      <c r="O311" s="11">
        <f>_xlfn.XLOOKUP(Posts5[[#This Row],[Campaign_Name]],'[1]Campaign Metadata'!A:A,'[1]Campaign Metadata'!B:B)</f>
        <v>45717</v>
      </c>
      <c r="P311" s="10">
        <f>_xlfn.XLOOKUP(Posts5[[#This Row],[Campaign_Name]],'[1]Campaign Metadata'!A:A,'[1]Campaign Metadata'!C:C)</f>
        <v>45747</v>
      </c>
      <c r="Q311" s="10" t="str">
        <f>IF(AND(Posts5[[#This Row],[Date]] &gt;=Posts5[[#This Row],[Campaign Start Date]], Posts5[[#This Row],[Date]]&lt;= Posts5[[#This Row],[Campaign end date]]), "During","Before")</f>
        <v>Before</v>
      </c>
    </row>
    <row r="312" spans="1:17" x14ac:dyDescent="0.3">
      <c r="A312" s="10" t="s">
        <v>245</v>
      </c>
      <c r="B312" s="10" t="s">
        <v>7</v>
      </c>
      <c r="C312" s="11">
        <v>45669</v>
      </c>
      <c r="D312" s="10" t="s">
        <v>15</v>
      </c>
      <c r="E312" s="10" t="s">
        <v>59</v>
      </c>
      <c r="F312" s="10">
        <v>1771</v>
      </c>
      <c r="G312" s="10">
        <v>487</v>
      </c>
      <c r="H312" s="10">
        <v>272</v>
      </c>
      <c r="I312" s="10">
        <v>48810</v>
      </c>
      <c r="J312" s="10">
        <v>48084</v>
      </c>
      <c r="K312" s="10">
        <v>272</v>
      </c>
      <c r="L312" s="10" t="s">
        <v>12</v>
      </c>
      <c r="M312" s="10" t="s">
        <v>34</v>
      </c>
      <c r="N312" s="10">
        <f>(Posts5[[#This Row],[Likes]]+Posts5[[#This Row],[Shares]]+Posts5[[#This Row],[Comments]])/Posts5[[#This Row],[Impressions]]</f>
        <v>5.1833640647408315E-2</v>
      </c>
      <c r="O312" s="11">
        <f>_xlfn.XLOOKUP(Posts5[[#This Row],[Campaign_Name]],'[1]Campaign Metadata'!A:A,'[1]Campaign Metadata'!B:B)</f>
        <v>45667</v>
      </c>
      <c r="P312" s="10">
        <f>_xlfn.XLOOKUP(Posts5[[#This Row],[Campaign_Name]],'[1]Campaign Metadata'!A:A,'[1]Campaign Metadata'!C:C)</f>
        <v>45698</v>
      </c>
      <c r="Q312" s="10" t="str">
        <f>IF(AND(Posts5[[#This Row],[Date]] &gt;=Posts5[[#This Row],[Campaign Start Date]], Posts5[[#This Row],[Date]]&lt;= Posts5[[#This Row],[Campaign end date]]), "During","Before")</f>
        <v>During</v>
      </c>
    </row>
    <row r="313" spans="1:17" x14ac:dyDescent="0.3">
      <c r="A313" s="10" t="s">
        <v>245</v>
      </c>
      <c r="B313" s="10" t="s">
        <v>7</v>
      </c>
      <c r="C313" s="11">
        <v>45669</v>
      </c>
      <c r="D313" s="10" t="s">
        <v>15</v>
      </c>
      <c r="E313" s="10" t="s">
        <v>59</v>
      </c>
      <c r="F313" s="10">
        <v>1771</v>
      </c>
      <c r="G313" s="10">
        <v>487</v>
      </c>
      <c r="H313" s="10">
        <v>272</v>
      </c>
      <c r="I313" s="10">
        <v>48810</v>
      </c>
      <c r="J313" s="10">
        <v>48084</v>
      </c>
      <c r="K313" s="10">
        <v>272</v>
      </c>
      <c r="L313" s="10" t="s">
        <v>5</v>
      </c>
      <c r="M313" s="10" t="s">
        <v>34</v>
      </c>
      <c r="N313" s="10">
        <f>(Posts5[[#This Row],[Likes]]+Posts5[[#This Row],[Shares]]+Posts5[[#This Row],[Comments]])/Posts5[[#This Row],[Impressions]]</f>
        <v>5.1833640647408315E-2</v>
      </c>
      <c r="O313" s="11">
        <f>_xlfn.XLOOKUP(Posts5[[#This Row],[Campaign_Name]],'[1]Campaign Metadata'!A:A,'[1]Campaign Metadata'!B:B)</f>
        <v>45667</v>
      </c>
      <c r="P313" s="10">
        <f>_xlfn.XLOOKUP(Posts5[[#This Row],[Campaign_Name]],'[1]Campaign Metadata'!A:A,'[1]Campaign Metadata'!C:C)</f>
        <v>45698</v>
      </c>
      <c r="Q313" s="10" t="str">
        <f>IF(AND(Posts5[[#This Row],[Date]] &gt;=Posts5[[#This Row],[Campaign Start Date]], Posts5[[#This Row],[Date]]&lt;= Posts5[[#This Row],[Campaign end date]]), "During","Before")</f>
        <v>During</v>
      </c>
    </row>
    <row r="314" spans="1:17" x14ac:dyDescent="0.3">
      <c r="A314" s="10" t="s">
        <v>246</v>
      </c>
      <c r="B314" s="10" t="s">
        <v>9</v>
      </c>
      <c r="C314" s="11">
        <v>45634</v>
      </c>
      <c r="D314" s="10" t="s">
        <v>15</v>
      </c>
      <c r="E314" s="10" t="s">
        <v>53</v>
      </c>
      <c r="F314" s="10">
        <v>1424</v>
      </c>
      <c r="G314" s="10">
        <v>396</v>
      </c>
      <c r="H314" s="10">
        <v>312</v>
      </c>
      <c r="I314" s="10">
        <v>59517</v>
      </c>
      <c r="J314" s="10">
        <v>46102</v>
      </c>
      <c r="K314" s="10">
        <v>239</v>
      </c>
      <c r="L314" s="10" t="s">
        <v>10</v>
      </c>
      <c r="M314" s="10" t="s">
        <v>37</v>
      </c>
      <c r="N314" s="10">
        <f>(Posts5[[#This Row],[Likes]]+Posts5[[#This Row],[Shares]]+Posts5[[#This Row],[Comments]])/Posts5[[#This Row],[Impressions]]</f>
        <v>3.5821698002251455E-2</v>
      </c>
      <c r="O314" s="11">
        <f>_xlfn.XLOOKUP(Posts5[[#This Row],[Campaign_Name]],'[1]Campaign Metadata'!A:A,'[1]Campaign Metadata'!B:B)</f>
        <v>45717</v>
      </c>
      <c r="P314" s="10">
        <f>_xlfn.XLOOKUP(Posts5[[#This Row],[Campaign_Name]],'[1]Campaign Metadata'!A:A,'[1]Campaign Metadata'!C:C)</f>
        <v>45747</v>
      </c>
      <c r="Q314" s="10" t="str">
        <f>IF(AND(Posts5[[#This Row],[Date]] &gt;=Posts5[[#This Row],[Campaign Start Date]], Posts5[[#This Row],[Date]]&lt;= Posts5[[#This Row],[Campaign end date]]), "During","Before")</f>
        <v>Before</v>
      </c>
    </row>
    <row r="315" spans="1:17" x14ac:dyDescent="0.3">
      <c r="A315" s="10" t="s">
        <v>246</v>
      </c>
      <c r="B315" s="10" t="s">
        <v>9</v>
      </c>
      <c r="C315" s="11">
        <v>45634</v>
      </c>
      <c r="D315" s="10" t="s">
        <v>15</v>
      </c>
      <c r="E315" s="10" t="s">
        <v>53</v>
      </c>
      <c r="F315" s="10">
        <v>1424</v>
      </c>
      <c r="G315" s="10">
        <v>396</v>
      </c>
      <c r="H315" s="10">
        <v>312</v>
      </c>
      <c r="I315" s="10">
        <v>59517</v>
      </c>
      <c r="J315" s="10">
        <v>46102</v>
      </c>
      <c r="K315" s="10">
        <v>239</v>
      </c>
      <c r="L315" s="10" t="s">
        <v>16</v>
      </c>
      <c r="M315" s="10" t="s">
        <v>37</v>
      </c>
      <c r="N315" s="10">
        <f>(Posts5[[#This Row],[Likes]]+Posts5[[#This Row],[Shares]]+Posts5[[#This Row],[Comments]])/Posts5[[#This Row],[Impressions]]</f>
        <v>3.5821698002251455E-2</v>
      </c>
      <c r="O315" s="11">
        <f>_xlfn.XLOOKUP(Posts5[[#This Row],[Campaign_Name]],'[1]Campaign Metadata'!A:A,'[1]Campaign Metadata'!B:B)</f>
        <v>45717</v>
      </c>
      <c r="P315" s="10">
        <f>_xlfn.XLOOKUP(Posts5[[#This Row],[Campaign_Name]],'[1]Campaign Metadata'!A:A,'[1]Campaign Metadata'!C:C)</f>
        <v>45747</v>
      </c>
      <c r="Q315" s="10" t="str">
        <f>IF(AND(Posts5[[#This Row],[Date]] &gt;=Posts5[[#This Row],[Campaign Start Date]], Posts5[[#This Row],[Date]]&lt;= Posts5[[#This Row],[Campaign end date]]), "During","Before")</f>
        <v>Before</v>
      </c>
    </row>
    <row r="316" spans="1:17" x14ac:dyDescent="0.3">
      <c r="A316" s="10" t="s">
        <v>247</v>
      </c>
      <c r="B316" s="10" t="s">
        <v>8</v>
      </c>
      <c r="C316" s="11">
        <v>45689</v>
      </c>
      <c r="D316" s="10" t="s">
        <v>13</v>
      </c>
      <c r="E316" s="10" t="s">
        <v>53</v>
      </c>
      <c r="F316" s="10">
        <v>1079</v>
      </c>
      <c r="G316" s="10">
        <v>265</v>
      </c>
      <c r="H316" s="10">
        <v>190</v>
      </c>
      <c r="I316" s="10">
        <v>43786</v>
      </c>
      <c r="J316" s="10">
        <v>72428</v>
      </c>
      <c r="K316" s="10">
        <v>222</v>
      </c>
      <c r="L316" s="10" t="s">
        <v>12</v>
      </c>
      <c r="M316" s="10" t="s">
        <v>34</v>
      </c>
      <c r="N316" s="10">
        <f>(Posts5[[#This Row],[Likes]]+Posts5[[#This Row],[Shares]]+Posts5[[#This Row],[Comments]])/Posts5[[#This Row],[Impressions]]</f>
        <v>3.5034029141734799E-2</v>
      </c>
      <c r="O316" s="11">
        <f>_xlfn.XLOOKUP(Posts5[[#This Row],[Campaign_Name]],'[1]Campaign Metadata'!A:A,'[1]Campaign Metadata'!B:B)</f>
        <v>45667</v>
      </c>
      <c r="P316" s="10">
        <f>_xlfn.XLOOKUP(Posts5[[#This Row],[Campaign_Name]],'[1]Campaign Metadata'!A:A,'[1]Campaign Metadata'!C:C)</f>
        <v>45698</v>
      </c>
      <c r="Q316" s="10" t="str">
        <f>IF(AND(Posts5[[#This Row],[Date]] &gt;=Posts5[[#This Row],[Campaign Start Date]], Posts5[[#This Row],[Date]]&lt;= Posts5[[#This Row],[Campaign end date]]), "During","Before")</f>
        <v>During</v>
      </c>
    </row>
    <row r="317" spans="1:17" x14ac:dyDescent="0.3">
      <c r="A317" s="10" t="s">
        <v>247</v>
      </c>
      <c r="B317" s="10" t="s">
        <v>8</v>
      </c>
      <c r="C317" s="11">
        <v>45689</v>
      </c>
      <c r="D317" s="10" t="s">
        <v>13</v>
      </c>
      <c r="E317" s="10" t="s">
        <v>53</v>
      </c>
      <c r="F317" s="10">
        <v>1079</v>
      </c>
      <c r="G317" s="10">
        <v>265</v>
      </c>
      <c r="H317" s="10">
        <v>190</v>
      </c>
      <c r="I317" s="10">
        <v>43786</v>
      </c>
      <c r="J317" s="10">
        <v>72428</v>
      </c>
      <c r="K317" s="10">
        <v>222</v>
      </c>
      <c r="L317" s="10" t="s">
        <v>5</v>
      </c>
      <c r="M317" s="10" t="s">
        <v>34</v>
      </c>
      <c r="N317" s="10">
        <f>(Posts5[[#This Row],[Likes]]+Posts5[[#This Row],[Shares]]+Posts5[[#This Row],[Comments]])/Posts5[[#This Row],[Impressions]]</f>
        <v>3.5034029141734799E-2</v>
      </c>
      <c r="O317" s="11">
        <f>_xlfn.XLOOKUP(Posts5[[#This Row],[Campaign_Name]],'[1]Campaign Metadata'!A:A,'[1]Campaign Metadata'!B:B)</f>
        <v>45667</v>
      </c>
      <c r="P317" s="10">
        <f>_xlfn.XLOOKUP(Posts5[[#This Row],[Campaign_Name]],'[1]Campaign Metadata'!A:A,'[1]Campaign Metadata'!C:C)</f>
        <v>45698</v>
      </c>
      <c r="Q317" s="10" t="str">
        <f>IF(AND(Posts5[[#This Row],[Date]] &gt;=Posts5[[#This Row],[Campaign Start Date]], Posts5[[#This Row],[Date]]&lt;= Posts5[[#This Row],[Campaign end date]]), "During","Before")</f>
        <v>During</v>
      </c>
    </row>
    <row r="318" spans="1:17" x14ac:dyDescent="0.3">
      <c r="A318" s="10" t="s">
        <v>248</v>
      </c>
      <c r="B318" s="10" t="s">
        <v>8</v>
      </c>
      <c r="C318" s="11">
        <v>45484</v>
      </c>
      <c r="D318" s="10" t="s">
        <v>13</v>
      </c>
      <c r="E318" s="10" t="s">
        <v>49</v>
      </c>
      <c r="F318" s="10">
        <v>4247</v>
      </c>
      <c r="G318" s="10">
        <v>179</v>
      </c>
      <c r="H318" s="10">
        <v>175</v>
      </c>
      <c r="I318" s="10">
        <v>32991</v>
      </c>
      <c r="J318" s="10">
        <v>70120</v>
      </c>
      <c r="K318" s="10">
        <v>276</v>
      </c>
      <c r="L318" s="10" t="s">
        <v>12</v>
      </c>
      <c r="M318" s="10" t="s">
        <v>34</v>
      </c>
      <c r="N318" s="10">
        <f>(Posts5[[#This Row],[Likes]]+Posts5[[#This Row],[Shares]]+Posts5[[#This Row],[Comments]])/Posts5[[#This Row],[Impressions]]</f>
        <v>0.13946227759085811</v>
      </c>
      <c r="O318" s="11">
        <f>_xlfn.XLOOKUP(Posts5[[#This Row],[Campaign_Name]],'[1]Campaign Metadata'!A:A,'[1]Campaign Metadata'!B:B)</f>
        <v>45667</v>
      </c>
      <c r="P318" s="10">
        <f>_xlfn.XLOOKUP(Posts5[[#This Row],[Campaign_Name]],'[1]Campaign Metadata'!A:A,'[1]Campaign Metadata'!C:C)</f>
        <v>45698</v>
      </c>
      <c r="Q318" s="10" t="str">
        <f>IF(AND(Posts5[[#This Row],[Date]] &gt;=Posts5[[#This Row],[Campaign Start Date]], Posts5[[#This Row],[Date]]&lt;= Posts5[[#This Row],[Campaign end date]]), "During","Before")</f>
        <v>Before</v>
      </c>
    </row>
    <row r="319" spans="1:17" x14ac:dyDescent="0.3">
      <c r="A319" s="10" t="s">
        <v>248</v>
      </c>
      <c r="B319" s="10" t="s">
        <v>8</v>
      </c>
      <c r="C319" s="11">
        <v>45484</v>
      </c>
      <c r="D319" s="10" t="s">
        <v>13</v>
      </c>
      <c r="E319" s="10" t="s">
        <v>49</v>
      </c>
      <c r="F319" s="10">
        <v>4247</v>
      </c>
      <c r="G319" s="10">
        <v>179</v>
      </c>
      <c r="H319" s="10">
        <v>175</v>
      </c>
      <c r="I319" s="10">
        <v>32991</v>
      </c>
      <c r="J319" s="10">
        <v>70120</v>
      </c>
      <c r="K319" s="10">
        <v>276</v>
      </c>
      <c r="L319" s="10" t="s">
        <v>5</v>
      </c>
      <c r="M319" s="10" t="s">
        <v>34</v>
      </c>
      <c r="N319" s="10">
        <f>(Posts5[[#This Row],[Likes]]+Posts5[[#This Row],[Shares]]+Posts5[[#This Row],[Comments]])/Posts5[[#This Row],[Impressions]]</f>
        <v>0.13946227759085811</v>
      </c>
      <c r="O319" s="11">
        <f>_xlfn.XLOOKUP(Posts5[[#This Row],[Campaign_Name]],'[1]Campaign Metadata'!A:A,'[1]Campaign Metadata'!B:B)</f>
        <v>45667</v>
      </c>
      <c r="P319" s="10">
        <f>_xlfn.XLOOKUP(Posts5[[#This Row],[Campaign_Name]],'[1]Campaign Metadata'!A:A,'[1]Campaign Metadata'!C:C)</f>
        <v>45698</v>
      </c>
      <c r="Q319" s="10" t="str">
        <f>IF(AND(Posts5[[#This Row],[Date]] &gt;=Posts5[[#This Row],[Campaign Start Date]], Posts5[[#This Row],[Date]]&lt;= Posts5[[#This Row],[Campaign end date]]), "During","Before")</f>
        <v>Before</v>
      </c>
    </row>
    <row r="320" spans="1:17" x14ac:dyDescent="0.3">
      <c r="A320" s="10" t="s">
        <v>249</v>
      </c>
      <c r="B320" s="10" t="s">
        <v>8</v>
      </c>
      <c r="C320" s="11">
        <v>45369</v>
      </c>
      <c r="D320" s="10" t="s">
        <v>15</v>
      </c>
      <c r="E320" s="10" t="s">
        <v>39</v>
      </c>
      <c r="F320" s="10">
        <v>2033</v>
      </c>
      <c r="G320" s="10">
        <v>420</v>
      </c>
      <c r="H320" s="10">
        <v>94</v>
      </c>
      <c r="I320" s="10">
        <v>56290</v>
      </c>
      <c r="J320" s="10">
        <v>57391</v>
      </c>
      <c r="K320" s="10">
        <v>196</v>
      </c>
      <c r="L320" s="10" t="s">
        <v>5</v>
      </c>
      <c r="M320" s="10" t="s">
        <v>34</v>
      </c>
      <c r="N320" s="10">
        <f>(Posts5[[#This Row],[Likes]]+Posts5[[#This Row],[Shares]]+Posts5[[#This Row],[Comments]])/Posts5[[#This Row],[Impressions]]</f>
        <v>4.5247823769763724E-2</v>
      </c>
      <c r="O320" s="11">
        <f>_xlfn.XLOOKUP(Posts5[[#This Row],[Campaign_Name]],'[1]Campaign Metadata'!A:A,'[1]Campaign Metadata'!B:B)</f>
        <v>45667</v>
      </c>
      <c r="P320" s="10">
        <f>_xlfn.XLOOKUP(Posts5[[#This Row],[Campaign_Name]],'[1]Campaign Metadata'!A:A,'[1]Campaign Metadata'!C:C)</f>
        <v>45698</v>
      </c>
      <c r="Q320" s="10" t="str">
        <f>IF(AND(Posts5[[#This Row],[Date]] &gt;=Posts5[[#This Row],[Campaign Start Date]], Posts5[[#This Row],[Date]]&lt;= Posts5[[#This Row],[Campaign end date]]), "During","Before")</f>
        <v>Before</v>
      </c>
    </row>
    <row r="321" spans="1:17" x14ac:dyDescent="0.3">
      <c r="A321" s="10" t="s">
        <v>250</v>
      </c>
      <c r="B321" s="10" t="s">
        <v>8</v>
      </c>
      <c r="C321" s="11">
        <v>45547</v>
      </c>
      <c r="D321" s="10" t="s">
        <v>13</v>
      </c>
      <c r="E321" s="10" t="s">
        <v>42</v>
      </c>
      <c r="F321" s="10">
        <v>1839</v>
      </c>
      <c r="G321" s="10">
        <v>223</v>
      </c>
      <c r="H321" s="10">
        <v>171</v>
      </c>
      <c r="I321" s="10">
        <v>35459</v>
      </c>
      <c r="J321" s="10">
        <v>69988</v>
      </c>
      <c r="K321" s="10">
        <v>114</v>
      </c>
      <c r="L321" s="10" t="s">
        <v>14</v>
      </c>
      <c r="M321" s="10" t="s">
        <v>34</v>
      </c>
      <c r="N321" s="10">
        <f>(Posts5[[#This Row],[Likes]]+Posts5[[#This Row],[Shares]]+Posts5[[#This Row],[Comments]])/Posts5[[#This Row],[Impressions]]</f>
        <v>6.2974139146620034E-2</v>
      </c>
      <c r="O321" s="11">
        <f>_xlfn.XLOOKUP(Posts5[[#This Row],[Campaign_Name]],'[1]Campaign Metadata'!A:A,'[1]Campaign Metadata'!B:B)</f>
        <v>45667</v>
      </c>
      <c r="P321" s="10">
        <f>_xlfn.XLOOKUP(Posts5[[#This Row],[Campaign_Name]],'[1]Campaign Metadata'!A:A,'[1]Campaign Metadata'!C:C)</f>
        <v>45698</v>
      </c>
      <c r="Q321" s="10" t="str">
        <f>IF(AND(Posts5[[#This Row],[Date]] &gt;=Posts5[[#This Row],[Campaign Start Date]], Posts5[[#This Row],[Date]]&lt;= Posts5[[#This Row],[Campaign end date]]), "During","Before")</f>
        <v>Before</v>
      </c>
    </row>
    <row r="322" spans="1:17" x14ac:dyDescent="0.3">
      <c r="A322" s="10" t="s">
        <v>250</v>
      </c>
      <c r="B322" s="10" t="s">
        <v>8</v>
      </c>
      <c r="C322" s="11">
        <v>45547</v>
      </c>
      <c r="D322" s="10" t="s">
        <v>13</v>
      </c>
      <c r="E322" s="10" t="s">
        <v>42</v>
      </c>
      <c r="F322" s="10">
        <v>1839</v>
      </c>
      <c r="G322" s="10">
        <v>223</v>
      </c>
      <c r="H322" s="10">
        <v>171</v>
      </c>
      <c r="I322" s="10">
        <v>35459</v>
      </c>
      <c r="J322" s="10">
        <v>69988</v>
      </c>
      <c r="K322" s="10">
        <v>114</v>
      </c>
      <c r="L322" s="10" t="s">
        <v>5</v>
      </c>
      <c r="M322" s="10" t="s">
        <v>34</v>
      </c>
      <c r="N322" s="10">
        <f>(Posts5[[#This Row],[Likes]]+Posts5[[#This Row],[Shares]]+Posts5[[#This Row],[Comments]])/Posts5[[#This Row],[Impressions]]</f>
        <v>6.2974139146620034E-2</v>
      </c>
      <c r="O322" s="11">
        <f>_xlfn.XLOOKUP(Posts5[[#This Row],[Campaign_Name]],'[1]Campaign Metadata'!A:A,'[1]Campaign Metadata'!B:B)</f>
        <v>45667</v>
      </c>
      <c r="P322" s="10">
        <f>_xlfn.XLOOKUP(Posts5[[#This Row],[Campaign_Name]],'[1]Campaign Metadata'!A:A,'[1]Campaign Metadata'!C:C)</f>
        <v>45698</v>
      </c>
      <c r="Q322" s="10" t="str">
        <f>IF(AND(Posts5[[#This Row],[Date]] &gt;=Posts5[[#This Row],[Campaign Start Date]], Posts5[[#This Row],[Date]]&lt;= Posts5[[#This Row],[Campaign end date]]), "During","Before")</f>
        <v>Before</v>
      </c>
    </row>
    <row r="323" spans="1:17" x14ac:dyDescent="0.3">
      <c r="A323" s="10" t="s">
        <v>251</v>
      </c>
      <c r="B323" s="10" t="s">
        <v>8</v>
      </c>
      <c r="C323" s="11">
        <v>45302</v>
      </c>
      <c r="D323" s="10" t="s">
        <v>13</v>
      </c>
      <c r="E323" s="10" t="s">
        <v>42</v>
      </c>
      <c r="F323" s="10">
        <v>2340</v>
      </c>
      <c r="G323" s="10">
        <v>141</v>
      </c>
      <c r="H323" s="10">
        <v>206</v>
      </c>
      <c r="I323" s="10">
        <v>24916</v>
      </c>
      <c r="J323" s="10">
        <v>30582</v>
      </c>
      <c r="K323" s="10">
        <v>157</v>
      </c>
      <c r="L323" s="10" t="s">
        <v>12</v>
      </c>
      <c r="M323" s="10" t="s">
        <v>34</v>
      </c>
      <c r="N323" s="10">
        <f>(Posts5[[#This Row],[Likes]]+Posts5[[#This Row],[Shares]]+Posts5[[#This Row],[Comments]])/Posts5[[#This Row],[Impressions]]</f>
        <v>0.10784235029699792</v>
      </c>
      <c r="O323" s="11">
        <f>_xlfn.XLOOKUP(Posts5[[#This Row],[Campaign_Name]],'[1]Campaign Metadata'!A:A,'[1]Campaign Metadata'!B:B)</f>
        <v>45667</v>
      </c>
      <c r="P323" s="10">
        <f>_xlfn.XLOOKUP(Posts5[[#This Row],[Campaign_Name]],'[1]Campaign Metadata'!A:A,'[1]Campaign Metadata'!C:C)</f>
        <v>45698</v>
      </c>
      <c r="Q323" s="10" t="str">
        <f>IF(AND(Posts5[[#This Row],[Date]] &gt;=Posts5[[#This Row],[Campaign Start Date]], Posts5[[#This Row],[Date]]&lt;= Posts5[[#This Row],[Campaign end date]]), "During","Before")</f>
        <v>Before</v>
      </c>
    </row>
    <row r="324" spans="1:17" x14ac:dyDescent="0.3">
      <c r="A324" s="10" t="s">
        <v>251</v>
      </c>
      <c r="B324" s="10" t="s">
        <v>8</v>
      </c>
      <c r="C324" s="11">
        <v>45302</v>
      </c>
      <c r="D324" s="10" t="s">
        <v>13</v>
      </c>
      <c r="E324" s="10" t="s">
        <v>42</v>
      </c>
      <c r="F324" s="10">
        <v>2340</v>
      </c>
      <c r="G324" s="10">
        <v>141</v>
      </c>
      <c r="H324" s="10">
        <v>206</v>
      </c>
      <c r="I324" s="10">
        <v>24916</v>
      </c>
      <c r="J324" s="10">
        <v>30582</v>
      </c>
      <c r="K324" s="10">
        <v>157</v>
      </c>
      <c r="L324" s="10" t="s">
        <v>5</v>
      </c>
      <c r="M324" s="10" t="s">
        <v>34</v>
      </c>
      <c r="N324" s="10">
        <f>(Posts5[[#This Row],[Likes]]+Posts5[[#This Row],[Shares]]+Posts5[[#This Row],[Comments]])/Posts5[[#This Row],[Impressions]]</f>
        <v>0.10784235029699792</v>
      </c>
      <c r="O324" s="11">
        <f>_xlfn.XLOOKUP(Posts5[[#This Row],[Campaign_Name]],'[1]Campaign Metadata'!A:A,'[1]Campaign Metadata'!B:B)</f>
        <v>45667</v>
      </c>
      <c r="P324" s="10">
        <f>_xlfn.XLOOKUP(Posts5[[#This Row],[Campaign_Name]],'[1]Campaign Metadata'!A:A,'[1]Campaign Metadata'!C:C)</f>
        <v>45698</v>
      </c>
      <c r="Q324" s="10" t="str">
        <f>IF(AND(Posts5[[#This Row],[Date]] &gt;=Posts5[[#This Row],[Campaign Start Date]], Posts5[[#This Row],[Date]]&lt;= Posts5[[#This Row],[Campaign end date]]), "During","Before")</f>
        <v>Before</v>
      </c>
    </row>
    <row r="325" spans="1:17" x14ac:dyDescent="0.3">
      <c r="A325" s="10" t="s">
        <v>252</v>
      </c>
      <c r="B325" s="10" t="s">
        <v>7</v>
      </c>
      <c r="C325" s="11">
        <v>45571</v>
      </c>
      <c r="D325" s="10" t="s">
        <v>15</v>
      </c>
      <c r="E325" s="10" t="s">
        <v>53</v>
      </c>
      <c r="F325" s="10">
        <v>2080</v>
      </c>
      <c r="G325" s="10">
        <v>389</v>
      </c>
      <c r="H325" s="10">
        <v>92</v>
      </c>
      <c r="I325" s="10">
        <v>30971</v>
      </c>
      <c r="J325" s="10">
        <v>25347</v>
      </c>
      <c r="K325" s="10">
        <v>111</v>
      </c>
      <c r="L325" s="10" t="s">
        <v>10</v>
      </c>
      <c r="M325" s="10" t="s">
        <v>37</v>
      </c>
      <c r="N325" s="10">
        <f>(Posts5[[#This Row],[Likes]]+Posts5[[#This Row],[Shares]]+Posts5[[#This Row],[Comments]])/Posts5[[#This Row],[Impressions]]</f>
        <v>8.2690258629040073E-2</v>
      </c>
      <c r="O325" s="11">
        <f>_xlfn.XLOOKUP(Posts5[[#This Row],[Campaign_Name]],'[1]Campaign Metadata'!A:A,'[1]Campaign Metadata'!B:B)</f>
        <v>45717</v>
      </c>
      <c r="P325" s="10">
        <f>_xlfn.XLOOKUP(Posts5[[#This Row],[Campaign_Name]],'[1]Campaign Metadata'!A:A,'[1]Campaign Metadata'!C:C)</f>
        <v>45747</v>
      </c>
      <c r="Q325" s="10" t="str">
        <f>IF(AND(Posts5[[#This Row],[Date]] &gt;=Posts5[[#This Row],[Campaign Start Date]], Posts5[[#This Row],[Date]]&lt;= Posts5[[#This Row],[Campaign end date]]), "During","Before")</f>
        <v>Before</v>
      </c>
    </row>
    <row r="326" spans="1:17" x14ac:dyDescent="0.3">
      <c r="A326" s="10" t="s">
        <v>253</v>
      </c>
      <c r="B326" s="10" t="s">
        <v>8</v>
      </c>
      <c r="C326" s="11">
        <v>45656</v>
      </c>
      <c r="D326" s="10" t="s">
        <v>15</v>
      </c>
      <c r="E326" s="10" t="s">
        <v>49</v>
      </c>
      <c r="F326" s="10">
        <v>4214</v>
      </c>
      <c r="G326" s="10">
        <v>286</v>
      </c>
      <c r="H326" s="10">
        <v>127</v>
      </c>
      <c r="I326" s="10">
        <v>47293</v>
      </c>
      <c r="J326" s="10">
        <v>27184</v>
      </c>
      <c r="K326" s="10">
        <v>232</v>
      </c>
      <c r="L326" s="10" t="s">
        <v>5</v>
      </c>
      <c r="M326" s="10" t="s">
        <v>34</v>
      </c>
      <c r="N326" s="10">
        <f>(Posts5[[#This Row],[Likes]]+Posts5[[#This Row],[Shares]]+Posts5[[#This Row],[Comments]])/Posts5[[#This Row],[Impressions]]</f>
        <v>9.7836889180216949E-2</v>
      </c>
      <c r="O326" s="11">
        <f>_xlfn.XLOOKUP(Posts5[[#This Row],[Campaign_Name]],'[1]Campaign Metadata'!A:A,'[1]Campaign Metadata'!B:B)</f>
        <v>45667</v>
      </c>
      <c r="P326" s="10">
        <f>_xlfn.XLOOKUP(Posts5[[#This Row],[Campaign_Name]],'[1]Campaign Metadata'!A:A,'[1]Campaign Metadata'!C:C)</f>
        <v>45698</v>
      </c>
      <c r="Q326" s="10" t="str">
        <f>IF(AND(Posts5[[#This Row],[Date]] &gt;=Posts5[[#This Row],[Campaign Start Date]], Posts5[[#This Row],[Date]]&lt;= Posts5[[#This Row],[Campaign end date]]), "During","Before")</f>
        <v>Before</v>
      </c>
    </row>
    <row r="327" spans="1:17" x14ac:dyDescent="0.3">
      <c r="A327" s="10" t="s">
        <v>254</v>
      </c>
      <c r="B327" s="10" t="s">
        <v>8</v>
      </c>
      <c r="C327" s="11">
        <v>45763</v>
      </c>
      <c r="D327" s="10" t="s">
        <v>15</v>
      </c>
      <c r="E327" s="10" t="s">
        <v>42</v>
      </c>
      <c r="F327" s="10">
        <v>3792</v>
      </c>
      <c r="G327" s="10">
        <v>315</v>
      </c>
      <c r="H327" s="10">
        <v>120</v>
      </c>
      <c r="I327" s="10">
        <v>54592</v>
      </c>
      <c r="J327" s="10">
        <v>67886</v>
      </c>
      <c r="K327" s="10">
        <v>117</v>
      </c>
      <c r="L327" s="10" t="s">
        <v>12</v>
      </c>
      <c r="M327" s="10" t="s">
        <v>37</v>
      </c>
      <c r="N327" s="10">
        <f>(Posts5[[#This Row],[Likes]]+Posts5[[#This Row],[Shares]]+Posts5[[#This Row],[Comments]])/Posts5[[#This Row],[Impressions]]</f>
        <v>7.7428927315357568E-2</v>
      </c>
      <c r="O327" s="11">
        <f>_xlfn.XLOOKUP(Posts5[[#This Row],[Campaign_Name]],'[1]Campaign Metadata'!A:A,'[1]Campaign Metadata'!B:B)</f>
        <v>45717</v>
      </c>
      <c r="P327" s="10">
        <f>_xlfn.XLOOKUP(Posts5[[#This Row],[Campaign_Name]],'[1]Campaign Metadata'!A:A,'[1]Campaign Metadata'!C:C)</f>
        <v>45747</v>
      </c>
      <c r="Q327" s="10" t="str">
        <f>IF(AND(Posts5[[#This Row],[Date]] &gt;=Posts5[[#This Row],[Campaign Start Date]], Posts5[[#This Row],[Date]]&lt;= Posts5[[#This Row],[Campaign end date]]), "During","Before")</f>
        <v>Before</v>
      </c>
    </row>
    <row r="328" spans="1:17" x14ac:dyDescent="0.3">
      <c r="A328" s="10" t="s">
        <v>255</v>
      </c>
      <c r="B328" s="10" t="s">
        <v>8</v>
      </c>
      <c r="C328" s="11">
        <v>45525</v>
      </c>
      <c r="D328" s="10" t="s">
        <v>13</v>
      </c>
      <c r="E328" s="10" t="s">
        <v>36</v>
      </c>
      <c r="F328" s="10">
        <v>3989</v>
      </c>
      <c r="G328" s="10">
        <v>476</v>
      </c>
      <c r="H328" s="10">
        <v>128</v>
      </c>
      <c r="I328" s="10">
        <v>57569</v>
      </c>
      <c r="J328" s="10">
        <v>40193</v>
      </c>
      <c r="K328" s="10">
        <v>222</v>
      </c>
      <c r="L328" s="10" t="s">
        <v>10</v>
      </c>
      <c r="M328" s="10" t="s">
        <v>34</v>
      </c>
      <c r="N328" s="10">
        <f>(Posts5[[#This Row],[Likes]]+Posts5[[#This Row],[Shares]]+Posts5[[#This Row],[Comments]])/Posts5[[#This Row],[Impressions]]</f>
        <v>7.9782521843353188E-2</v>
      </c>
      <c r="O328" s="11">
        <f>_xlfn.XLOOKUP(Posts5[[#This Row],[Campaign_Name]],'[1]Campaign Metadata'!A:A,'[1]Campaign Metadata'!B:B)</f>
        <v>45667</v>
      </c>
      <c r="P328" s="10">
        <f>_xlfn.XLOOKUP(Posts5[[#This Row],[Campaign_Name]],'[1]Campaign Metadata'!A:A,'[1]Campaign Metadata'!C:C)</f>
        <v>45698</v>
      </c>
      <c r="Q328" s="10" t="str">
        <f>IF(AND(Posts5[[#This Row],[Date]] &gt;=Posts5[[#This Row],[Campaign Start Date]], Posts5[[#This Row],[Date]]&lt;= Posts5[[#This Row],[Campaign end date]]), "During","Before")</f>
        <v>Before</v>
      </c>
    </row>
    <row r="329" spans="1:17" x14ac:dyDescent="0.3">
      <c r="A329" s="10" t="s">
        <v>255</v>
      </c>
      <c r="B329" s="10" t="s">
        <v>8</v>
      </c>
      <c r="C329" s="11">
        <v>45525</v>
      </c>
      <c r="D329" s="10" t="s">
        <v>13</v>
      </c>
      <c r="E329" s="10" t="s">
        <v>36</v>
      </c>
      <c r="F329" s="10">
        <v>3989</v>
      </c>
      <c r="G329" s="10">
        <v>476</v>
      </c>
      <c r="H329" s="10">
        <v>128</v>
      </c>
      <c r="I329" s="10">
        <v>57569</v>
      </c>
      <c r="J329" s="10">
        <v>40193</v>
      </c>
      <c r="K329" s="10">
        <v>222</v>
      </c>
      <c r="L329" s="10" t="s">
        <v>14</v>
      </c>
      <c r="M329" s="10" t="s">
        <v>34</v>
      </c>
      <c r="N329" s="10">
        <f>(Posts5[[#This Row],[Likes]]+Posts5[[#This Row],[Shares]]+Posts5[[#This Row],[Comments]])/Posts5[[#This Row],[Impressions]]</f>
        <v>7.9782521843353188E-2</v>
      </c>
      <c r="O329" s="11">
        <f>_xlfn.XLOOKUP(Posts5[[#This Row],[Campaign_Name]],'[1]Campaign Metadata'!A:A,'[1]Campaign Metadata'!B:B)</f>
        <v>45667</v>
      </c>
      <c r="P329" s="10">
        <f>_xlfn.XLOOKUP(Posts5[[#This Row],[Campaign_Name]],'[1]Campaign Metadata'!A:A,'[1]Campaign Metadata'!C:C)</f>
        <v>45698</v>
      </c>
      <c r="Q329" s="10" t="str">
        <f>IF(AND(Posts5[[#This Row],[Date]] &gt;=Posts5[[#This Row],[Campaign Start Date]], Posts5[[#This Row],[Date]]&lt;= Posts5[[#This Row],[Campaign end date]]), "During","Before")</f>
        <v>Before</v>
      </c>
    </row>
    <row r="330" spans="1:17" x14ac:dyDescent="0.3">
      <c r="A330" s="10" t="s">
        <v>256</v>
      </c>
      <c r="B330" s="10" t="s">
        <v>8</v>
      </c>
      <c r="C330" s="11">
        <v>45387</v>
      </c>
      <c r="D330" s="10" t="s">
        <v>13</v>
      </c>
      <c r="E330" s="10" t="s">
        <v>42</v>
      </c>
      <c r="F330" s="10">
        <v>2857</v>
      </c>
      <c r="G330" s="10">
        <v>443</v>
      </c>
      <c r="H330" s="10">
        <v>359</v>
      </c>
      <c r="I330" s="10">
        <v>51519</v>
      </c>
      <c r="J330" s="10">
        <v>28256</v>
      </c>
      <c r="K330" s="10">
        <v>155</v>
      </c>
      <c r="L330" s="10" t="s">
        <v>12</v>
      </c>
      <c r="M330" s="10" t="s">
        <v>34</v>
      </c>
      <c r="N330" s="10">
        <f>(Posts5[[#This Row],[Likes]]+Posts5[[#This Row],[Shares]]+Posts5[[#This Row],[Comments]])/Posts5[[#This Row],[Impressions]]</f>
        <v>7.1022341272152026E-2</v>
      </c>
      <c r="O330" s="11">
        <f>_xlfn.XLOOKUP(Posts5[[#This Row],[Campaign_Name]],'[1]Campaign Metadata'!A:A,'[1]Campaign Metadata'!B:B)</f>
        <v>45667</v>
      </c>
      <c r="P330" s="10">
        <f>_xlfn.XLOOKUP(Posts5[[#This Row],[Campaign_Name]],'[1]Campaign Metadata'!A:A,'[1]Campaign Metadata'!C:C)</f>
        <v>45698</v>
      </c>
      <c r="Q330" s="10" t="str">
        <f>IF(AND(Posts5[[#This Row],[Date]] &gt;=Posts5[[#This Row],[Campaign Start Date]], Posts5[[#This Row],[Date]]&lt;= Posts5[[#This Row],[Campaign end date]]), "During","Before")</f>
        <v>Before</v>
      </c>
    </row>
    <row r="331" spans="1:17" x14ac:dyDescent="0.3">
      <c r="A331" s="10" t="s">
        <v>256</v>
      </c>
      <c r="B331" s="10" t="s">
        <v>8</v>
      </c>
      <c r="C331" s="11">
        <v>45387</v>
      </c>
      <c r="D331" s="10" t="s">
        <v>13</v>
      </c>
      <c r="E331" s="10" t="s">
        <v>42</v>
      </c>
      <c r="F331" s="10">
        <v>2857</v>
      </c>
      <c r="G331" s="10">
        <v>443</v>
      </c>
      <c r="H331" s="10">
        <v>359</v>
      </c>
      <c r="I331" s="10">
        <v>51519</v>
      </c>
      <c r="J331" s="10">
        <v>28256</v>
      </c>
      <c r="K331" s="10">
        <v>155</v>
      </c>
      <c r="L331" s="10" t="s">
        <v>5</v>
      </c>
      <c r="M331" s="10" t="s">
        <v>34</v>
      </c>
      <c r="N331" s="10">
        <f>(Posts5[[#This Row],[Likes]]+Posts5[[#This Row],[Shares]]+Posts5[[#This Row],[Comments]])/Posts5[[#This Row],[Impressions]]</f>
        <v>7.1022341272152026E-2</v>
      </c>
      <c r="O331" s="11">
        <f>_xlfn.XLOOKUP(Posts5[[#This Row],[Campaign_Name]],'[1]Campaign Metadata'!A:A,'[1]Campaign Metadata'!B:B)</f>
        <v>45667</v>
      </c>
      <c r="P331" s="10">
        <f>_xlfn.XLOOKUP(Posts5[[#This Row],[Campaign_Name]],'[1]Campaign Metadata'!A:A,'[1]Campaign Metadata'!C:C)</f>
        <v>45698</v>
      </c>
      <c r="Q331" s="10" t="str">
        <f>IF(AND(Posts5[[#This Row],[Date]] &gt;=Posts5[[#This Row],[Campaign Start Date]], Posts5[[#This Row],[Date]]&lt;= Posts5[[#This Row],[Campaign end date]]), "During","Before")</f>
        <v>Before</v>
      </c>
    </row>
    <row r="332" spans="1:17" x14ac:dyDescent="0.3">
      <c r="A332" s="10" t="s">
        <v>257</v>
      </c>
      <c r="B332" s="10" t="s">
        <v>8</v>
      </c>
      <c r="C332" s="11">
        <v>45754</v>
      </c>
      <c r="D332" s="10" t="s">
        <v>15</v>
      </c>
      <c r="E332" s="10" t="s">
        <v>59</v>
      </c>
      <c r="F332" s="10">
        <v>1403</v>
      </c>
      <c r="G332" s="10">
        <v>385</v>
      </c>
      <c r="H332" s="10">
        <v>344</v>
      </c>
      <c r="I332" s="10">
        <v>54223</v>
      </c>
      <c r="J332" s="10">
        <v>72595</v>
      </c>
      <c r="K332" s="10">
        <v>239</v>
      </c>
      <c r="L332" s="10" t="s">
        <v>12</v>
      </c>
      <c r="M332" s="10" t="s">
        <v>37</v>
      </c>
      <c r="N332" s="10">
        <f>(Posts5[[#This Row],[Likes]]+Posts5[[#This Row],[Shares]]+Posts5[[#This Row],[Comments]])/Posts5[[#This Row],[Impressions]]</f>
        <v>3.9319108127547353E-2</v>
      </c>
      <c r="O332" s="11">
        <f>_xlfn.XLOOKUP(Posts5[[#This Row],[Campaign_Name]],'[1]Campaign Metadata'!A:A,'[1]Campaign Metadata'!B:B)</f>
        <v>45717</v>
      </c>
      <c r="P332" s="10">
        <f>_xlfn.XLOOKUP(Posts5[[#This Row],[Campaign_Name]],'[1]Campaign Metadata'!A:A,'[1]Campaign Metadata'!C:C)</f>
        <v>45747</v>
      </c>
      <c r="Q332" s="10" t="str">
        <f>IF(AND(Posts5[[#This Row],[Date]] &gt;=Posts5[[#This Row],[Campaign Start Date]], Posts5[[#This Row],[Date]]&lt;= Posts5[[#This Row],[Campaign end date]]), "During","Before")</f>
        <v>Before</v>
      </c>
    </row>
    <row r="333" spans="1:17" x14ac:dyDescent="0.3">
      <c r="A333" s="10" t="s">
        <v>258</v>
      </c>
      <c r="B333" s="10" t="s">
        <v>8</v>
      </c>
      <c r="C333" s="11">
        <v>45492</v>
      </c>
      <c r="D333" s="10" t="s">
        <v>13</v>
      </c>
      <c r="E333" s="10" t="s">
        <v>47</v>
      </c>
      <c r="F333" s="10">
        <v>3071</v>
      </c>
      <c r="G333" s="10">
        <v>126</v>
      </c>
      <c r="H333" s="10">
        <v>200</v>
      </c>
      <c r="I333" s="10">
        <v>44013</v>
      </c>
      <c r="J333" s="10">
        <v>44679</v>
      </c>
      <c r="K333" s="10">
        <v>118</v>
      </c>
      <c r="L333" s="10" t="s">
        <v>10</v>
      </c>
      <c r="M333" s="10" t="s">
        <v>34</v>
      </c>
      <c r="N333" s="10">
        <f>(Posts5[[#This Row],[Likes]]+Posts5[[#This Row],[Shares]]+Posts5[[#This Row],[Comments]])/Posts5[[#This Row],[Impressions]]</f>
        <v>7.7181741758116915E-2</v>
      </c>
      <c r="O333" s="11">
        <f>_xlfn.XLOOKUP(Posts5[[#This Row],[Campaign_Name]],'[1]Campaign Metadata'!A:A,'[1]Campaign Metadata'!B:B)</f>
        <v>45667</v>
      </c>
      <c r="P333" s="10">
        <f>_xlfn.XLOOKUP(Posts5[[#This Row],[Campaign_Name]],'[1]Campaign Metadata'!A:A,'[1]Campaign Metadata'!C:C)</f>
        <v>45698</v>
      </c>
      <c r="Q333" s="10" t="str">
        <f>IF(AND(Posts5[[#This Row],[Date]] &gt;=Posts5[[#This Row],[Campaign Start Date]], Posts5[[#This Row],[Date]]&lt;= Posts5[[#This Row],[Campaign end date]]), "During","Before")</f>
        <v>Before</v>
      </c>
    </row>
    <row r="334" spans="1:17" x14ac:dyDescent="0.3">
      <c r="A334" s="10" t="s">
        <v>258</v>
      </c>
      <c r="B334" s="10" t="s">
        <v>8</v>
      </c>
      <c r="C334" s="11">
        <v>45492</v>
      </c>
      <c r="D334" s="10" t="s">
        <v>13</v>
      </c>
      <c r="E334" s="10" t="s">
        <v>47</v>
      </c>
      <c r="F334" s="10">
        <v>3071</v>
      </c>
      <c r="G334" s="10">
        <v>126</v>
      </c>
      <c r="H334" s="10">
        <v>200</v>
      </c>
      <c r="I334" s="10">
        <v>44013</v>
      </c>
      <c r="J334" s="10">
        <v>44679</v>
      </c>
      <c r="K334" s="10">
        <v>118</v>
      </c>
      <c r="L334" s="10" t="s">
        <v>14</v>
      </c>
      <c r="M334" s="10" t="s">
        <v>34</v>
      </c>
      <c r="N334" s="10">
        <f>(Posts5[[#This Row],[Likes]]+Posts5[[#This Row],[Shares]]+Posts5[[#This Row],[Comments]])/Posts5[[#This Row],[Impressions]]</f>
        <v>7.7181741758116915E-2</v>
      </c>
      <c r="O334" s="11">
        <f>_xlfn.XLOOKUP(Posts5[[#This Row],[Campaign_Name]],'[1]Campaign Metadata'!A:A,'[1]Campaign Metadata'!B:B)</f>
        <v>45667</v>
      </c>
      <c r="P334" s="10">
        <f>_xlfn.XLOOKUP(Posts5[[#This Row],[Campaign_Name]],'[1]Campaign Metadata'!A:A,'[1]Campaign Metadata'!C:C)</f>
        <v>45698</v>
      </c>
      <c r="Q334" s="10" t="str">
        <f>IF(AND(Posts5[[#This Row],[Date]] &gt;=Posts5[[#This Row],[Campaign Start Date]], Posts5[[#This Row],[Date]]&lt;= Posts5[[#This Row],[Campaign end date]]), "During","Before")</f>
        <v>Before</v>
      </c>
    </row>
    <row r="335" spans="1:17" x14ac:dyDescent="0.3">
      <c r="A335" s="10" t="s">
        <v>259</v>
      </c>
      <c r="B335" s="10" t="s">
        <v>8</v>
      </c>
      <c r="C335" s="11">
        <v>45780</v>
      </c>
      <c r="D335" s="10" t="s">
        <v>13</v>
      </c>
      <c r="E335" s="10" t="s">
        <v>53</v>
      </c>
      <c r="F335" s="10">
        <v>1010</v>
      </c>
      <c r="G335" s="10">
        <v>361</v>
      </c>
      <c r="H335" s="10">
        <v>240</v>
      </c>
      <c r="I335" s="10">
        <v>47229</v>
      </c>
      <c r="J335" s="10">
        <v>72573</v>
      </c>
      <c r="K335" s="10">
        <v>275</v>
      </c>
      <c r="L335" s="10" t="s">
        <v>12</v>
      </c>
      <c r="M335" s="10" t="s">
        <v>34</v>
      </c>
      <c r="N335" s="10">
        <f>(Posts5[[#This Row],[Likes]]+Posts5[[#This Row],[Shares]]+Posts5[[#This Row],[Comments]])/Posts5[[#This Row],[Impressions]]</f>
        <v>3.4110398272247981E-2</v>
      </c>
      <c r="O335" s="11">
        <f>_xlfn.XLOOKUP(Posts5[[#This Row],[Campaign_Name]],'[1]Campaign Metadata'!A:A,'[1]Campaign Metadata'!B:B)</f>
        <v>45667</v>
      </c>
      <c r="P335" s="10">
        <f>_xlfn.XLOOKUP(Posts5[[#This Row],[Campaign_Name]],'[1]Campaign Metadata'!A:A,'[1]Campaign Metadata'!C:C)</f>
        <v>45698</v>
      </c>
      <c r="Q335" s="10" t="str">
        <f>IF(AND(Posts5[[#This Row],[Date]] &gt;=Posts5[[#This Row],[Campaign Start Date]], Posts5[[#This Row],[Date]]&lt;= Posts5[[#This Row],[Campaign end date]]), "During","Before")</f>
        <v>Before</v>
      </c>
    </row>
    <row r="336" spans="1:17" x14ac:dyDescent="0.3">
      <c r="A336" s="10" t="s">
        <v>259</v>
      </c>
      <c r="B336" s="10" t="s">
        <v>8</v>
      </c>
      <c r="C336" s="11">
        <v>45780</v>
      </c>
      <c r="D336" s="10" t="s">
        <v>13</v>
      </c>
      <c r="E336" s="10" t="s">
        <v>53</v>
      </c>
      <c r="F336" s="10">
        <v>1010</v>
      </c>
      <c r="G336" s="10">
        <v>361</v>
      </c>
      <c r="H336" s="10">
        <v>240</v>
      </c>
      <c r="I336" s="10">
        <v>47229</v>
      </c>
      <c r="J336" s="10">
        <v>72573</v>
      </c>
      <c r="K336" s="10">
        <v>275</v>
      </c>
      <c r="L336" s="10" t="s">
        <v>5</v>
      </c>
      <c r="M336" s="10" t="s">
        <v>34</v>
      </c>
      <c r="N336" s="10">
        <f>(Posts5[[#This Row],[Likes]]+Posts5[[#This Row],[Shares]]+Posts5[[#This Row],[Comments]])/Posts5[[#This Row],[Impressions]]</f>
        <v>3.4110398272247981E-2</v>
      </c>
      <c r="O336" s="11">
        <f>_xlfn.XLOOKUP(Posts5[[#This Row],[Campaign_Name]],'[1]Campaign Metadata'!A:A,'[1]Campaign Metadata'!B:B)</f>
        <v>45667</v>
      </c>
      <c r="P336" s="10">
        <f>_xlfn.XLOOKUP(Posts5[[#This Row],[Campaign_Name]],'[1]Campaign Metadata'!A:A,'[1]Campaign Metadata'!C:C)</f>
        <v>45698</v>
      </c>
      <c r="Q336" s="10" t="str">
        <f>IF(AND(Posts5[[#This Row],[Date]] &gt;=Posts5[[#This Row],[Campaign Start Date]], Posts5[[#This Row],[Date]]&lt;= Posts5[[#This Row],[Campaign end date]]), "During","Before")</f>
        <v>Before</v>
      </c>
    </row>
    <row r="337" spans="1:17" x14ac:dyDescent="0.3">
      <c r="A337" s="10" t="s">
        <v>260</v>
      </c>
      <c r="B337" s="10" t="s">
        <v>8</v>
      </c>
      <c r="C337" s="11">
        <v>45396</v>
      </c>
      <c r="D337" s="10" t="s">
        <v>13</v>
      </c>
      <c r="E337" s="10" t="s">
        <v>32</v>
      </c>
      <c r="F337" s="10">
        <v>1295</v>
      </c>
      <c r="G337" s="10">
        <v>153</v>
      </c>
      <c r="H337" s="10">
        <v>81</v>
      </c>
      <c r="I337" s="10">
        <v>48350</v>
      </c>
      <c r="J337" s="10">
        <v>61033</v>
      </c>
      <c r="K337" s="10">
        <v>232</v>
      </c>
      <c r="L337" s="10" t="s">
        <v>10</v>
      </c>
      <c r="M337" s="10" t="s">
        <v>34</v>
      </c>
      <c r="N337" s="10">
        <f>(Posts5[[#This Row],[Likes]]+Posts5[[#This Row],[Shares]]+Posts5[[#This Row],[Comments]])/Posts5[[#This Row],[Impressions]]</f>
        <v>3.1623578076525334E-2</v>
      </c>
      <c r="O337" s="11">
        <f>_xlfn.XLOOKUP(Posts5[[#This Row],[Campaign_Name]],'[1]Campaign Metadata'!A:A,'[1]Campaign Metadata'!B:B)</f>
        <v>45667</v>
      </c>
      <c r="P337" s="10">
        <f>_xlfn.XLOOKUP(Posts5[[#This Row],[Campaign_Name]],'[1]Campaign Metadata'!A:A,'[1]Campaign Metadata'!C:C)</f>
        <v>45698</v>
      </c>
      <c r="Q337" s="10" t="str">
        <f>IF(AND(Posts5[[#This Row],[Date]] &gt;=Posts5[[#This Row],[Campaign Start Date]], Posts5[[#This Row],[Date]]&lt;= Posts5[[#This Row],[Campaign end date]]), "During","Before")</f>
        <v>Before</v>
      </c>
    </row>
    <row r="338" spans="1:17" x14ac:dyDescent="0.3">
      <c r="A338" s="10" t="s">
        <v>260</v>
      </c>
      <c r="B338" s="10" t="s">
        <v>8</v>
      </c>
      <c r="C338" s="11">
        <v>45396</v>
      </c>
      <c r="D338" s="10" t="s">
        <v>13</v>
      </c>
      <c r="E338" s="10" t="s">
        <v>32</v>
      </c>
      <c r="F338" s="10">
        <v>1295</v>
      </c>
      <c r="G338" s="10">
        <v>153</v>
      </c>
      <c r="H338" s="10">
        <v>81</v>
      </c>
      <c r="I338" s="10">
        <v>48350</v>
      </c>
      <c r="J338" s="10">
        <v>61033</v>
      </c>
      <c r="K338" s="10">
        <v>232</v>
      </c>
      <c r="L338" s="10" t="s">
        <v>14</v>
      </c>
      <c r="M338" s="10" t="s">
        <v>34</v>
      </c>
      <c r="N338" s="10">
        <f>(Posts5[[#This Row],[Likes]]+Posts5[[#This Row],[Shares]]+Posts5[[#This Row],[Comments]])/Posts5[[#This Row],[Impressions]]</f>
        <v>3.1623578076525334E-2</v>
      </c>
      <c r="O338" s="11">
        <f>_xlfn.XLOOKUP(Posts5[[#This Row],[Campaign_Name]],'[1]Campaign Metadata'!A:A,'[1]Campaign Metadata'!B:B)</f>
        <v>45667</v>
      </c>
      <c r="P338" s="10">
        <f>_xlfn.XLOOKUP(Posts5[[#This Row],[Campaign_Name]],'[1]Campaign Metadata'!A:A,'[1]Campaign Metadata'!C:C)</f>
        <v>45698</v>
      </c>
      <c r="Q338" s="10" t="str">
        <f>IF(AND(Posts5[[#This Row],[Date]] &gt;=Posts5[[#This Row],[Campaign Start Date]], Posts5[[#This Row],[Date]]&lt;= Posts5[[#This Row],[Campaign end date]]), "During","Before")</f>
        <v>Before</v>
      </c>
    </row>
    <row r="339" spans="1:17" x14ac:dyDescent="0.3">
      <c r="A339" s="10" t="s">
        <v>261</v>
      </c>
      <c r="B339" s="10" t="s">
        <v>8</v>
      </c>
      <c r="C339" s="11">
        <v>45827</v>
      </c>
      <c r="D339" s="10" t="s">
        <v>13</v>
      </c>
      <c r="E339" s="10" t="s">
        <v>47</v>
      </c>
      <c r="F339" s="10">
        <v>1433</v>
      </c>
      <c r="G339" s="10">
        <v>452</v>
      </c>
      <c r="H339" s="10">
        <v>305</v>
      </c>
      <c r="I339" s="10">
        <v>54541</v>
      </c>
      <c r="J339" s="10">
        <v>63700</v>
      </c>
      <c r="K339" s="10">
        <v>296</v>
      </c>
      <c r="L339" s="10" t="s">
        <v>10</v>
      </c>
      <c r="M339" s="10" t="s">
        <v>34</v>
      </c>
      <c r="N339" s="10">
        <f>(Posts5[[#This Row],[Likes]]+Posts5[[#This Row],[Shares]]+Posts5[[#This Row],[Comments]])/Posts5[[#This Row],[Impressions]]</f>
        <v>4.0153279184466734E-2</v>
      </c>
      <c r="O339" s="11">
        <f>_xlfn.XLOOKUP(Posts5[[#This Row],[Campaign_Name]],'[1]Campaign Metadata'!A:A,'[1]Campaign Metadata'!B:B)</f>
        <v>45667</v>
      </c>
      <c r="P339" s="10">
        <f>_xlfn.XLOOKUP(Posts5[[#This Row],[Campaign_Name]],'[1]Campaign Metadata'!A:A,'[1]Campaign Metadata'!C:C)</f>
        <v>45698</v>
      </c>
      <c r="Q339" s="10" t="str">
        <f>IF(AND(Posts5[[#This Row],[Date]] &gt;=Posts5[[#This Row],[Campaign Start Date]], Posts5[[#This Row],[Date]]&lt;= Posts5[[#This Row],[Campaign end date]]), "During","Before")</f>
        <v>Before</v>
      </c>
    </row>
    <row r="340" spans="1:17" x14ac:dyDescent="0.3">
      <c r="A340" s="10" t="s">
        <v>261</v>
      </c>
      <c r="B340" s="10" t="s">
        <v>8</v>
      </c>
      <c r="C340" s="11">
        <v>45827</v>
      </c>
      <c r="D340" s="10" t="s">
        <v>13</v>
      </c>
      <c r="E340" s="10" t="s">
        <v>47</v>
      </c>
      <c r="F340" s="10">
        <v>1433</v>
      </c>
      <c r="G340" s="10">
        <v>452</v>
      </c>
      <c r="H340" s="10">
        <v>305</v>
      </c>
      <c r="I340" s="10">
        <v>54541</v>
      </c>
      <c r="J340" s="10">
        <v>63700</v>
      </c>
      <c r="K340" s="10">
        <v>296</v>
      </c>
      <c r="L340" s="10" t="s">
        <v>14</v>
      </c>
      <c r="M340" s="10" t="s">
        <v>34</v>
      </c>
      <c r="N340" s="10">
        <f>(Posts5[[#This Row],[Likes]]+Posts5[[#This Row],[Shares]]+Posts5[[#This Row],[Comments]])/Posts5[[#This Row],[Impressions]]</f>
        <v>4.0153279184466734E-2</v>
      </c>
      <c r="O340" s="11">
        <f>_xlfn.XLOOKUP(Posts5[[#This Row],[Campaign_Name]],'[1]Campaign Metadata'!A:A,'[1]Campaign Metadata'!B:B)</f>
        <v>45667</v>
      </c>
      <c r="P340" s="10">
        <f>_xlfn.XLOOKUP(Posts5[[#This Row],[Campaign_Name]],'[1]Campaign Metadata'!A:A,'[1]Campaign Metadata'!C:C)</f>
        <v>45698</v>
      </c>
      <c r="Q340" s="10" t="str">
        <f>IF(AND(Posts5[[#This Row],[Date]] &gt;=Posts5[[#This Row],[Campaign Start Date]], Posts5[[#This Row],[Date]]&lt;= Posts5[[#This Row],[Campaign end date]]), "During","Before")</f>
        <v>Before</v>
      </c>
    </row>
    <row r="341" spans="1:17" x14ac:dyDescent="0.3">
      <c r="A341" s="10" t="s">
        <v>262</v>
      </c>
      <c r="B341" s="10" t="s">
        <v>7</v>
      </c>
      <c r="C341" s="11">
        <v>45832</v>
      </c>
      <c r="D341" s="10" t="s">
        <v>13</v>
      </c>
      <c r="E341" s="10" t="s">
        <v>49</v>
      </c>
      <c r="F341" s="10">
        <v>4902</v>
      </c>
      <c r="G341" s="10">
        <v>422</v>
      </c>
      <c r="H341" s="10">
        <v>376</v>
      </c>
      <c r="I341" s="10">
        <v>31674</v>
      </c>
      <c r="J341" s="10">
        <v>53225</v>
      </c>
      <c r="K341" s="10">
        <v>147</v>
      </c>
      <c r="L341" s="10" t="s">
        <v>5</v>
      </c>
      <c r="M341" s="10" t="s">
        <v>65</v>
      </c>
      <c r="N341" s="10">
        <f>(Posts5[[#This Row],[Likes]]+Posts5[[#This Row],[Shares]]+Posts5[[#This Row],[Comments]])/Posts5[[#This Row],[Impressions]]</f>
        <v>0.17995832544042431</v>
      </c>
      <c r="O341" s="11">
        <f>_xlfn.XLOOKUP(Posts5[[#This Row],[Campaign_Name]],'[1]Campaign Metadata'!A:A,'[1]Campaign Metadata'!B:B)</f>
        <v>45627</v>
      </c>
      <c r="P341" s="10">
        <f>_xlfn.XLOOKUP(Posts5[[#This Row],[Campaign_Name]],'[1]Campaign Metadata'!A:A,'[1]Campaign Metadata'!C:C)</f>
        <v>45657</v>
      </c>
      <c r="Q341" s="10" t="str">
        <f>IF(AND(Posts5[[#This Row],[Date]] &gt;=Posts5[[#This Row],[Campaign Start Date]], Posts5[[#This Row],[Date]]&lt;= Posts5[[#This Row],[Campaign end date]]), "During","Before")</f>
        <v>Before</v>
      </c>
    </row>
    <row r="342" spans="1:17" x14ac:dyDescent="0.3">
      <c r="A342" s="10" t="s">
        <v>263</v>
      </c>
      <c r="B342" s="10" t="s">
        <v>8</v>
      </c>
      <c r="C342" s="11">
        <v>45574</v>
      </c>
      <c r="D342" s="10" t="s">
        <v>15</v>
      </c>
      <c r="E342" s="10" t="s">
        <v>42</v>
      </c>
      <c r="F342" s="10">
        <v>2659</v>
      </c>
      <c r="G342" s="10">
        <v>167</v>
      </c>
      <c r="H342" s="10">
        <v>73</v>
      </c>
      <c r="I342" s="10">
        <v>23090</v>
      </c>
      <c r="J342" s="10">
        <v>25872</v>
      </c>
      <c r="K342" s="10">
        <v>293</v>
      </c>
      <c r="L342" s="10" t="s">
        <v>12</v>
      </c>
      <c r="M342" s="10" t="s">
        <v>37</v>
      </c>
      <c r="N342" s="10">
        <f>(Posts5[[#This Row],[Likes]]+Posts5[[#This Row],[Shares]]+Posts5[[#This Row],[Comments]])/Posts5[[#This Row],[Impressions]]</f>
        <v>0.12555218709398008</v>
      </c>
      <c r="O342" s="11">
        <f>_xlfn.XLOOKUP(Posts5[[#This Row],[Campaign_Name]],'[1]Campaign Metadata'!A:A,'[1]Campaign Metadata'!B:B)</f>
        <v>45717</v>
      </c>
      <c r="P342" s="10">
        <f>_xlfn.XLOOKUP(Posts5[[#This Row],[Campaign_Name]],'[1]Campaign Metadata'!A:A,'[1]Campaign Metadata'!C:C)</f>
        <v>45747</v>
      </c>
      <c r="Q342" s="10" t="str">
        <f>IF(AND(Posts5[[#This Row],[Date]] &gt;=Posts5[[#This Row],[Campaign Start Date]], Posts5[[#This Row],[Date]]&lt;= Posts5[[#This Row],[Campaign end date]]), "During","Before")</f>
        <v>Before</v>
      </c>
    </row>
    <row r="343" spans="1:17" x14ac:dyDescent="0.3">
      <c r="A343" s="10" t="s">
        <v>264</v>
      </c>
      <c r="B343" s="10" t="s">
        <v>9</v>
      </c>
      <c r="C343" s="11">
        <v>45672</v>
      </c>
      <c r="D343" s="10" t="s">
        <v>15</v>
      </c>
      <c r="E343" s="10" t="s">
        <v>61</v>
      </c>
      <c r="F343" s="10">
        <v>2599</v>
      </c>
      <c r="G343" s="10">
        <v>324</v>
      </c>
      <c r="H343" s="10">
        <v>182</v>
      </c>
      <c r="I343" s="10">
        <v>37525</v>
      </c>
      <c r="J343" s="10">
        <v>37216</v>
      </c>
      <c r="K343" s="10">
        <v>186</v>
      </c>
      <c r="L343" s="10" t="s">
        <v>10</v>
      </c>
      <c r="M343" s="10" t="s">
        <v>37</v>
      </c>
      <c r="N343" s="10">
        <f>(Posts5[[#This Row],[Likes]]+Posts5[[#This Row],[Shares]]+Posts5[[#This Row],[Comments]])/Posts5[[#This Row],[Impressions]]</f>
        <v>8.2744836775483013E-2</v>
      </c>
      <c r="O343" s="11">
        <f>_xlfn.XLOOKUP(Posts5[[#This Row],[Campaign_Name]],'[1]Campaign Metadata'!A:A,'[1]Campaign Metadata'!B:B)</f>
        <v>45717</v>
      </c>
      <c r="P343" s="10">
        <f>_xlfn.XLOOKUP(Posts5[[#This Row],[Campaign_Name]],'[1]Campaign Metadata'!A:A,'[1]Campaign Metadata'!C:C)</f>
        <v>45747</v>
      </c>
      <c r="Q343" s="10" t="str">
        <f>IF(AND(Posts5[[#This Row],[Date]] &gt;=Posts5[[#This Row],[Campaign Start Date]], Posts5[[#This Row],[Date]]&lt;= Posts5[[#This Row],[Campaign end date]]), "During","Before")</f>
        <v>Before</v>
      </c>
    </row>
    <row r="344" spans="1:17" x14ac:dyDescent="0.3">
      <c r="A344" s="10" t="s">
        <v>264</v>
      </c>
      <c r="B344" s="10" t="s">
        <v>9</v>
      </c>
      <c r="C344" s="11">
        <v>45672</v>
      </c>
      <c r="D344" s="10" t="s">
        <v>15</v>
      </c>
      <c r="E344" s="10" t="s">
        <v>61</v>
      </c>
      <c r="F344" s="10">
        <v>2599</v>
      </c>
      <c r="G344" s="10">
        <v>324</v>
      </c>
      <c r="H344" s="10">
        <v>182</v>
      </c>
      <c r="I344" s="10">
        <v>37525</v>
      </c>
      <c r="J344" s="10">
        <v>37216</v>
      </c>
      <c r="K344" s="10">
        <v>186</v>
      </c>
      <c r="L344" s="10" t="s">
        <v>16</v>
      </c>
      <c r="M344" s="10" t="s">
        <v>37</v>
      </c>
      <c r="N344" s="10">
        <f>(Posts5[[#This Row],[Likes]]+Posts5[[#This Row],[Shares]]+Posts5[[#This Row],[Comments]])/Posts5[[#This Row],[Impressions]]</f>
        <v>8.2744836775483013E-2</v>
      </c>
      <c r="O344" s="11">
        <f>_xlfn.XLOOKUP(Posts5[[#This Row],[Campaign_Name]],'[1]Campaign Metadata'!A:A,'[1]Campaign Metadata'!B:B)</f>
        <v>45717</v>
      </c>
      <c r="P344" s="10">
        <f>_xlfn.XLOOKUP(Posts5[[#This Row],[Campaign_Name]],'[1]Campaign Metadata'!A:A,'[1]Campaign Metadata'!C:C)</f>
        <v>45747</v>
      </c>
      <c r="Q344" s="10" t="str">
        <f>IF(AND(Posts5[[#This Row],[Date]] &gt;=Posts5[[#This Row],[Campaign Start Date]], Posts5[[#This Row],[Date]]&lt;= Posts5[[#This Row],[Campaign end date]]), "During","Before")</f>
        <v>Before</v>
      </c>
    </row>
    <row r="345" spans="1:17" x14ac:dyDescent="0.3">
      <c r="A345" s="10" t="s">
        <v>265</v>
      </c>
      <c r="B345" s="10" t="s">
        <v>8</v>
      </c>
      <c r="C345" s="11">
        <v>45669</v>
      </c>
      <c r="D345" s="10" t="s">
        <v>15</v>
      </c>
      <c r="E345" s="10" t="s">
        <v>44</v>
      </c>
      <c r="F345" s="10">
        <v>1765</v>
      </c>
      <c r="G345" s="10">
        <v>285</v>
      </c>
      <c r="H345" s="10">
        <v>100</v>
      </c>
      <c r="I345" s="10">
        <v>41313</v>
      </c>
      <c r="J345" s="10">
        <v>56575</v>
      </c>
      <c r="K345" s="10">
        <v>174</v>
      </c>
      <c r="L345" s="10" t="s">
        <v>12</v>
      </c>
      <c r="M345" s="10" t="s">
        <v>37</v>
      </c>
      <c r="N345" s="10">
        <f>(Posts5[[#This Row],[Likes]]+Posts5[[#This Row],[Shares]]+Posts5[[#This Row],[Comments]])/Posts5[[#This Row],[Impressions]]</f>
        <v>5.2041730205988429E-2</v>
      </c>
      <c r="O345" s="11">
        <f>_xlfn.XLOOKUP(Posts5[[#This Row],[Campaign_Name]],'[1]Campaign Metadata'!A:A,'[1]Campaign Metadata'!B:B)</f>
        <v>45717</v>
      </c>
      <c r="P345" s="10">
        <f>_xlfn.XLOOKUP(Posts5[[#This Row],[Campaign_Name]],'[1]Campaign Metadata'!A:A,'[1]Campaign Metadata'!C:C)</f>
        <v>45747</v>
      </c>
      <c r="Q345" s="10" t="str">
        <f>IF(AND(Posts5[[#This Row],[Date]] &gt;=Posts5[[#This Row],[Campaign Start Date]], Posts5[[#This Row],[Date]]&lt;= Posts5[[#This Row],[Campaign end date]]), "During","Before")</f>
        <v>Before</v>
      </c>
    </row>
    <row r="346" spans="1:17" x14ac:dyDescent="0.3">
      <c r="A346" s="10" t="s">
        <v>266</v>
      </c>
      <c r="B346" s="10" t="s">
        <v>7</v>
      </c>
      <c r="C346" s="11">
        <v>45808</v>
      </c>
      <c r="D346" s="10" t="s">
        <v>15</v>
      </c>
      <c r="E346" s="10" t="s">
        <v>47</v>
      </c>
      <c r="F346" s="10">
        <v>2169</v>
      </c>
      <c r="G346" s="10">
        <v>240</v>
      </c>
      <c r="H346" s="10">
        <v>57</v>
      </c>
      <c r="I346" s="10">
        <v>26109</v>
      </c>
      <c r="J346" s="10">
        <v>46667</v>
      </c>
      <c r="K346" s="10">
        <v>133</v>
      </c>
      <c r="L346" s="10" t="s">
        <v>12</v>
      </c>
      <c r="M346" s="10" t="s">
        <v>34</v>
      </c>
      <c r="N346" s="10">
        <f>(Posts5[[#This Row],[Likes]]+Posts5[[#This Row],[Shares]]+Posts5[[#This Row],[Comments]])/Posts5[[#This Row],[Impressions]]</f>
        <v>9.4450189589796618E-2</v>
      </c>
      <c r="O346" s="11">
        <f>_xlfn.XLOOKUP(Posts5[[#This Row],[Campaign_Name]],'[1]Campaign Metadata'!A:A,'[1]Campaign Metadata'!B:B)</f>
        <v>45667</v>
      </c>
      <c r="P346" s="10">
        <f>_xlfn.XLOOKUP(Posts5[[#This Row],[Campaign_Name]],'[1]Campaign Metadata'!A:A,'[1]Campaign Metadata'!C:C)</f>
        <v>45698</v>
      </c>
      <c r="Q346" s="10" t="str">
        <f>IF(AND(Posts5[[#This Row],[Date]] &gt;=Posts5[[#This Row],[Campaign Start Date]], Posts5[[#This Row],[Date]]&lt;= Posts5[[#This Row],[Campaign end date]]), "During","Before")</f>
        <v>Before</v>
      </c>
    </row>
    <row r="347" spans="1:17" x14ac:dyDescent="0.3">
      <c r="A347" s="10" t="s">
        <v>266</v>
      </c>
      <c r="B347" s="10" t="s">
        <v>7</v>
      </c>
      <c r="C347" s="11">
        <v>45808</v>
      </c>
      <c r="D347" s="10" t="s">
        <v>15</v>
      </c>
      <c r="E347" s="10" t="s">
        <v>47</v>
      </c>
      <c r="F347" s="10">
        <v>2169</v>
      </c>
      <c r="G347" s="10">
        <v>240</v>
      </c>
      <c r="H347" s="10">
        <v>57</v>
      </c>
      <c r="I347" s="10">
        <v>26109</v>
      </c>
      <c r="J347" s="10">
        <v>46667</v>
      </c>
      <c r="K347" s="10">
        <v>133</v>
      </c>
      <c r="L347" s="10" t="s">
        <v>5</v>
      </c>
      <c r="M347" s="10" t="s">
        <v>34</v>
      </c>
      <c r="N347" s="10">
        <f>(Posts5[[#This Row],[Likes]]+Posts5[[#This Row],[Shares]]+Posts5[[#This Row],[Comments]])/Posts5[[#This Row],[Impressions]]</f>
        <v>9.4450189589796618E-2</v>
      </c>
      <c r="O347" s="11">
        <f>_xlfn.XLOOKUP(Posts5[[#This Row],[Campaign_Name]],'[1]Campaign Metadata'!A:A,'[1]Campaign Metadata'!B:B)</f>
        <v>45667</v>
      </c>
      <c r="P347" s="10">
        <f>_xlfn.XLOOKUP(Posts5[[#This Row],[Campaign_Name]],'[1]Campaign Metadata'!A:A,'[1]Campaign Metadata'!C:C)</f>
        <v>45698</v>
      </c>
      <c r="Q347" s="10" t="str">
        <f>IF(AND(Posts5[[#This Row],[Date]] &gt;=Posts5[[#This Row],[Campaign Start Date]], Posts5[[#This Row],[Date]]&lt;= Posts5[[#This Row],[Campaign end date]]), "During","Before")</f>
        <v>Before</v>
      </c>
    </row>
    <row r="348" spans="1:17" x14ac:dyDescent="0.3">
      <c r="A348" s="10" t="s">
        <v>267</v>
      </c>
      <c r="B348" s="10" t="s">
        <v>8</v>
      </c>
      <c r="C348" s="11">
        <v>45579</v>
      </c>
      <c r="D348" s="10" t="s">
        <v>13</v>
      </c>
      <c r="E348" s="10" t="s">
        <v>36</v>
      </c>
      <c r="F348" s="10">
        <v>4303</v>
      </c>
      <c r="G348" s="10">
        <v>306</v>
      </c>
      <c r="H348" s="10">
        <v>302</v>
      </c>
      <c r="I348" s="10">
        <v>39575</v>
      </c>
      <c r="J348" s="10">
        <v>33762</v>
      </c>
      <c r="K348" s="10">
        <v>265</v>
      </c>
      <c r="L348" s="10" t="s">
        <v>10</v>
      </c>
      <c r="M348" s="10" t="s">
        <v>34</v>
      </c>
      <c r="N348" s="10">
        <f>(Posts5[[#This Row],[Likes]]+Posts5[[#This Row],[Shares]]+Posts5[[#This Row],[Comments]])/Posts5[[#This Row],[Impressions]]</f>
        <v>0.12409349336702463</v>
      </c>
      <c r="O348" s="11">
        <f>_xlfn.XLOOKUP(Posts5[[#This Row],[Campaign_Name]],'[1]Campaign Metadata'!A:A,'[1]Campaign Metadata'!B:B)</f>
        <v>45667</v>
      </c>
      <c r="P348" s="10">
        <f>_xlfn.XLOOKUP(Posts5[[#This Row],[Campaign_Name]],'[1]Campaign Metadata'!A:A,'[1]Campaign Metadata'!C:C)</f>
        <v>45698</v>
      </c>
      <c r="Q348" s="10" t="str">
        <f>IF(AND(Posts5[[#This Row],[Date]] &gt;=Posts5[[#This Row],[Campaign Start Date]], Posts5[[#This Row],[Date]]&lt;= Posts5[[#This Row],[Campaign end date]]), "During","Before")</f>
        <v>Before</v>
      </c>
    </row>
    <row r="349" spans="1:17" x14ac:dyDescent="0.3">
      <c r="A349" s="10" t="s">
        <v>267</v>
      </c>
      <c r="B349" s="10" t="s">
        <v>8</v>
      </c>
      <c r="C349" s="11">
        <v>45579</v>
      </c>
      <c r="D349" s="10" t="s">
        <v>13</v>
      </c>
      <c r="E349" s="10" t="s">
        <v>36</v>
      </c>
      <c r="F349" s="10">
        <v>4303</v>
      </c>
      <c r="G349" s="10">
        <v>306</v>
      </c>
      <c r="H349" s="10">
        <v>302</v>
      </c>
      <c r="I349" s="10">
        <v>39575</v>
      </c>
      <c r="J349" s="10">
        <v>33762</v>
      </c>
      <c r="K349" s="10">
        <v>265</v>
      </c>
      <c r="L349" s="10" t="s">
        <v>14</v>
      </c>
      <c r="M349" s="10" t="s">
        <v>34</v>
      </c>
      <c r="N349" s="10">
        <f>(Posts5[[#This Row],[Likes]]+Posts5[[#This Row],[Shares]]+Posts5[[#This Row],[Comments]])/Posts5[[#This Row],[Impressions]]</f>
        <v>0.12409349336702463</v>
      </c>
      <c r="O349" s="11">
        <f>_xlfn.XLOOKUP(Posts5[[#This Row],[Campaign_Name]],'[1]Campaign Metadata'!A:A,'[1]Campaign Metadata'!B:B)</f>
        <v>45667</v>
      </c>
      <c r="P349" s="10">
        <f>_xlfn.XLOOKUP(Posts5[[#This Row],[Campaign_Name]],'[1]Campaign Metadata'!A:A,'[1]Campaign Metadata'!C:C)</f>
        <v>45698</v>
      </c>
      <c r="Q349" s="10" t="str">
        <f>IF(AND(Posts5[[#This Row],[Date]] &gt;=Posts5[[#This Row],[Campaign Start Date]], Posts5[[#This Row],[Date]]&lt;= Posts5[[#This Row],[Campaign end date]]), "During","Before")</f>
        <v>Before</v>
      </c>
    </row>
    <row r="350" spans="1:17" x14ac:dyDescent="0.3">
      <c r="A350" s="10" t="s">
        <v>268</v>
      </c>
      <c r="B350" s="10" t="s">
        <v>8</v>
      </c>
      <c r="C350" s="11">
        <v>45332</v>
      </c>
      <c r="D350" s="10" t="s">
        <v>15</v>
      </c>
      <c r="E350" s="10" t="s">
        <v>59</v>
      </c>
      <c r="F350" s="10">
        <v>1519</v>
      </c>
      <c r="G350" s="10">
        <v>456</v>
      </c>
      <c r="H350" s="10">
        <v>379</v>
      </c>
      <c r="I350" s="10">
        <v>51611</v>
      </c>
      <c r="J350" s="10">
        <v>45880</v>
      </c>
      <c r="K350" s="10">
        <v>176</v>
      </c>
      <c r="L350" s="10" t="s">
        <v>12</v>
      </c>
      <c r="M350" s="10" t="s">
        <v>37</v>
      </c>
      <c r="N350" s="10">
        <f>(Posts5[[#This Row],[Likes]]+Posts5[[#This Row],[Shares]]+Posts5[[#This Row],[Comments]])/Posts5[[#This Row],[Impressions]]</f>
        <v>4.5610431884675749E-2</v>
      </c>
      <c r="O350" s="11">
        <f>_xlfn.XLOOKUP(Posts5[[#This Row],[Campaign_Name]],'[1]Campaign Metadata'!A:A,'[1]Campaign Metadata'!B:B)</f>
        <v>45717</v>
      </c>
      <c r="P350" s="10">
        <f>_xlfn.XLOOKUP(Posts5[[#This Row],[Campaign_Name]],'[1]Campaign Metadata'!A:A,'[1]Campaign Metadata'!C:C)</f>
        <v>45747</v>
      </c>
      <c r="Q350" s="10" t="str">
        <f>IF(AND(Posts5[[#This Row],[Date]] &gt;=Posts5[[#This Row],[Campaign Start Date]], Posts5[[#This Row],[Date]]&lt;= Posts5[[#This Row],[Campaign end date]]), "During","Before")</f>
        <v>Before</v>
      </c>
    </row>
    <row r="351" spans="1:17" x14ac:dyDescent="0.3">
      <c r="A351" s="10" t="s">
        <v>269</v>
      </c>
      <c r="B351" s="10" t="s">
        <v>9</v>
      </c>
      <c r="C351" s="11">
        <v>45636</v>
      </c>
      <c r="D351" s="10" t="s">
        <v>15</v>
      </c>
      <c r="E351" s="10" t="s">
        <v>47</v>
      </c>
      <c r="F351" s="10">
        <v>2569</v>
      </c>
      <c r="G351" s="10">
        <v>140</v>
      </c>
      <c r="H351" s="10">
        <v>375</v>
      </c>
      <c r="I351" s="10">
        <v>38372</v>
      </c>
      <c r="J351" s="10">
        <v>22102</v>
      </c>
      <c r="K351" s="10">
        <v>255</v>
      </c>
      <c r="L351" s="10" t="s">
        <v>10</v>
      </c>
      <c r="M351" s="10" t="s">
        <v>37</v>
      </c>
      <c r="N351" s="10">
        <f>(Posts5[[#This Row],[Likes]]+Posts5[[#This Row],[Shares]]+Posts5[[#This Row],[Comments]])/Posts5[[#This Row],[Impressions]]</f>
        <v>8.0371103929948923E-2</v>
      </c>
      <c r="O351" s="11">
        <f>_xlfn.XLOOKUP(Posts5[[#This Row],[Campaign_Name]],'[1]Campaign Metadata'!A:A,'[1]Campaign Metadata'!B:B)</f>
        <v>45717</v>
      </c>
      <c r="P351" s="10">
        <f>_xlfn.XLOOKUP(Posts5[[#This Row],[Campaign_Name]],'[1]Campaign Metadata'!A:A,'[1]Campaign Metadata'!C:C)</f>
        <v>45747</v>
      </c>
      <c r="Q351" s="10" t="str">
        <f>IF(AND(Posts5[[#This Row],[Date]] &gt;=Posts5[[#This Row],[Campaign Start Date]], Posts5[[#This Row],[Date]]&lt;= Posts5[[#This Row],[Campaign end date]]), "During","Before")</f>
        <v>Before</v>
      </c>
    </row>
    <row r="352" spans="1:17" x14ac:dyDescent="0.3">
      <c r="A352" s="10" t="s">
        <v>269</v>
      </c>
      <c r="B352" s="10" t="s">
        <v>9</v>
      </c>
      <c r="C352" s="11">
        <v>45636</v>
      </c>
      <c r="D352" s="10" t="s">
        <v>15</v>
      </c>
      <c r="E352" s="10" t="s">
        <v>47</v>
      </c>
      <c r="F352" s="10">
        <v>2569</v>
      </c>
      <c r="G352" s="10">
        <v>140</v>
      </c>
      <c r="H352" s="10">
        <v>375</v>
      </c>
      <c r="I352" s="10">
        <v>38372</v>
      </c>
      <c r="J352" s="10">
        <v>22102</v>
      </c>
      <c r="K352" s="10">
        <v>255</v>
      </c>
      <c r="L352" s="10" t="s">
        <v>16</v>
      </c>
      <c r="M352" s="10" t="s">
        <v>37</v>
      </c>
      <c r="N352" s="10">
        <f>(Posts5[[#This Row],[Likes]]+Posts5[[#This Row],[Shares]]+Posts5[[#This Row],[Comments]])/Posts5[[#This Row],[Impressions]]</f>
        <v>8.0371103929948923E-2</v>
      </c>
      <c r="O352" s="11">
        <f>_xlfn.XLOOKUP(Posts5[[#This Row],[Campaign_Name]],'[1]Campaign Metadata'!A:A,'[1]Campaign Metadata'!B:B)</f>
        <v>45717</v>
      </c>
      <c r="P352" s="10">
        <f>_xlfn.XLOOKUP(Posts5[[#This Row],[Campaign_Name]],'[1]Campaign Metadata'!A:A,'[1]Campaign Metadata'!C:C)</f>
        <v>45747</v>
      </c>
      <c r="Q352" s="10" t="str">
        <f>IF(AND(Posts5[[#This Row],[Date]] &gt;=Posts5[[#This Row],[Campaign Start Date]], Posts5[[#This Row],[Date]]&lt;= Posts5[[#This Row],[Campaign end date]]), "During","Before")</f>
        <v>Before</v>
      </c>
    </row>
    <row r="353" spans="1:17" x14ac:dyDescent="0.3">
      <c r="A353" s="10" t="s">
        <v>270</v>
      </c>
      <c r="B353" s="10" t="s">
        <v>8</v>
      </c>
      <c r="C353" s="11">
        <v>45786</v>
      </c>
      <c r="D353" s="10" t="s">
        <v>13</v>
      </c>
      <c r="E353" s="10" t="s">
        <v>44</v>
      </c>
      <c r="F353" s="10">
        <v>2778</v>
      </c>
      <c r="G353" s="10">
        <v>241</v>
      </c>
      <c r="H353" s="10">
        <v>317</v>
      </c>
      <c r="I353" s="10">
        <v>26247</v>
      </c>
      <c r="J353" s="10">
        <v>20677</v>
      </c>
      <c r="K353" s="10">
        <v>282</v>
      </c>
      <c r="L353" s="10" t="s">
        <v>14</v>
      </c>
      <c r="M353" s="10" t="s">
        <v>34</v>
      </c>
      <c r="N353" s="10">
        <f>(Posts5[[#This Row],[Likes]]+Posts5[[#This Row],[Shares]]+Posts5[[#This Row],[Comments]])/Posts5[[#This Row],[Impressions]]</f>
        <v>0.1271002400274317</v>
      </c>
      <c r="O353" s="11">
        <f>_xlfn.XLOOKUP(Posts5[[#This Row],[Campaign_Name]],'[1]Campaign Metadata'!A:A,'[1]Campaign Metadata'!B:B)</f>
        <v>45667</v>
      </c>
      <c r="P353" s="10">
        <f>_xlfn.XLOOKUP(Posts5[[#This Row],[Campaign_Name]],'[1]Campaign Metadata'!A:A,'[1]Campaign Metadata'!C:C)</f>
        <v>45698</v>
      </c>
      <c r="Q353" s="10" t="str">
        <f>IF(AND(Posts5[[#This Row],[Date]] &gt;=Posts5[[#This Row],[Campaign Start Date]], Posts5[[#This Row],[Date]]&lt;= Posts5[[#This Row],[Campaign end date]]), "During","Before")</f>
        <v>Before</v>
      </c>
    </row>
    <row r="354" spans="1:17" x14ac:dyDescent="0.3">
      <c r="A354" s="10" t="s">
        <v>270</v>
      </c>
      <c r="B354" s="10" t="s">
        <v>8</v>
      </c>
      <c r="C354" s="11">
        <v>45786</v>
      </c>
      <c r="D354" s="10" t="s">
        <v>13</v>
      </c>
      <c r="E354" s="10" t="s">
        <v>44</v>
      </c>
      <c r="F354" s="10">
        <v>2778</v>
      </c>
      <c r="G354" s="10">
        <v>241</v>
      </c>
      <c r="H354" s="10">
        <v>317</v>
      </c>
      <c r="I354" s="10">
        <v>26247</v>
      </c>
      <c r="J354" s="10">
        <v>20677</v>
      </c>
      <c r="K354" s="10">
        <v>282</v>
      </c>
      <c r="L354" s="10" t="s">
        <v>5</v>
      </c>
      <c r="M354" s="10" t="s">
        <v>34</v>
      </c>
      <c r="N354" s="10">
        <f>(Posts5[[#This Row],[Likes]]+Posts5[[#This Row],[Shares]]+Posts5[[#This Row],[Comments]])/Posts5[[#This Row],[Impressions]]</f>
        <v>0.1271002400274317</v>
      </c>
      <c r="O354" s="11">
        <f>_xlfn.XLOOKUP(Posts5[[#This Row],[Campaign_Name]],'[1]Campaign Metadata'!A:A,'[1]Campaign Metadata'!B:B)</f>
        <v>45667</v>
      </c>
      <c r="P354" s="10">
        <f>_xlfn.XLOOKUP(Posts5[[#This Row],[Campaign_Name]],'[1]Campaign Metadata'!A:A,'[1]Campaign Metadata'!C:C)</f>
        <v>45698</v>
      </c>
      <c r="Q354" s="10" t="str">
        <f>IF(AND(Posts5[[#This Row],[Date]] &gt;=Posts5[[#This Row],[Campaign Start Date]], Posts5[[#This Row],[Date]]&lt;= Posts5[[#This Row],[Campaign end date]]), "During","Before")</f>
        <v>Before</v>
      </c>
    </row>
    <row r="355" spans="1:17" x14ac:dyDescent="0.3">
      <c r="A355" s="10" t="s">
        <v>271</v>
      </c>
      <c r="B355" s="10" t="s">
        <v>8</v>
      </c>
      <c r="C355" s="11">
        <v>45829</v>
      </c>
      <c r="D355" s="10" t="s">
        <v>15</v>
      </c>
      <c r="E355" s="10" t="s">
        <v>36</v>
      </c>
      <c r="F355" s="10">
        <v>3611</v>
      </c>
      <c r="G355" s="10">
        <v>127</v>
      </c>
      <c r="H355" s="10">
        <v>139</v>
      </c>
      <c r="I355" s="10">
        <v>44768</v>
      </c>
      <c r="J355" s="10">
        <v>29435</v>
      </c>
      <c r="K355" s="10">
        <v>178</v>
      </c>
      <c r="L355" s="10" t="s">
        <v>5</v>
      </c>
      <c r="M355" s="10" t="s">
        <v>34</v>
      </c>
      <c r="N355" s="10">
        <f>(Posts5[[#This Row],[Likes]]+Posts5[[#This Row],[Shares]]+Posts5[[#This Row],[Comments]])/Posts5[[#This Row],[Impressions]]</f>
        <v>8.6602037169406718E-2</v>
      </c>
      <c r="O355" s="11">
        <f>_xlfn.XLOOKUP(Posts5[[#This Row],[Campaign_Name]],'[1]Campaign Metadata'!A:A,'[1]Campaign Metadata'!B:B)</f>
        <v>45667</v>
      </c>
      <c r="P355" s="10">
        <f>_xlfn.XLOOKUP(Posts5[[#This Row],[Campaign_Name]],'[1]Campaign Metadata'!A:A,'[1]Campaign Metadata'!C:C)</f>
        <v>45698</v>
      </c>
      <c r="Q355" s="10" t="str">
        <f>IF(AND(Posts5[[#This Row],[Date]] &gt;=Posts5[[#This Row],[Campaign Start Date]], Posts5[[#This Row],[Date]]&lt;= Posts5[[#This Row],[Campaign end date]]), "During","Before")</f>
        <v>Before</v>
      </c>
    </row>
    <row r="356" spans="1:17" x14ac:dyDescent="0.3">
      <c r="A356" s="10" t="s">
        <v>272</v>
      </c>
      <c r="B356" s="10" t="s">
        <v>8</v>
      </c>
      <c r="C356" s="11">
        <v>45462</v>
      </c>
      <c r="D356" s="10" t="s">
        <v>15</v>
      </c>
      <c r="E356" s="10" t="s">
        <v>47</v>
      </c>
      <c r="F356" s="10">
        <v>1224</v>
      </c>
      <c r="G356" s="10">
        <v>168</v>
      </c>
      <c r="H356" s="10">
        <v>199</v>
      </c>
      <c r="I356" s="10">
        <v>54232</v>
      </c>
      <c r="J356" s="10">
        <v>52844</v>
      </c>
      <c r="K356" s="10">
        <v>271</v>
      </c>
      <c r="L356" s="10" t="s">
        <v>12</v>
      </c>
      <c r="M356" s="10" t="s">
        <v>37</v>
      </c>
      <c r="N356" s="10">
        <f>(Posts5[[#This Row],[Likes]]+Posts5[[#This Row],[Shares]]+Posts5[[#This Row],[Comments]])/Posts5[[#This Row],[Impressions]]</f>
        <v>2.9336922849977874E-2</v>
      </c>
      <c r="O356" s="11">
        <f>_xlfn.XLOOKUP(Posts5[[#This Row],[Campaign_Name]],'[1]Campaign Metadata'!A:A,'[1]Campaign Metadata'!B:B)</f>
        <v>45717</v>
      </c>
      <c r="P356" s="10">
        <f>_xlfn.XLOOKUP(Posts5[[#This Row],[Campaign_Name]],'[1]Campaign Metadata'!A:A,'[1]Campaign Metadata'!C:C)</f>
        <v>45747</v>
      </c>
      <c r="Q356" s="10" t="str">
        <f>IF(AND(Posts5[[#This Row],[Date]] &gt;=Posts5[[#This Row],[Campaign Start Date]], Posts5[[#This Row],[Date]]&lt;= Posts5[[#This Row],[Campaign end date]]), "During","Before")</f>
        <v>Before</v>
      </c>
    </row>
    <row r="357" spans="1:17" x14ac:dyDescent="0.3">
      <c r="A357" s="10" t="s">
        <v>273</v>
      </c>
      <c r="B357" s="10" t="s">
        <v>8</v>
      </c>
      <c r="C357" s="11">
        <v>45636</v>
      </c>
      <c r="D357" s="10" t="s">
        <v>15</v>
      </c>
      <c r="E357" s="10" t="s">
        <v>59</v>
      </c>
      <c r="F357" s="10">
        <v>4673</v>
      </c>
      <c r="G357" s="10">
        <v>270</v>
      </c>
      <c r="H357" s="10">
        <v>93</v>
      </c>
      <c r="I357" s="10">
        <v>45260</v>
      </c>
      <c r="J357" s="10">
        <v>57513</v>
      </c>
      <c r="K357" s="10">
        <v>103</v>
      </c>
      <c r="L357" s="10" t="s">
        <v>5</v>
      </c>
      <c r="M357" s="10" t="s">
        <v>34</v>
      </c>
      <c r="N357" s="10">
        <f>(Posts5[[#This Row],[Likes]]+Posts5[[#This Row],[Shares]]+Posts5[[#This Row],[Comments]])/Posts5[[#This Row],[Impressions]]</f>
        <v>0.11126822801590809</v>
      </c>
      <c r="O357" s="11">
        <f>_xlfn.XLOOKUP(Posts5[[#This Row],[Campaign_Name]],'[1]Campaign Metadata'!A:A,'[1]Campaign Metadata'!B:B)</f>
        <v>45667</v>
      </c>
      <c r="P357" s="10">
        <f>_xlfn.XLOOKUP(Posts5[[#This Row],[Campaign_Name]],'[1]Campaign Metadata'!A:A,'[1]Campaign Metadata'!C:C)</f>
        <v>45698</v>
      </c>
      <c r="Q357" s="10" t="str">
        <f>IF(AND(Posts5[[#This Row],[Date]] &gt;=Posts5[[#This Row],[Campaign Start Date]], Posts5[[#This Row],[Date]]&lt;= Posts5[[#This Row],[Campaign end date]]), "During","Before")</f>
        <v>Before</v>
      </c>
    </row>
    <row r="358" spans="1:17" x14ac:dyDescent="0.3">
      <c r="A358" s="10" t="s">
        <v>274</v>
      </c>
      <c r="B358" s="10" t="s">
        <v>9</v>
      </c>
      <c r="C358" s="11">
        <v>45323</v>
      </c>
      <c r="D358" s="10" t="s">
        <v>15</v>
      </c>
      <c r="E358" s="10" t="s">
        <v>42</v>
      </c>
      <c r="F358" s="10">
        <v>1432</v>
      </c>
      <c r="G358" s="10">
        <v>437</v>
      </c>
      <c r="H358" s="10">
        <v>267</v>
      </c>
      <c r="I358" s="10">
        <v>40634</v>
      </c>
      <c r="J358" s="10">
        <v>54511</v>
      </c>
      <c r="K358" s="10">
        <v>197</v>
      </c>
      <c r="L358" s="10" t="s">
        <v>10</v>
      </c>
      <c r="M358" s="10" t="s">
        <v>37</v>
      </c>
      <c r="N358" s="10">
        <f>(Posts5[[#This Row],[Likes]]+Posts5[[#This Row],[Shares]]+Posts5[[#This Row],[Comments]])/Posts5[[#This Row],[Impressions]]</f>
        <v>5.2566815966924252E-2</v>
      </c>
      <c r="O358" s="11">
        <f>_xlfn.XLOOKUP(Posts5[[#This Row],[Campaign_Name]],'[1]Campaign Metadata'!A:A,'[1]Campaign Metadata'!B:B)</f>
        <v>45717</v>
      </c>
      <c r="P358" s="10">
        <f>_xlfn.XLOOKUP(Posts5[[#This Row],[Campaign_Name]],'[1]Campaign Metadata'!A:A,'[1]Campaign Metadata'!C:C)</f>
        <v>45747</v>
      </c>
      <c r="Q358" s="10" t="str">
        <f>IF(AND(Posts5[[#This Row],[Date]] &gt;=Posts5[[#This Row],[Campaign Start Date]], Posts5[[#This Row],[Date]]&lt;= Posts5[[#This Row],[Campaign end date]]), "During","Before")</f>
        <v>Before</v>
      </c>
    </row>
    <row r="359" spans="1:17" x14ac:dyDescent="0.3">
      <c r="A359" s="10" t="s">
        <v>274</v>
      </c>
      <c r="B359" s="10" t="s">
        <v>9</v>
      </c>
      <c r="C359" s="11">
        <v>45323</v>
      </c>
      <c r="D359" s="10" t="s">
        <v>15</v>
      </c>
      <c r="E359" s="10" t="s">
        <v>42</v>
      </c>
      <c r="F359" s="10">
        <v>1432</v>
      </c>
      <c r="G359" s="10">
        <v>437</v>
      </c>
      <c r="H359" s="10">
        <v>267</v>
      </c>
      <c r="I359" s="10">
        <v>40634</v>
      </c>
      <c r="J359" s="10">
        <v>54511</v>
      </c>
      <c r="K359" s="10">
        <v>197</v>
      </c>
      <c r="L359" s="10" t="s">
        <v>16</v>
      </c>
      <c r="M359" s="10" t="s">
        <v>37</v>
      </c>
      <c r="N359" s="10">
        <f>(Posts5[[#This Row],[Likes]]+Posts5[[#This Row],[Shares]]+Posts5[[#This Row],[Comments]])/Posts5[[#This Row],[Impressions]]</f>
        <v>5.2566815966924252E-2</v>
      </c>
      <c r="O359" s="11">
        <f>_xlfn.XLOOKUP(Posts5[[#This Row],[Campaign_Name]],'[1]Campaign Metadata'!A:A,'[1]Campaign Metadata'!B:B)</f>
        <v>45717</v>
      </c>
      <c r="P359" s="10">
        <f>_xlfn.XLOOKUP(Posts5[[#This Row],[Campaign_Name]],'[1]Campaign Metadata'!A:A,'[1]Campaign Metadata'!C:C)</f>
        <v>45747</v>
      </c>
      <c r="Q359" s="10" t="str">
        <f>IF(AND(Posts5[[#This Row],[Date]] &gt;=Posts5[[#This Row],[Campaign Start Date]], Posts5[[#This Row],[Date]]&lt;= Posts5[[#This Row],[Campaign end date]]), "During","Before")</f>
        <v>Before</v>
      </c>
    </row>
    <row r="360" spans="1:17" x14ac:dyDescent="0.3">
      <c r="A360" s="10" t="s">
        <v>275</v>
      </c>
      <c r="B360" s="10" t="s">
        <v>8</v>
      </c>
      <c r="C360" s="11">
        <v>45308</v>
      </c>
      <c r="D360" s="10" t="s">
        <v>13</v>
      </c>
      <c r="E360" s="10" t="s">
        <v>39</v>
      </c>
      <c r="F360" s="10">
        <v>2174</v>
      </c>
      <c r="G360" s="10">
        <v>499</v>
      </c>
      <c r="H360" s="10">
        <v>212</v>
      </c>
      <c r="I360" s="10">
        <v>54938</v>
      </c>
      <c r="J360" s="10">
        <v>27190</v>
      </c>
      <c r="K360" s="10">
        <v>265</v>
      </c>
      <c r="L360" s="10" t="s">
        <v>14</v>
      </c>
      <c r="M360" s="10" t="s">
        <v>34</v>
      </c>
      <c r="N360" s="10">
        <f>(Posts5[[#This Row],[Likes]]+Posts5[[#This Row],[Shares]]+Posts5[[#This Row],[Comments]])/Posts5[[#This Row],[Impressions]]</f>
        <v>5.2513742764570971E-2</v>
      </c>
      <c r="O360" s="11">
        <f>_xlfn.XLOOKUP(Posts5[[#This Row],[Campaign_Name]],'[1]Campaign Metadata'!A:A,'[1]Campaign Metadata'!B:B)</f>
        <v>45667</v>
      </c>
      <c r="P360" s="10">
        <f>_xlfn.XLOOKUP(Posts5[[#This Row],[Campaign_Name]],'[1]Campaign Metadata'!A:A,'[1]Campaign Metadata'!C:C)</f>
        <v>45698</v>
      </c>
      <c r="Q360" s="10" t="str">
        <f>IF(AND(Posts5[[#This Row],[Date]] &gt;=Posts5[[#This Row],[Campaign Start Date]], Posts5[[#This Row],[Date]]&lt;= Posts5[[#This Row],[Campaign end date]]), "During","Before")</f>
        <v>Before</v>
      </c>
    </row>
    <row r="361" spans="1:17" x14ac:dyDescent="0.3">
      <c r="A361" s="10" t="s">
        <v>275</v>
      </c>
      <c r="B361" s="10" t="s">
        <v>8</v>
      </c>
      <c r="C361" s="11">
        <v>45308</v>
      </c>
      <c r="D361" s="10" t="s">
        <v>13</v>
      </c>
      <c r="E361" s="10" t="s">
        <v>39</v>
      </c>
      <c r="F361" s="10">
        <v>2174</v>
      </c>
      <c r="G361" s="10">
        <v>499</v>
      </c>
      <c r="H361" s="10">
        <v>212</v>
      </c>
      <c r="I361" s="10">
        <v>54938</v>
      </c>
      <c r="J361" s="10">
        <v>27190</v>
      </c>
      <c r="K361" s="10">
        <v>265</v>
      </c>
      <c r="L361" s="10" t="s">
        <v>5</v>
      </c>
      <c r="M361" s="10" t="s">
        <v>34</v>
      </c>
      <c r="N361" s="10">
        <f>(Posts5[[#This Row],[Likes]]+Posts5[[#This Row],[Shares]]+Posts5[[#This Row],[Comments]])/Posts5[[#This Row],[Impressions]]</f>
        <v>5.2513742764570971E-2</v>
      </c>
      <c r="O361" s="11">
        <f>_xlfn.XLOOKUP(Posts5[[#This Row],[Campaign_Name]],'[1]Campaign Metadata'!A:A,'[1]Campaign Metadata'!B:B)</f>
        <v>45667</v>
      </c>
      <c r="P361" s="10">
        <f>_xlfn.XLOOKUP(Posts5[[#This Row],[Campaign_Name]],'[1]Campaign Metadata'!A:A,'[1]Campaign Metadata'!C:C)</f>
        <v>45698</v>
      </c>
      <c r="Q361" s="10" t="str">
        <f>IF(AND(Posts5[[#This Row],[Date]] &gt;=Posts5[[#This Row],[Campaign Start Date]], Posts5[[#This Row],[Date]]&lt;= Posts5[[#This Row],[Campaign end date]]), "During","Before")</f>
        <v>Before</v>
      </c>
    </row>
    <row r="362" spans="1:17" x14ac:dyDescent="0.3">
      <c r="A362" s="10" t="s">
        <v>276</v>
      </c>
      <c r="B362" s="10" t="s">
        <v>9</v>
      </c>
      <c r="C362" s="11">
        <v>45738</v>
      </c>
      <c r="D362" s="10" t="s">
        <v>15</v>
      </c>
      <c r="E362" s="10" t="s">
        <v>44</v>
      </c>
      <c r="F362" s="10">
        <v>4308</v>
      </c>
      <c r="G362" s="10">
        <v>171</v>
      </c>
      <c r="H362" s="10">
        <v>106</v>
      </c>
      <c r="I362" s="10">
        <v>36955</v>
      </c>
      <c r="J362" s="10">
        <v>23949</v>
      </c>
      <c r="K362" s="10">
        <v>294</v>
      </c>
      <c r="L362" s="10" t="s">
        <v>10</v>
      </c>
      <c r="M362" s="10" t="s">
        <v>37</v>
      </c>
      <c r="N362" s="10">
        <f>(Posts5[[#This Row],[Likes]]+Posts5[[#This Row],[Shares]]+Posts5[[#This Row],[Comments]])/Posts5[[#This Row],[Impressions]]</f>
        <v>0.12406981463942633</v>
      </c>
      <c r="O362" s="11">
        <f>_xlfn.XLOOKUP(Posts5[[#This Row],[Campaign_Name]],'[1]Campaign Metadata'!A:A,'[1]Campaign Metadata'!B:B)</f>
        <v>45717</v>
      </c>
      <c r="P362" s="10">
        <f>_xlfn.XLOOKUP(Posts5[[#This Row],[Campaign_Name]],'[1]Campaign Metadata'!A:A,'[1]Campaign Metadata'!C:C)</f>
        <v>45747</v>
      </c>
      <c r="Q362" s="10" t="str">
        <f>IF(AND(Posts5[[#This Row],[Date]] &gt;=Posts5[[#This Row],[Campaign Start Date]], Posts5[[#This Row],[Date]]&lt;= Posts5[[#This Row],[Campaign end date]]), "During","Before")</f>
        <v>During</v>
      </c>
    </row>
    <row r="363" spans="1:17" x14ac:dyDescent="0.3">
      <c r="A363" s="10" t="s">
        <v>276</v>
      </c>
      <c r="B363" s="10" t="s">
        <v>9</v>
      </c>
      <c r="C363" s="11">
        <v>45738</v>
      </c>
      <c r="D363" s="10" t="s">
        <v>15</v>
      </c>
      <c r="E363" s="10" t="s">
        <v>44</v>
      </c>
      <c r="F363" s="10">
        <v>4308</v>
      </c>
      <c r="G363" s="10">
        <v>171</v>
      </c>
      <c r="H363" s="10">
        <v>106</v>
      </c>
      <c r="I363" s="10">
        <v>36955</v>
      </c>
      <c r="J363" s="10">
        <v>23949</v>
      </c>
      <c r="K363" s="10">
        <v>294</v>
      </c>
      <c r="L363" s="10" t="s">
        <v>16</v>
      </c>
      <c r="M363" s="10" t="s">
        <v>37</v>
      </c>
      <c r="N363" s="10">
        <f>(Posts5[[#This Row],[Likes]]+Posts5[[#This Row],[Shares]]+Posts5[[#This Row],[Comments]])/Posts5[[#This Row],[Impressions]]</f>
        <v>0.12406981463942633</v>
      </c>
      <c r="O363" s="11">
        <f>_xlfn.XLOOKUP(Posts5[[#This Row],[Campaign_Name]],'[1]Campaign Metadata'!A:A,'[1]Campaign Metadata'!B:B)</f>
        <v>45717</v>
      </c>
      <c r="P363" s="10">
        <f>_xlfn.XLOOKUP(Posts5[[#This Row],[Campaign_Name]],'[1]Campaign Metadata'!A:A,'[1]Campaign Metadata'!C:C)</f>
        <v>45747</v>
      </c>
      <c r="Q363" s="10" t="str">
        <f>IF(AND(Posts5[[#This Row],[Date]] &gt;=Posts5[[#This Row],[Campaign Start Date]], Posts5[[#This Row],[Date]]&lt;= Posts5[[#This Row],[Campaign end date]]), "During","Before")</f>
        <v>During</v>
      </c>
    </row>
    <row r="364" spans="1:17" x14ac:dyDescent="0.3">
      <c r="A364" s="10" t="s">
        <v>277</v>
      </c>
      <c r="B364" s="10" t="s">
        <v>9</v>
      </c>
      <c r="C364" s="11">
        <v>45442</v>
      </c>
      <c r="D364" s="10" t="s">
        <v>11</v>
      </c>
      <c r="E364" s="10" t="s">
        <v>47</v>
      </c>
      <c r="F364" s="10">
        <v>1060</v>
      </c>
      <c r="G364" s="10">
        <v>442</v>
      </c>
      <c r="H364" s="10">
        <v>319</v>
      </c>
      <c r="I364" s="10">
        <v>57194</v>
      </c>
      <c r="J364" s="10">
        <v>24258</v>
      </c>
      <c r="K364" s="10">
        <v>101</v>
      </c>
      <c r="L364" s="10" t="s">
        <v>10</v>
      </c>
      <c r="M364" s="10" t="s">
        <v>68</v>
      </c>
      <c r="N364" s="10">
        <f>(Posts5[[#This Row],[Likes]]+Posts5[[#This Row],[Shares]]+Posts5[[#This Row],[Comments]])/Posts5[[#This Row],[Impressions]]</f>
        <v>3.1839004091338254E-2</v>
      </c>
      <c r="O364" s="11">
        <f>_xlfn.XLOOKUP(Posts5[[#This Row],[Campaign_Name]],'[1]Campaign Metadata'!A:A,'[1]Campaign Metadata'!B:B)</f>
        <v>45458</v>
      </c>
      <c r="P364" s="10">
        <f>_xlfn.XLOOKUP(Posts5[[#This Row],[Campaign_Name]],'[1]Campaign Metadata'!A:A,'[1]Campaign Metadata'!C:C)</f>
        <v>45488</v>
      </c>
      <c r="Q364" s="10" t="str">
        <f>IF(AND(Posts5[[#This Row],[Date]] &gt;=Posts5[[#This Row],[Campaign Start Date]], Posts5[[#This Row],[Date]]&lt;= Posts5[[#This Row],[Campaign end date]]), "During","Before")</f>
        <v>Before</v>
      </c>
    </row>
    <row r="365" spans="1:17" x14ac:dyDescent="0.3">
      <c r="A365" s="10" t="s">
        <v>277</v>
      </c>
      <c r="B365" s="10" t="s">
        <v>9</v>
      </c>
      <c r="C365" s="11">
        <v>45442</v>
      </c>
      <c r="D365" s="10" t="s">
        <v>11</v>
      </c>
      <c r="E365" s="10" t="s">
        <v>47</v>
      </c>
      <c r="F365" s="10">
        <v>1060</v>
      </c>
      <c r="G365" s="10">
        <v>442</v>
      </c>
      <c r="H365" s="10">
        <v>319</v>
      </c>
      <c r="I365" s="10">
        <v>57194</v>
      </c>
      <c r="J365" s="10">
        <v>24258</v>
      </c>
      <c r="K365" s="10">
        <v>101</v>
      </c>
      <c r="L365" s="10" t="s">
        <v>12</v>
      </c>
      <c r="M365" s="10" t="s">
        <v>68</v>
      </c>
      <c r="N365" s="10">
        <f>(Posts5[[#This Row],[Likes]]+Posts5[[#This Row],[Shares]]+Posts5[[#This Row],[Comments]])/Posts5[[#This Row],[Impressions]]</f>
        <v>3.1839004091338254E-2</v>
      </c>
      <c r="O365" s="11">
        <f>_xlfn.XLOOKUP(Posts5[[#This Row],[Campaign_Name]],'[1]Campaign Metadata'!A:A,'[1]Campaign Metadata'!B:B)</f>
        <v>45458</v>
      </c>
      <c r="P365" s="10">
        <f>_xlfn.XLOOKUP(Posts5[[#This Row],[Campaign_Name]],'[1]Campaign Metadata'!A:A,'[1]Campaign Metadata'!C:C)</f>
        <v>45488</v>
      </c>
      <c r="Q365" s="10" t="str">
        <f>IF(AND(Posts5[[#This Row],[Date]] &gt;=Posts5[[#This Row],[Campaign Start Date]], Posts5[[#This Row],[Date]]&lt;= Posts5[[#This Row],[Campaign end date]]), "During","Before")</f>
        <v>Before</v>
      </c>
    </row>
    <row r="366" spans="1:17" x14ac:dyDescent="0.3">
      <c r="A366" s="10" t="s">
        <v>278</v>
      </c>
      <c r="B366" s="10" t="s">
        <v>9</v>
      </c>
      <c r="C366" s="11">
        <v>45346</v>
      </c>
      <c r="D366" s="10" t="s">
        <v>15</v>
      </c>
      <c r="E366" s="10" t="s">
        <v>44</v>
      </c>
      <c r="F366" s="10">
        <v>4653</v>
      </c>
      <c r="G366" s="10">
        <v>226</v>
      </c>
      <c r="H366" s="10">
        <v>349</v>
      </c>
      <c r="I366" s="10">
        <v>56876</v>
      </c>
      <c r="J366" s="10">
        <v>28452</v>
      </c>
      <c r="K366" s="10">
        <v>257</v>
      </c>
      <c r="L366" s="10" t="s">
        <v>10</v>
      </c>
      <c r="M366" s="10" t="s">
        <v>37</v>
      </c>
      <c r="N366" s="10">
        <f>(Posts5[[#This Row],[Likes]]+Posts5[[#This Row],[Shares]]+Posts5[[#This Row],[Comments]])/Posts5[[#This Row],[Impressions]]</f>
        <v>9.191926295801392E-2</v>
      </c>
      <c r="O366" s="11">
        <f>_xlfn.XLOOKUP(Posts5[[#This Row],[Campaign_Name]],'[1]Campaign Metadata'!A:A,'[1]Campaign Metadata'!B:B)</f>
        <v>45717</v>
      </c>
      <c r="P366" s="10">
        <f>_xlfn.XLOOKUP(Posts5[[#This Row],[Campaign_Name]],'[1]Campaign Metadata'!A:A,'[1]Campaign Metadata'!C:C)</f>
        <v>45747</v>
      </c>
      <c r="Q366" s="10" t="str">
        <f>IF(AND(Posts5[[#This Row],[Date]] &gt;=Posts5[[#This Row],[Campaign Start Date]], Posts5[[#This Row],[Date]]&lt;= Posts5[[#This Row],[Campaign end date]]), "During","Before")</f>
        <v>Before</v>
      </c>
    </row>
    <row r="367" spans="1:17" x14ac:dyDescent="0.3">
      <c r="A367" s="10" t="s">
        <v>278</v>
      </c>
      <c r="B367" s="10" t="s">
        <v>9</v>
      </c>
      <c r="C367" s="11">
        <v>45346</v>
      </c>
      <c r="D367" s="10" t="s">
        <v>15</v>
      </c>
      <c r="E367" s="10" t="s">
        <v>44</v>
      </c>
      <c r="F367" s="10">
        <v>4653</v>
      </c>
      <c r="G367" s="10">
        <v>226</v>
      </c>
      <c r="H367" s="10">
        <v>349</v>
      </c>
      <c r="I367" s="10">
        <v>56876</v>
      </c>
      <c r="J367" s="10">
        <v>28452</v>
      </c>
      <c r="K367" s="10">
        <v>257</v>
      </c>
      <c r="L367" s="10" t="s">
        <v>16</v>
      </c>
      <c r="M367" s="10" t="s">
        <v>37</v>
      </c>
      <c r="N367" s="10">
        <f>(Posts5[[#This Row],[Likes]]+Posts5[[#This Row],[Shares]]+Posts5[[#This Row],[Comments]])/Posts5[[#This Row],[Impressions]]</f>
        <v>9.191926295801392E-2</v>
      </c>
      <c r="O367" s="11">
        <f>_xlfn.XLOOKUP(Posts5[[#This Row],[Campaign_Name]],'[1]Campaign Metadata'!A:A,'[1]Campaign Metadata'!B:B)</f>
        <v>45717</v>
      </c>
      <c r="P367" s="10">
        <f>_xlfn.XLOOKUP(Posts5[[#This Row],[Campaign_Name]],'[1]Campaign Metadata'!A:A,'[1]Campaign Metadata'!C:C)</f>
        <v>45747</v>
      </c>
      <c r="Q367" s="10" t="str">
        <f>IF(AND(Posts5[[#This Row],[Date]] &gt;=Posts5[[#This Row],[Campaign Start Date]], Posts5[[#This Row],[Date]]&lt;= Posts5[[#This Row],[Campaign end date]]), "During","Before")</f>
        <v>Before</v>
      </c>
    </row>
    <row r="368" spans="1:17" x14ac:dyDescent="0.3">
      <c r="A368" s="10" t="s">
        <v>279</v>
      </c>
      <c r="B368" s="10" t="s">
        <v>9</v>
      </c>
      <c r="C368" s="11">
        <v>45791</v>
      </c>
      <c r="D368" s="10" t="s">
        <v>15</v>
      </c>
      <c r="E368" s="10" t="s">
        <v>32</v>
      </c>
      <c r="F368" s="10">
        <v>1701</v>
      </c>
      <c r="G368" s="10">
        <v>272</v>
      </c>
      <c r="H368" s="10">
        <v>385</v>
      </c>
      <c r="I368" s="10">
        <v>47496</v>
      </c>
      <c r="J368" s="10">
        <v>40832</v>
      </c>
      <c r="K368" s="10">
        <v>246</v>
      </c>
      <c r="L368" s="10" t="s">
        <v>10</v>
      </c>
      <c r="M368" s="10" t="s">
        <v>37</v>
      </c>
      <c r="N368" s="10">
        <f>(Posts5[[#This Row],[Likes]]+Posts5[[#This Row],[Shares]]+Posts5[[#This Row],[Comments]])/Posts5[[#This Row],[Impressions]]</f>
        <v>4.9646286003031836E-2</v>
      </c>
      <c r="O368" s="11">
        <f>_xlfn.XLOOKUP(Posts5[[#This Row],[Campaign_Name]],'[1]Campaign Metadata'!A:A,'[1]Campaign Metadata'!B:B)</f>
        <v>45717</v>
      </c>
      <c r="P368" s="10">
        <f>_xlfn.XLOOKUP(Posts5[[#This Row],[Campaign_Name]],'[1]Campaign Metadata'!A:A,'[1]Campaign Metadata'!C:C)</f>
        <v>45747</v>
      </c>
      <c r="Q368" s="10" t="str">
        <f>IF(AND(Posts5[[#This Row],[Date]] &gt;=Posts5[[#This Row],[Campaign Start Date]], Posts5[[#This Row],[Date]]&lt;= Posts5[[#This Row],[Campaign end date]]), "During","Before")</f>
        <v>Before</v>
      </c>
    </row>
    <row r="369" spans="1:17" x14ac:dyDescent="0.3">
      <c r="A369" s="10" t="s">
        <v>279</v>
      </c>
      <c r="B369" s="10" t="s">
        <v>9</v>
      </c>
      <c r="C369" s="11">
        <v>45791</v>
      </c>
      <c r="D369" s="10" t="s">
        <v>15</v>
      </c>
      <c r="E369" s="10" t="s">
        <v>32</v>
      </c>
      <c r="F369" s="10">
        <v>1701</v>
      </c>
      <c r="G369" s="10">
        <v>272</v>
      </c>
      <c r="H369" s="10">
        <v>385</v>
      </c>
      <c r="I369" s="10">
        <v>47496</v>
      </c>
      <c r="J369" s="10">
        <v>40832</v>
      </c>
      <c r="K369" s="10">
        <v>246</v>
      </c>
      <c r="L369" s="10" t="s">
        <v>16</v>
      </c>
      <c r="M369" s="10" t="s">
        <v>37</v>
      </c>
      <c r="N369" s="10">
        <f>(Posts5[[#This Row],[Likes]]+Posts5[[#This Row],[Shares]]+Posts5[[#This Row],[Comments]])/Posts5[[#This Row],[Impressions]]</f>
        <v>4.9646286003031836E-2</v>
      </c>
      <c r="O369" s="11">
        <f>_xlfn.XLOOKUP(Posts5[[#This Row],[Campaign_Name]],'[1]Campaign Metadata'!A:A,'[1]Campaign Metadata'!B:B)</f>
        <v>45717</v>
      </c>
      <c r="P369" s="10">
        <f>_xlfn.XLOOKUP(Posts5[[#This Row],[Campaign_Name]],'[1]Campaign Metadata'!A:A,'[1]Campaign Metadata'!C:C)</f>
        <v>45747</v>
      </c>
      <c r="Q369" s="10" t="str">
        <f>IF(AND(Posts5[[#This Row],[Date]] &gt;=Posts5[[#This Row],[Campaign Start Date]], Posts5[[#This Row],[Date]]&lt;= Posts5[[#This Row],[Campaign end date]]), "During","Before")</f>
        <v>Before</v>
      </c>
    </row>
    <row r="370" spans="1:17" x14ac:dyDescent="0.3">
      <c r="A370" s="10" t="s">
        <v>280</v>
      </c>
      <c r="B370" s="10" t="s">
        <v>7</v>
      </c>
      <c r="C370" s="11">
        <v>45379</v>
      </c>
      <c r="D370" s="10" t="s">
        <v>15</v>
      </c>
      <c r="E370" s="10" t="s">
        <v>47</v>
      </c>
      <c r="F370" s="10">
        <v>1673</v>
      </c>
      <c r="G370" s="10">
        <v>280</v>
      </c>
      <c r="H370" s="10">
        <v>67</v>
      </c>
      <c r="I370" s="10">
        <v>29847</v>
      </c>
      <c r="J370" s="10">
        <v>48016</v>
      </c>
      <c r="K370" s="10">
        <v>213</v>
      </c>
      <c r="L370" s="10" t="s">
        <v>12</v>
      </c>
      <c r="M370" s="10" t="s">
        <v>34</v>
      </c>
      <c r="N370" s="10">
        <f>(Posts5[[#This Row],[Likes]]+Posts5[[#This Row],[Shares]]+Posts5[[#This Row],[Comments]])/Posts5[[#This Row],[Impressions]]</f>
        <v>6.76784936509532E-2</v>
      </c>
      <c r="O370" s="11">
        <f>_xlfn.XLOOKUP(Posts5[[#This Row],[Campaign_Name]],'[1]Campaign Metadata'!A:A,'[1]Campaign Metadata'!B:B)</f>
        <v>45667</v>
      </c>
      <c r="P370" s="10">
        <f>_xlfn.XLOOKUP(Posts5[[#This Row],[Campaign_Name]],'[1]Campaign Metadata'!A:A,'[1]Campaign Metadata'!C:C)</f>
        <v>45698</v>
      </c>
      <c r="Q370" s="10" t="str">
        <f>IF(AND(Posts5[[#This Row],[Date]] &gt;=Posts5[[#This Row],[Campaign Start Date]], Posts5[[#This Row],[Date]]&lt;= Posts5[[#This Row],[Campaign end date]]), "During","Before")</f>
        <v>Before</v>
      </c>
    </row>
    <row r="371" spans="1:17" x14ac:dyDescent="0.3">
      <c r="A371" s="10" t="s">
        <v>280</v>
      </c>
      <c r="B371" s="10" t="s">
        <v>7</v>
      </c>
      <c r="C371" s="11">
        <v>45379</v>
      </c>
      <c r="D371" s="10" t="s">
        <v>15</v>
      </c>
      <c r="E371" s="10" t="s">
        <v>47</v>
      </c>
      <c r="F371" s="10">
        <v>1673</v>
      </c>
      <c r="G371" s="10">
        <v>280</v>
      </c>
      <c r="H371" s="10">
        <v>67</v>
      </c>
      <c r="I371" s="10">
        <v>29847</v>
      </c>
      <c r="J371" s="10">
        <v>48016</v>
      </c>
      <c r="K371" s="10">
        <v>213</v>
      </c>
      <c r="L371" s="10" t="s">
        <v>5</v>
      </c>
      <c r="M371" s="10" t="s">
        <v>34</v>
      </c>
      <c r="N371" s="10">
        <f>(Posts5[[#This Row],[Likes]]+Posts5[[#This Row],[Shares]]+Posts5[[#This Row],[Comments]])/Posts5[[#This Row],[Impressions]]</f>
        <v>6.76784936509532E-2</v>
      </c>
      <c r="O371" s="11">
        <f>_xlfn.XLOOKUP(Posts5[[#This Row],[Campaign_Name]],'[1]Campaign Metadata'!A:A,'[1]Campaign Metadata'!B:B)</f>
        <v>45667</v>
      </c>
      <c r="P371" s="10">
        <f>_xlfn.XLOOKUP(Posts5[[#This Row],[Campaign_Name]],'[1]Campaign Metadata'!A:A,'[1]Campaign Metadata'!C:C)</f>
        <v>45698</v>
      </c>
      <c r="Q371" s="10" t="str">
        <f>IF(AND(Posts5[[#This Row],[Date]] &gt;=Posts5[[#This Row],[Campaign Start Date]], Posts5[[#This Row],[Date]]&lt;= Posts5[[#This Row],[Campaign end date]]), "During","Before")</f>
        <v>Before</v>
      </c>
    </row>
    <row r="372" spans="1:17" x14ac:dyDescent="0.3">
      <c r="A372" s="10" t="s">
        <v>281</v>
      </c>
      <c r="B372" s="10" t="s">
        <v>9</v>
      </c>
      <c r="C372" s="11">
        <v>45723</v>
      </c>
      <c r="D372" s="10" t="s">
        <v>15</v>
      </c>
      <c r="E372" s="10" t="s">
        <v>53</v>
      </c>
      <c r="F372" s="10">
        <v>4310</v>
      </c>
      <c r="G372" s="10">
        <v>284</v>
      </c>
      <c r="H372" s="10">
        <v>306</v>
      </c>
      <c r="I372" s="10">
        <v>44606</v>
      </c>
      <c r="J372" s="10">
        <v>42604</v>
      </c>
      <c r="K372" s="10">
        <v>290</v>
      </c>
      <c r="L372" s="10" t="s">
        <v>10</v>
      </c>
      <c r="M372" s="10" t="s">
        <v>37</v>
      </c>
      <c r="N372" s="10">
        <f>(Posts5[[#This Row],[Likes]]+Posts5[[#This Row],[Shares]]+Posts5[[#This Row],[Comments]])/Posts5[[#This Row],[Impressions]]</f>
        <v>0.10985069273191947</v>
      </c>
      <c r="O372" s="11">
        <f>_xlfn.XLOOKUP(Posts5[[#This Row],[Campaign_Name]],'[1]Campaign Metadata'!A:A,'[1]Campaign Metadata'!B:B)</f>
        <v>45717</v>
      </c>
      <c r="P372" s="10">
        <f>_xlfn.XLOOKUP(Posts5[[#This Row],[Campaign_Name]],'[1]Campaign Metadata'!A:A,'[1]Campaign Metadata'!C:C)</f>
        <v>45747</v>
      </c>
      <c r="Q372" s="10" t="str">
        <f>IF(AND(Posts5[[#This Row],[Date]] &gt;=Posts5[[#This Row],[Campaign Start Date]], Posts5[[#This Row],[Date]]&lt;= Posts5[[#This Row],[Campaign end date]]), "During","Before")</f>
        <v>During</v>
      </c>
    </row>
    <row r="373" spans="1:17" x14ac:dyDescent="0.3">
      <c r="A373" s="10" t="s">
        <v>281</v>
      </c>
      <c r="B373" s="10" t="s">
        <v>9</v>
      </c>
      <c r="C373" s="11">
        <v>45723</v>
      </c>
      <c r="D373" s="10" t="s">
        <v>15</v>
      </c>
      <c r="E373" s="10" t="s">
        <v>53</v>
      </c>
      <c r="F373" s="10">
        <v>4310</v>
      </c>
      <c r="G373" s="10">
        <v>284</v>
      </c>
      <c r="H373" s="10">
        <v>306</v>
      </c>
      <c r="I373" s="10">
        <v>44606</v>
      </c>
      <c r="J373" s="10">
        <v>42604</v>
      </c>
      <c r="K373" s="10">
        <v>290</v>
      </c>
      <c r="L373" s="10" t="s">
        <v>16</v>
      </c>
      <c r="M373" s="10" t="s">
        <v>37</v>
      </c>
      <c r="N373" s="10">
        <f>(Posts5[[#This Row],[Likes]]+Posts5[[#This Row],[Shares]]+Posts5[[#This Row],[Comments]])/Posts5[[#This Row],[Impressions]]</f>
        <v>0.10985069273191947</v>
      </c>
      <c r="O373" s="11">
        <f>_xlfn.XLOOKUP(Posts5[[#This Row],[Campaign_Name]],'[1]Campaign Metadata'!A:A,'[1]Campaign Metadata'!B:B)</f>
        <v>45717</v>
      </c>
      <c r="P373" s="10">
        <f>_xlfn.XLOOKUP(Posts5[[#This Row],[Campaign_Name]],'[1]Campaign Metadata'!A:A,'[1]Campaign Metadata'!C:C)</f>
        <v>45747</v>
      </c>
      <c r="Q373" s="10" t="str">
        <f>IF(AND(Posts5[[#This Row],[Date]] &gt;=Posts5[[#This Row],[Campaign Start Date]], Posts5[[#This Row],[Date]]&lt;= Posts5[[#This Row],[Campaign end date]]), "During","Before")</f>
        <v>During</v>
      </c>
    </row>
    <row r="374" spans="1:17" x14ac:dyDescent="0.3">
      <c r="A374" s="10" t="s">
        <v>282</v>
      </c>
      <c r="B374" s="10" t="s">
        <v>8</v>
      </c>
      <c r="C374" s="11">
        <v>45585</v>
      </c>
      <c r="D374" s="10" t="s">
        <v>15</v>
      </c>
      <c r="E374" s="10" t="s">
        <v>59</v>
      </c>
      <c r="F374" s="10">
        <v>2752</v>
      </c>
      <c r="G374" s="10">
        <v>309</v>
      </c>
      <c r="H374" s="10">
        <v>91</v>
      </c>
      <c r="I374" s="10">
        <v>39038</v>
      </c>
      <c r="J374" s="10">
        <v>28095</v>
      </c>
      <c r="K374" s="10">
        <v>277</v>
      </c>
      <c r="L374" s="10" t="s">
        <v>5</v>
      </c>
      <c r="M374" s="10" t="s">
        <v>34</v>
      </c>
      <c r="N374" s="10">
        <f>(Posts5[[#This Row],[Likes]]+Posts5[[#This Row],[Shares]]+Posts5[[#This Row],[Comments]])/Posts5[[#This Row],[Impressions]]</f>
        <v>8.0741841282852611E-2</v>
      </c>
      <c r="O374" s="11">
        <f>_xlfn.XLOOKUP(Posts5[[#This Row],[Campaign_Name]],'[1]Campaign Metadata'!A:A,'[1]Campaign Metadata'!B:B)</f>
        <v>45667</v>
      </c>
      <c r="P374" s="10">
        <f>_xlfn.XLOOKUP(Posts5[[#This Row],[Campaign_Name]],'[1]Campaign Metadata'!A:A,'[1]Campaign Metadata'!C:C)</f>
        <v>45698</v>
      </c>
      <c r="Q374" s="10" t="str">
        <f>IF(AND(Posts5[[#This Row],[Date]] &gt;=Posts5[[#This Row],[Campaign Start Date]], Posts5[[#This Row],[Date]]&lt;= Posts5[[#This Row],[Campaign end date]]), "During","Before")</f>
        <v>Before</v>
      </c>
    </row>
    <row r="375" spans="1:17" x14ac:dyDescent="0.3">
      <c r="A375" s="10" t="s">
        <v>283</v>
      </c>
      <c r="B375" s="10" t="s">
        <v>8</v>
      </c>
      <c r="C375" s="11">
        <v>45324</v>
      </c>
      <c r="D375" s="10" t="s">
        <v>15</v>
      </c>
      <c r="E375" s="10" t="s">
        <v>59</v>
      </c>
      <c r="F375" s="10">
        <v>3818</v>
      </c>
      <c r="G375" s="10">
        <v>115</v>
      </c>
      <c r="H375" s="10">
        <v>286</v>
      </c>
      <c r="I375" s="10">
        <v>25127</v>
      </c>
      <c r="J375" s="10">
        <v>22277</v>
      </c>
      <c r="K375" s="10">
        <v>263</v>
      </c>
      <c r="L375" s="10" t="s">
        <v>5</v>
      </c>
      <c r="M375" s="10" t="s">
        <v>34</v>
      </c>
      <c r="N375" s="10">
        <f>(Posts5[[#This Row],[Likes]]+Posts5[[#This Row],[Shares]]+Posts5[[#This Row],[Comments]])/Posts5[[#This Row],[Impressions]]</f>
        <v>0.16790703227603773</v>
      </c>
      <c r="O375" s="11">
        <f>_xlfn.XLOOKUP(Posts5[[#This Row],[Campaign_Name]],'[1]Campaign Metadata'!A:A,'[1]Campaign Metadata'!B:B)</f>
        <v>45667</v>
      </c>
      <c r="P375" s="10">
        <f>_xlfn.XLOOKUP(Posts5[[#This Row],[Campaign_Name]],'[1]Campaign Metadata'!A:A,'[1]Campaign Metadata'!C:C)</f>
        <v>45698</v>
      </c>
      <c r="Q375" s="10" t="str">
        <f>IF(AND(Posts5[[#This Row],[Date]] &gt;=Posts5[[#This Row],[Campaign Start Date]], Posts5[[#This Row],[Date]]&lt;= Posts5[[#This Row],[Campaign end date]]), "During","Before")</f>
        <v>Before</v>
      </c>
    </row>
    <row r="376" spans="1:17" x14ac:dyDescent="0.3">
      <c r="A376" s="10" t="s">
        <v>284</v>
      </c>
      <c r="B376" s="10" t="s">
        <v>9</v>
      </c>
      <c r="C376" s="11">
        <v>45542</v>
      </c>
      <c r="D376" s="10" t="s">
        <v>15</v>
      </c>
      <c r="E376" s="10" t="s">
        <v>61</v>
      </c>
      <c r="F376" s="10">
        <v>2101</v>
      </c>
      <c r="G376" s="10">
        <v>411</v>
      </c>
      <c r="H376" s="10">
        <v>190</v>
      </c>
      <c r="I376" s="10">
        <v>41791</v>
      </c>
      <c r="J376" s="10">
        <v>57090</v>
      </c>
      <c r="K376" s="10">
        <v>172</v>
      </c>
      <c r="L376" s="10" t="s">
        <v>10</v>
      </c>
      <c r="M376" s="10" t="s">
        <v>37</v>
      </c>
      <c r="N376" s="10">
        <f>(Posts5[[#This Row],[Likes]]+Posts5[[#This Row],[Shares]]+Posts5[[#This Row],[Comments]])/Posts5[[#This Row],[Impressions]]</f>
        <v>6.4655069273288512E-2</v>
      </c>
      <c r="O376" s="11">
        <f>_xlfn.XLOOKUP(Posts5[[#This Row],[Campaign_Name]],'[1]Campaign Metadata'!A:A,'[1]Campaign Metadata'!B:B)</f>
        <v>45717</v>
      </c>
      <c r="P376" s="10">
        <f>_xlfn.XLOOKUP(Posts5[[#This Row],[Campaign_Name]],'[1]Campaign Metadata'!A:A,'[1]Campaign Metadata'!C:C)</f>
        <v>45747</v>
      </c>
      <c r="Q376" s="10" t="str">
        <f>IF(AND(Posts5[[#This Row],[Date]] &gt;=Posts5[[#This Row],[Campaign Start Date]], Posts5[[#This Row],[Date]]&lt;= Posts5[[#This Row],[Campaign end date]]), "During","Before")</f>
        <v>Before</v>
      </c>
    </row>
    <row r="377" spans="1:17" x14ac:dyDescent="0.3">
      <c r="A377" s="10" t="s">
        <v>284</v>
      </c>
      <c r="B377" s="10" t="s">
        <v>9</v>
      </c>
      <c r="C377" s="11">
        <v>45542</v>
      </c>
      <c r="D377" s="10" t="s">
        <v>15</v>
      </c>
      <c r="E377" s="10" t="s">
        <v>61</v>
      </c>
      <c r="F377" s="10">
        <v>2101</v>
      </c>
      <c r="G377" s="10">
        <v>411</v>
      </c>
      <c r="H377" s="10">
        <v>190</v>
      </c>
      <c r="I377" s="10">
        <v>41791</v>
      </c>
      <c r="J377" s="10">
        <v>57090</v>
      </c>
      <c r="K377" s="10">
        <v>172</v>
      </c>
      <c r="L377" s="10" t="s">
        <v>16</v>
      </c>
      <c r="M377" s="10" t="s">
        <v>37</v>
      </c>
      <c r="N377" s="10">
        <f>(Posts5[[#This Row],[Likes]]+Posts5[[#This Row],[Shares]]+Posts5[[#This Row],[Comments]])/Posts5[[#This Row],[Impressions]]</f>
        <v>6.4655069273288512E-2</v>
      </c>
      <c r="O377" s="11">
        <f>_xlfn.XLOOKUP(Posts5[[#This Row],[Campaign_Name]],'[1]Campaign Metadata'!A:A,'[1]Campaign Metadata'!B:B)</f>
        <v>45717</v>
      </c>
      <c r="P377" s="10">
        <f>_xlfn.XLOOKUP(Posts5[[#This Row],[Campaign_Name]],'[1]Campaign Metadata'!A:A,'[1]Campaign Metadata'!C:C)</f>
        <v>45747</v>
      </c>
      <c r="Q377" s="10" t="str">
        <f>IF(AND(Posts5[[#This Row],[Date]] &gt;=Posts5[[#This Row],[Campaign Start Date]], Posts5[[#This Row],[Date]]&lt;= Posts5[[#This Row],[Campaign end date]]), "During","Before")</f>
        <v>Before</v>
      </c>
    </row>
    <row r="378" spans="1:17" x14ac:dyDescent="0.3">
      <c r="A378" s="10" t="s">
        <v>285</v>
      </c>
      <c r="B378" s="10" t="s">
        <v>7</v>
      </c>
      <c r="C378" s="11">
        <v>45646</v>
      </c>
      <c r="D378" s="10" t="s">
        <v>15</v>
      </c>
      <c r="E378" s="10" t="s">
        <v>32</v>
      </c>
      <c r="F378" s="10">
        <v>2519</v>
      </c>
      <c r="G378" s="10">
        <v>202</v>
      </c>
      <c r="H378" s="10">
        <v>239</v>
      </c>
      <c r="I378" s="10">
        <v>36245</v>
      </c>
      <c r="J378" s="10">
        <v>48606</v>
      </c>
      <c r="K378" s="10">
        <v>145</v>
      </c>
      <c r="L378" s="10" t="s">
        <v>10</v>
      </c>
      <c r="M378" s="10" t="s">
        <v>37</v>
      </c>
      <c r="N378" s="10">
        <f>(Posts5[[#This Row],[Likes]]+Posts5[[#This Row],[Shares]]+Posts5[[#This Row],[Comments]])/Posts5[[#This Row],[Impressions]]</f>
        <v>8.1666436749896543E-2</v>
      </c>
      <c r="O378" s="11">
        <f>_xlfn.XLOOKUP(Posts5[[#This Row],[Campaign_Name]],'[1]Campaign Metadata'!A:A,'[1]Campaign Metadata'!B:B)</f>
        <v>45717</v>
      </c>
      <c r="P378" s="10">
        <f>_xlfn.XLOOKUP(Posts5[[#This Row],[Campaign_Name]],'[1]Campaign Metadata'!A:A,'[1]Campaign Metadata'!C:C)</f>
        <v>45747</v>
      </c>
      <c r="Q378" s="10" t="str">
        <f>IF(AND(Posts5[[#This Row],[Date]] &gt;=Posts5[[#This Row],[Campaign Start Date]], Posts5[[#This Row],[Date]]&lt;= Posts5[[#This Row],[Campaign end date]]), "During","Before")</f>
        <v>Before</v>
      </c>
    </row>
    <row r="379" spans="1:17" x14ac:dyDescent="0.3">
      <c r="A379" s="10" t="s">
        <v>286</v>
      </c>
      <c r="B379" s="10" t="s">
        <v>9</v>
      </c>
      <c r="C379" s="11">
        <v>45305</v>
      </c>
      <c r="D379" s="10" t="s">
        <v>15</v>
      </c>
      <c r="E379" s="10" t="s">
        <v>47</v>
      </c>
      <c r="F379" s="10">
        <v>4502</v>
      </c>
      <c r="G379" s="10">
        <v>238</v>
      </c>
      <c r="H379" s="10">
        <v>386</v>
      </c>
      <c r="I379" s="10">
        <v>39198</v>
      </c>
      <c r="J379" s="10">
        <v>25050</v>
      </c>
      <c r="K379" s="10">
        <v>297</v>
      </c>
      <c r="L379" s="10" t="s">
        <v>10</v>
      </c>
      <c r="M379" s="10" t="s">
        <v>37</v>
      </c>
      <c r="N379" s="10">
        <f>(Posts5[[#This Row],[Likes]]+Posts5[[#This Row],[Shares]]+Posts5[[#This Row],[Comments]])/Posts5[[#This Row],[Impressions]]</f>
        <v>0.13077197816215114</v>
      </c>
      <c r="O379" s="11">
        <f>_xlfn.XLOOKUP(Posts5[[#This Row],[Campaign_Name]],'[1]Campaign Metadata'!A:A,'[1]Campaign Metadata'!B:B)</f>
        <v>45717</v>
      </c>
      <c r="P379" s="10">
        <f>_xlfn.XLOOKUP(Posts5[[#This Row],[Campaign_Name]],'[1]Campaign Metadata'!A:A,'[1]Campaign Metadata'!C:C)</f>
        <v>45747</v>
      </c>
      <c r="Q379" s="10" t="str">
        <f>IF(AND(Posts5[[#This Row],[Date]] &gt;=Posts5[[#This Row],[Campaign Start Date]], Posts5[[#This Row],[Date]]&lt;= Posts5[[#This Row],[Campaign end date]]), "During","Before")</f>
        <v>Before</v>
      </c>
    </row>
    <row r="380" spans="1:17" x14ac:dyDescent="0.3">
      <c r="A380" s="10" t="s">
        <v>286</v>
      </c>
      <c r="B380" s="10" t="s">
        <v>9</v>
      </c>
      <c r="C380" s="11">
        <v>45305</v>
      </c>
      <c r="D380" s="10" t="s">
        <v>15</v>
      </c>
      <c r="E380" s="10" t="s">
        <v>47</v>
      </c>
      <c r="F380" s="10">
        <v>4502</v>
      </c>
      <c r="G380" s="10">
        <v>238</v>
      </c>
      <c r="H380" s="10">
        <v>386</v>
      </c>
      <c r="I380" s="10">
        <v>39198</v>
      </c>
      <c r="J380" s="10">
        <v>25050</v>
      </c>
      <c r="K380" s="10">
        <v>297</v>
      </c>
      <c r="L380" s="10" t="s">
        <v>16</v>
      </c>
      <c r="M380" s="10" t="s">
        <v>37</v>
      </c>
      <c r="N380" s="10">
        <f>(Posts5[[#This Row],[Likes]]+Posts5[[#This Row],[Shares]]+Posts5[[#This Row],[Comments]])/Posts5[[#This Row],[Impressions]]</f>
        <v>0.13077197816215114</v>
      </c>
      <c r="O380" s="11">
        <f>_xlfn.XLOOKUP(Posts5[[#This Row],[Campaign_Name]],'[1]Campaign Metadata'!A:A,'[1]Campaign Metadata'!B:B)</f>
        <v>45717</v>
      </c>
      <c r="P380" s="10">
        <f>_xlfn.XLOOKUP(Posts5[[#This Row],[Campaign_Name]],'[1]Campaign Metadata'!A:A,'[1]Campaign Metadata'!C:C)</f>
        <v>45747</v>
      </c>
      <c r="Q380" s="10" t="str">
        <f>IF(AND(Posts5[[#This Row],[Date]] &gt;=Posts5[[#This Row],[Campaign Start Date]], Posts5[[#This Row],[Date]]&lt;= Posts5[[#This Row],[Campaign end date]]), "During","Before")</f>
        <v>Before</v>
      </c>
    </row>
    <row r="381" spans="1:17" x14ac:dyDescent="0.3">
      <c r="A381" s="10" t="s">
        <v>287</v>
      </c>
      <c r="B381" s="10" t="s">
        <v>7</v>
      </c>
      <c r="C381" s="11">
        <v>45823</v>
      </c>
      <c r="D381" s="10" t="s">
        <v>15</v>
      </c>
      <c r="E381" s="10" t="s">
        <v>36</v>
      </c>
      <c r="F381" s="10">
        <v>2478</v>
      </c>
      <c r="G381" s="10">
        <v>427</v>
      </c>
      <c r="H381" s="10">
        <v>242</v>
      </c>
      <c r="I381" s="10">
        <v>59272</v>
      </c>
      <c r="J381" s="10">
        <v>37833</v>
      </c>
      <c r="K381" s="10">
        <v>214</v>
      </c>
      <c r="L381" s="10" t="s">
        <v>12</v>
      </c>
      <c r="M381" s="10" t="s">
        <v>34</v>
      </c>
      <c r="N381" s="10">
        <f>(Posts5[[#This Row],[Likes]]+Posts5[[#This Row],[Shares]]+Posts5[[#This Row],[Comments]])/Posts5[[#This Row],[Impressions]]</f>
        <v>5.3094209744904843E-2</v>
      </c>
      <c r="O381" s="11">
        <f>_xlfn.XLOOKUP(Posts5[[#This Row],[Campaign_Name]],'[1]Campaign Metadata'!A:A,'[1]Campaign Metadata'!B:B)</f>
        <v>45667</v>
      </c>
      <c r="P381" s="10">
        <f>_xlfn.XLOOKUP(Posts5[[#This Row],[Campaign_Name]],'[1]Campaign Metadata'!A:A,'[1]Campaign Metadata'!C:C)</f>
        <v>45698</v>
      </c>
      <c r="Q381" s="10" t="str">
        <f>IF(AND(Posts5[[#This Row],[Date]] &gt;=Posts5[[#This Row],[Campaign Start Date]], Posts5[[#This Row],[Date]]&lt;= Posts5[[#This Row],[Campaign end date]]), "During","Before")</f>
        <v>Before</v>
      </c>
    </row>
    <row r="382" spans="1:17" x14ac:dyDescent="0.3">
      <c r="A382" s="10" t="s">
        <v>287</v>
      </c>
      <c r="B382" s="10" t="s">
        <v>7</v>
      </c>
      <c r="C382" s="11">
        <v>45823</v>
      </c>
      <c r="D382" s="10" t="s">
        <v>15</v>
      </c>
      <c r="E382" s="10" t="s">
        <v>36</v>
      </c>
      <c r="F382" s="10">
        <v>2478</v>
      </c>
      <c r="G382" s="10">
        <v>427</v>
      </c>
      <c r="H382" s="10">
        <v>242</v>
      </c>
      <c r="I382" s="10">
        <v>59272</v>
      </c>
      <c r="J382" s="10">
        <v>37833</v>
      </c>
      <c r="K382" s="10">
        <v>214</v>
      </c>
      <c r="L382" s="10" t="s">
        <v>5</v>
      </c>
      <c r="M382" s="10" t="s">
        <v>34</v>
      </c>
      <c r="N382" s="10">
        <f>(Posts5[[#This Row],[Likes]]+Posts5[[#This Row],[Shares]]+Posts5[[#This Row],[Comments]])/Posts5[[#This Row],[Impressions]]</f>
        <v>5.3094209744904843E-2</v>
      </c>
      <c r="O382" s="11">
        <f>_xlfn.XLOOKUP(Posts5[[#This Row],[Campaign_Name]],'[1]Campaign Metadata'!A:A,'[1]Campaign Metadata'!B:B)</f>
        <v>45667</v>
      </c>
      <c r="P382" s="10">
        <f>_xlfn.XLOOKUP(Posts5[[#This Row],[Campaign_Name]],'[1]Campaign Metadata'!A:A,'[1]Campaign Metadata'!C:C)</f>
        <v>45698</v>
      </c>
      <c r="Q382" s="10" t="str">
        <f>IF(AND(Posts5[[#This Row],[Date]] &gt;=Posts5[[#This Row],[Campaign Start Date]], Posts5[[#This Row],[Date]]&lt;= Posts5[[#This Row],[Campaign end date]]), "During","Before")</f>
        <v>Before</v>
      </c>
    </row>
    <row r="383" spans="1:17" x14ac:dyDescent="0.3">
      <c r="A383" s="10" t="s">
        <v>288</v>
      </c>
      <c r="B383" s="10" t="s">
        <v>8</v>
      </c>
      <c r="C383" s="11">
        <v>45639</v>
      </c>
      <c r="D383" s="10" t="s">
        <v>13</v>
      </c>
      <c r="E383" s="10" t="s">
        <v>39</v>
      </c>
      <c r="F383" s="10">
        <v>4984</v>
      </c>
      <c r="G383" s="10">
        <v>300</v>
      </c>
      <c r="H383" s="10">
        <v>338</v>
      </c>
      <c r="I383" s="10">
        <v>32900</v>
      </c>
      <c r="J383" s="10">
        <v>31691</v>
      </c>
      <c r="K383" s="10">
        <v>160</v>
      </c>
      <c r="L383" s="10" t="s">
        <v>14</v>
      </c>
      <c r="M383" s="10" t="s">
        <v>34</v>
      </c>
      <c r="N383" s="10">
        <f>(Posts5[[#This Row],[Likes]]+Posts5[[#This Row],[Shares]]+Posts5[[#This Row],[Comments]])/Posts5[[#This Row],[Impressions]]</f>
        <v>0.17088145896656534</v>
      </c>
      <c r="O383" s="11">
        <f>_xlfn.XLOOKUP(Posts5[[#This Row],[Campaign_Name]],'[1]Campaign Metadata'!A:A,'[1]Campaign Metadata'!B:B)</f>
        <v>45667</v>
      </c>
      <c r="P383" s="10">
        <f>_xlfn.XLOOKUP(Posts5[[#This Row],[Campaign_Name]],'[1]Campaign Metadata'!A:A,'[1]Campaign Metadata'!C:C)</f>
        <v>45698</v>
      </c>
      <c r="Q383" s="10" t="str">
        <f>IF(AND(Posts5[[#This Row],[Date]] &gt;=Posts5[[#This Row],[Campaign Start Date]], Posts5[[#This Row],[Date]]&lt;= Posts5[[#This Row],[Campaign end date]]), "During","Before")</f>
        <v>Before</v>
      </c>
    </row>
    <row r="384" spans="1:17" x14ac:dyDescent="0.3">
      <c r="A384" s="10" t="s">
        <v>288</v>
      </c>
      <c r="B384" s="10" t="s">
        <v>8</v>
      </c>
      <c r="C384" s="11">
        <v>45639</v>
      </c>
      <c r="D384" s="10" t="s">
        <v>13</v>
      </c>
      <c r="E384" s="10" t="s">
        <v>39</v>
      </c>
      <c r="F384" s="10">
        <v>4984</v>
      </c>
      <c r="G384" s="10">
        <v>300</v>
      </c>
      <c r="H384" s="10">
        <v>338</v>
      </c>
      <c r="I384" s="10">
        <v>32900</v>
      </c>
      <c r="J384" s="10">
        <v>31691</v>
      </c>
      <c r="K384" s="10">
        <v>160</v>
      </c>
      <c r="L384" s="10" t="s">
        <v>5</v>
      </c>
      <c r="M384" s="10" t="s">
        <v>34</v>
      </c>
      <c r="N384" s="10">
        <f>(Posts5[[#This Row],[Likes]]+Posts5[[#This Row],[Shares]]+Posts5[[#This Row],[Comments]])/Posts5[[#This Row],[Impressions]]</f>
        <v>0.17088145896656534</v>
      </c>
      <c r="O384" s="11">
        <f>_xlfn.XLOOKUP(Posts5[[#This Row],[Campaign_Name]],'[1]Campaign Metadata'!A:A,'[1]Campaign Metadata'!B:B)</f>
        <v>45667</v>
      </c>
      <c r="P384" s="10">
        <f>_xlfn.XLOOKUP(Posts5[[#This Row],[Campaign_Name]],'[1]Campaign Metadata'!A:A,'[1]Campaign Metadata'!C:C)</f>
        <v>45698</v>
      </c>
      <c r="Q384" s="10" t="str">
        <f>IF(AND(Posts5[[#This Row],[Date]] &gt;=Posts5[[#This Row],[Campaign Start Date]], Posts5[[#This Row],[Date]]&lt;= Posts5[[#This Row],[Campaign end date]]), "During","Before")</f>
        <v>Before</v>
      </c>
    </row>
    <row r="385" spans="1:17" x14ac:dyDescent="0.3">
      <c r="A385" s="10" t="s">
        <v>289</v>
      </c>
      <c r="B385" s="10" t="s">
        <v>9</v>
      </c>
      <c r="C385" s="11">
        <v>45533</v>
      </c>
      <c r="D385" s="10" t="s">
        <v>15</v>
      </c>
      <c r="E385" s="10" t="s">
        <v>42</v>
      </c>
      <c r="F385" s="10">
        <v>4774</v>
      </c>
      <c r="G385" s="10">
        <v>389</v>
      </c>
      <c r="H385" s="10">
        <v>358</v>
      </c>
      <c r="I385" s="10">
        <v>52346</v>
      </c>
      <c r="J385" s="10">
        <v>30518</v>
      </c>
      <c r="K385" s="10">
        <v>277</v>
      </c>
      <c r="L385" s="10" t="s">
        <v>10</v>
      </c>
      <c r="M385" s="10" t="s">
        <v>37</v>
      </c>
      <c r="N385" s="10">
        <f>(Posts5[[#This Row],[Likes]]+Posts5[[#This Row],[Shares]]+Posts5[[#This Row],[Comments]])/Posts5[[#This Row],[Impressions]]</f>
        <v>0.10547128720437092</v>
      </c>
      <c r="O385" s="11">
        <f>_xlfn.XLOOKUP(Posts5[[#This Row],[Campaign_Name]],'[1]Campaign Metadata'!A:A,'[1]Campaign Metadata'!B:B)</f>
        <v>45717</v>
      </c>
      <c r="P385" s="10">
        <f>_xlfn.XLOOKUP(Posts5[[#This Row],[Campaign_Name]],'[1]Campaign Metadata'!A:A,'[1]Campaign Metadata'!C:C)</f>
        <v>45747</v>
      </c>
      <c r="Q385" s="10" t="str">
        <f>IF(AND(Posts5[[#This Row],[Date]] &gt;=Posts5[[#This Row],[Campaign Start Date]], Posts5[[#This Row],[Date]]&lt;= Posts5[[#This Row],[Campaign end date]]), "During","Before")</f>
        <v>Before</v>
      </c>
    </row>
    <row r="386" spans="1:17" x14ac:dyDescent="0.3">
      <c r="A386" s="10" t="s">
        <v>289</v>
      </c>
      <c r="B386" s="10" t="s">
        <v>9</v>
      </c>
      <c r="C386" s="11">
        <v>45533</v>
      </c>
      <c r="D386" s="10" t="s">
        <v>15</v>
      </c>
      <c r="E386" s="10" t="s">
        <v>42</v>
      </c>
      <c r="F386" s="10">
        <v>4774</v>
      </c>
      <c r="G386" s="10">
        <v>389</v>
      </c>
      <c r="H386" s="10">
        <v>358</v>
      </c>
      <c r="I386" s="10">
        <v>52346</v>
      </c>
      <c r="J386" s="10">
        <v>30518</v>
      </c>
      <c r="K386" s="10">
        <v>277</v>
      </c>
      <c r="L386" s="10" t="s">
        <v>16</v>
      </c>
      <c r="M386" s="10" t="s">
        <v>37</v>
      </c>
      <c r="N386" s="10">
        <f>(Posts5[[#This Row],[Likes]]+Posts5[[#This Row],[Shares]]+Posts5[[#This Row],[Comments]])/Posts5[[#This Row],[Impressions]]</f>
        <v>0.10547128720437092</v>
      </c>
      <c r="O386" s="11">
        <f>_xlfn.XLOOKUP(Posts5[[#This Row],[Campaign_Name]],'[1]Campaign Metadata'!A:A,'[1]Campaign Metadata'!B:B)</f>
        <v>45717</v>
      </c>
      <c r="P386" s="10">
        <f>_xlfn.XLOOKUP(Posts5[[#This Row],[Campaign_Name]],'[1]Campaign Metadata'!A:A,'[1]Campaign Metadata'!C:C)</f>
        <v>45747</v>
      </c>
      <c r="Q386" s="10" t="str">
        <f>IF(AND(Posts5[[#This Row],[Date]] &gt;=Posts5[[#This Row],[Campaign Start Date]], Posts5[[#This Row],[Date]]&lt;= Posts5[[#This Row],[Campaign end date]]), "During","Before")</f>
        <v>Before</v>
      </c>
    </row>
    <row r="387" spans="1:17" x14ac:dyDescent="0.3">
      <c r="A387" s="10" t="s">
        <v>290</v>
      </c>
      <c r="B387" s="10" t="s">
        <v>8</v>
      </c>
      <c r="C387" s="11">
        <v>45550</v>
      </c>
      <c r="D387" s="10" t="s">
        <v>15</v>
      </c>
      <c r="E387" s="10" t="s">
        <v>49</v>
      </c>
      <c r="F387" s="10">
        <v>2145</v>
      </c>
      <c r="G387" s="10">
        <v>340</v>
      </c>
      <c r="H387" s="10">
        <v>85</v>
      </c>
      <c r="I387" s="10">
        <v>53323</v>
      </c>
      <c r="J387" s="10">
        <v>49938</v>
      </c>
      <c r="K387" s="10">
        <v>104</v>
      </c>
      <c r="L387" s="10" t="s">
        <v>5</v>
      </c>
      <c r="M387" s="10" t="s">
        <v>34</v>
      </c>
      <c r="N387" s="10">
        <f>(Posts5[[#This Row],[Likes]]+Posts5[[#This Row],[Shares]]+Posts5[[#This Row],[Comments]])/Posts5[[#This Row],[Impressions]]</f>
        <v>4.819683813738912E-2</v>
      </c>
      <c r="O387" s="11">
        <f>_xlfn.XLOOKUP(Posts5[[#This Row],[Campaign_Name]],'[1]Campaign Metadata'!A:A,'[1]Campaign Metadata'!B:B)</f>
        <v>45667</v>
      </c>
      <c r="P387" s="10">
        <f>_xlfn.XLOOKUP(Posts5[[#This Row],[Campaign_Name]],'[1]Campaign Metadata'!A:A,'[1]Campaign Metadata'!C:C)</f>
        <v>45698</v>
      </c>
      <c r="Q387" s="10" t="str">
        <f>IF(AND(Posts5[[#This Row],[Date]] &gt;=Posts5[[#This Row],[Campaign Start Date]], Posts5[[#This Row],[Date]]&lt;= Posts5[[#This Row],[Campaign end date]]), "During","Before")</f>
        <v>Before</v>
      </c>
    </row>
    <row r="388" spans="1:17" x14ac:dyDescent="0.3">
      <c r="A388" s="10" t="s">
        <v>291</v>
      </c>
      <c r="B388" s="10" t="s">
        <v>8</v>
      </c>
      <c r="C388" s="11">
        <v>45759</v>
      </c>
      <c r="D388" s="10" t="s">
        <v>13</v>
      </c>
      <c r="E388" s="10" t="s">
        <v>59</v>
      </c>
      <c r="F388" s="10">
        <v>4315</v>
      </c>
      <c r="G388" s="10">
        <v>208</v>
      </c>
      <c r="H388" s="10">
        <v>273</v>
      </c>
      <c r="I388" s="10">
        <v>35780</v>
      </c>
      <c r="J388" s="10">
        <v>44349</v>
      </c>
      <c r="K388" s="10">
        <v>133</v>
      </c>
      <c r="L388" s="10" t="s">
        <v>10</v>
      </c>
      <c r="M388" s="10" t="s">
        <v>34</v>
      </c>
      <c r="N388" s="10">
        <f>(Posts5[[#This Row],[Likes]]+Posts5[[#This Row],[Shares]]+Posts5[[#This Row],[Comments]])/Posts5[[#This Row],[Impressions]]</f>
        <v>0.13404136389044158</v>
      </c>
      <c r="O388" s="11">
        <f>_xlfn.XLOOKUP(Posts5[[#This Row],[Campaign_Name]],'[1]Campaign Metadata'!A:A,'[1]Campaign Metadata'!B:B)</f>
        <v>45667</v>
      </c>
      <c r="P388" s="10">
        <f>_xlfn.XLOOKUP(Posts5[[#This Row],[Campaign_Name]],'[1]Campaign Metadata'!A:A,'[1]Campaign Metadata'!C:C)</f>
        <v>45698</v>
      </c>
      <c r="Q388" s="10" t="str">
        <f>IF(AND(Posts5[[#This Row],[Date]] &gt;=Posts5[[#This Row],[Campaign Start Date]], Posts5[[#This Row],[Date]]&lt;= Posts5[[#This Row],[Campaign end date]]), "During","Before")</f>
        <v>Before</v>
      </c>
    </row>
    <row r="389" spans="1:17" x14ac:dyDescent="0.3">
      <c r="A389" s="10" t="s">
        <v>291</v>
      </c>
      <c r="B389" s="10" t="s">
        <v>8</v>
      </c>
      <c r="C389" s="11">
        <v>45759</v>
      </c>
      <c r="D389" s="10" t="s">
        <v>13</v>
      </c>
      <c r="E389" s="10" t="s">
        <v>59</v>
      </c>
      <c r="F389" s="10">
        <v>4315</v>
      </c>
      <c r="G389" s="10">
        <v>208</v>
      </c>
      <c r="H389" s="10">
        <v>273</v>
      </c>
      <c r="I389" s="10">
        <v>35780</v>
      </c>
      <c r="J389" s="10">
        <v>44349</v>
      </c>
      <c r="K389" s="10">
        <v>133</v>
      </c>
      <c r="L389" s="10" t="s">
        <v>14</v>
      </c>
      <c r="M389" s="10" t="s">
        <v>34</v>
      </c>
      <c r="N389" s="10">
        <f>(Posts5[[#This Row],[Likes]]+Posts5[[#This Row],[Shares]]+Posts5[[#This Row],[Comments]])/Posts5[[#This Row],[Impressions]]</f>
        <v>0.13404136389044158</v>
      </c>
      <c r="O389" s="11">
        <f>_xlfn.XLOOKUP(Posts5[[#This Row],[Campaign_Name]],'[1]Campaign Metadata'!A:A,'[1]Campaign Metadata'!B:B)</f>
        <v>45667</v>
      </c>
      <c r="P389" s="10">
        <f>_xlfn.XLOOKUP(Posts5[[#This Row],[Campaign_Name]],'[1]Campaign Metadata'!A:A,'[1]Campaign Metadata'!C:C)</f>
        <v>45698</v>
      </c>
      <c r="Q389" s="10" t="str">
        <f>IF(AND(Posts5[[#This Row],[Date]] &gt;=Posts5[[#This Row],[Campaign Start Date]], Posts5[[#This Row],[Date]]&lt;= Posts5[[#This Row],[Campaign end date]]), "During","Before")</f>
        <v>Before</v>
      </c>
    </row>
    <row r="390" spans="1:17" x14ac:dyDescent="0.3">
      <c r="A390" s="10" t="s">
        <v>292</v>
      </c>
      <c r="B390" s="10" t="s">
        <v>8</v>
      </c>
      <c r="C390" s="11">
        <v>45636</v>
      </c>
      <c r="D390" s="10" t="s">
        <v>13</v>
      </c>
      <c r="E390" s="10" t="s">
        <v>42</v>
      </c>
      <c r="F390" s="10">
        <v>2267</v>
      </c>
      <c r="G390" s="10">
        <v>230</v>
      </c>
      <c r="H390" s="10">
        <v>243</v>
      </c>
      <c r="I390" s="10">
        <v>27904</v>
      </c>
      <c r="J390" s="10">
        <v>69771</v>
      </c>
      <c r="K390" s="10">
        <v>255</v>
      </c>
      <c r="L390" s="10" t="s">
        <v>10</v>
      </c>
      <c r="M390" s="10" t="s">
        <v>34</v>
      </c>
      <c r="N390" s="10">
        <f>(Posts5[[#This Row],[Likes]]+Posts5[[#This Row],[Shares]]+Posts5[[#This Row],[Comments]])/Posts5[[#This Row],[Impressions]]</f>
        <v>9.8193807339449546E-2</v>
      </c>
      <c r="O390" s="11">
        <f>_xlfn.XLOOKUP(Posts5[[#This Row],[Campaign_Name]],'[1]Campaign Metadata'!A:A,'[1]Campaign Metadata'!B:B)</f>
        <v>45667</v>
      </c>
      <c r="P390" s="10">
        <f>_xlfn.XLOOKUP(Posts5[[#This Row],[Campaign_Name]],'[1]Campaign Metadata'!A:A,'[1]Campaign Metadata'!C:C)</f>
        <v>45698</v>
      </c>
      <c r="Q390" s="10" t="str">
        <f>IF(AND(Posts5[[#This Row],[Date]] &gt;=Posts5[[#This Row],[Campaign Start Date]], Posts5[[#This Row],[Date]]&lt;= Posts5[[#This Row],[Campaign end date]]), "During","Before")</f>
        <v>Before</v>
      </c>
    </row>
    <row r="391" spans="1:17" x14ac:dyDescent="0.3">
      <c r="A391" s="10" t="s">
        <v>292</v>
      </c>
      <c r="B391" s="10" t="s">
        <v>8</v>
      </c>
      <c r="C391" s="11">
        <v>45636</v>
      </c>
      <c r="D391" s="10" t="s">
        <v>13</v>
      </c>
      <c r="E391" s="10" t="s">
        <v>42</v>
      </c>
      <c r="F391" s="10">
        <v>2267</v>
      </c>
      <c r="G391" s="10">
        <v>230</v>
      </c>
      <c r="H391" s="10">
        <v>243</v>
      </c>
      <c r="I391" s="10">
        <v>27904</v>
      </c>
      <c r="J391" s="10">
        <v>69771</v>
      </c>
      <c r="K391" s="10">
        <v>255</v>
      </c>
      <c r="L391" s="10" t="s">
        <v>14</v>
      </c>
      <c r="M391" s="10" t="s">
        <v>34</v>
      </c>
      <c r="N391" s="10">
        <f>(Posts5[[#This Row],[Likes]]+Posts5[[#This Row],[Shares]]+Posts5[[#This Row],[Comments]])/Posts5[[#This Row],[Impressions]]</f>
        <v>9.8193807339449546E-2</v>
      </c>
      <c r="O391" s="11">
        <f>_xlfn.XLOOKUP(Posts5[[#This Row],[Campaign_Name]],'[1]Campaign Metadata'!A:A,'[1]Campaign Metadata'!B:B)</f>
        <v>45667</v>
      </c>
      <c r="P391" s="10">
        <f>_xlfn.XLOOKUP(Posts5[[#This Row],[Campaign_Name]],'[1]Campaign Metadata'!A:A,'[1]Campaign Metadata'!C:C)</f>
        <v>45698</v>
      </c>
      <c r="Q391" s="10" t="str">
        <f>IF(AND(Posts5[[#This Row],[Date]] &gt;=Posts5[[#This Row],[Campaign Start Date]], Posts5[[#This Row],[Date]]&lt;= Posts5[[#This Row],[Campaign end date]]), "During","Before")</f>
        <v>Before</v>
      </c>
    </row>
    <row r="392" spans="1:17" x14ac:dyDescent="0.3">
      <c r="A392" s="10" t="s">
        <v>293</v>
      </c>
      <c r="B392" s="10" t="s">
        <v>9</v>
      </c>
      <c r="C392" s="11">
        <v>45816</v>
      </c>
      <c r="D392" s="10" t="s">
        <v>15</v>
      </c>
      <c r="E392" s="10" t="s">
        <v>44</v>
      </c>
      <c r="F392" s="10">
        <v>4375</v>
      </c>
      <c r="G392" s="10">
        <v>303</v>
      </c>
      <c r="H392" s="10">
        <v>294</v>
      </c>
      <c r="I392" s="10">
        <v>57468</v>
      </c>
      <c r="J392" s="10">
        <v>53397</v>
      </c>
      <c r="K392" s="10">
        <v>159</v>
      </c>
      <c r="L392" s="10" t="s">
        <v>10</v>
      </c>
      <c r="M392" s="10" t="s">
        <v>37</v>
      </c>
      <c r="N392" s="10">
        <f>(Posts5[[#This Row],[Likes]]+Posts5[[#This Row],[Shares]]+Posts5[[#This Row],[Comments]])/Posts5[[#This Row],[Impressions]]</f>
        <v>8.6517714206166912E-2</v>
      </c>
      <c r="O392" s="11">
        <f>_xlfn.XLOOKUP(Posts5[[#This Row],[Campaign_Name]],'[1]Campaign Metadata'!A:A,'[1]Campaign Metadata'!B:B)</f>
        <v>45717</v>
      </c>
      <c r="P392" s="10">
        <f>_xlfn.XLOOKUP(Posts5[[#This Row],[Campaign_Name]],'[1]Campaign Metadata'!A:A,'[1]Campaign Metadata'!C:C)</f>
        <v>45747</v>
      </c>
      <c r="Q392" s="10" t="str">
        <f>IF(AND(Posts5[[#This Row],[Date]] &gt;=Posts5[[#This Row],[Campaign Start Date]], Posts5[[#This Row],[Date]]&lt;= Posts5[[#This Row],[Campaign end date]]), "During","Before")</f>
        <v>Before</v>
      </c>
    </row>
    <row r="393" spans="1:17" x14ac:dyDescent="0.3">
      <c r="A393" s="10" t="s">
        <v>293</v>
      </c>
      <c r="B393" s="10" t="s">
        <v>9</v>
      </c>
      <c r="C393" s="11">
        <v>45816</v>
      </c>
      <c r="D393" s="10" t="s">
        <v>15</v>
      </c>
      <c r="E393" s="10" t="s">
        <v>44</v>
      </c>
      <c r="F393" s="10">
        <v>4375</v>
      </c>
      <c r="G393" s="10">
        <v>303</v>
      </c>
      <c r="H393" s="10">
        <v>294</v>
      </c>
      <c r="I393" s="10">
        <v>57468</v>
      </c>
      <c r="J393" s="10">
        <v>53397</v>
      </c>
      <c r="K393" s="10">
        <v>159</v>
      </c>
      <c r="L393" s="10" t="s">
        <v>16</v>
      </c>
      <c r="M393" s="10" t="s">
        <v>37</v>
      </c>
      <c r="N393" s="10">
        <f>(Posts5[[#This Row],[Likes]]+Posts5[[#This Row],[Shares]]+Posts5[[#This Row],[Comments]])/Posts5[[#This Row],[Impressions]]</f>
        <v>8.6517714206166912E-2</v>
      </c>
      <c r="O393" s="11">
        <f>_xlfn.XLOOKUP(Posts5[[#This Row],[Campaign_Name]],'[1]Campaign Metadata'!A:A,'[1]Campaign Metadata'!B:B)</f>
        <v>45717</v>
      </c>
      <c r="P393" s="10">
        <f>_xlfn.XLOOKUP(Posts5[[#This Row],[Campaign_Name]],'[1]Campaign Metadata'!A:A,'[1]Campaign Metadata'!C:C)</f>
        <v>45747</v>
      </c>
      <c r="Q393" s="10" t="str">
        <f>IF(AND(Posts5[[#This Row],[Date]] &gt;=Posts5[[#This Row],[Campaign Start Date]], Posts5[[#This Row],[Date]]&lt;= Posts5[[#This Row],[Campaign end date]]), "During","Before")</f>
        <v>Before</v>
      </c>
    </row>
    <row r="394" spans="1:17" x14ac:dyDescent="0.3">
      <c r="A394" s="10" t="s">
        <v>294</v>
      </c>
      <c r="B394" s="10" t="s">
        <v>8</v>
      </c>
      <c r="C394" s="11">
        <v>45666</v>
      </c>
      <c r="D394" s="10" t="s">
        <v>13</v>
      </c>
      <c r="E394" s="10" t="s">
        <v>61</v>
      </c>
      <c r="F394" s="10">
        <v>3817</v>
      </c>
      <c r="G394" s="10">
        <v>284</v>
      </c>
      <c r="H394" s="10">
        <v>204</v>
      </c>
      <c r="I394" s="10">
        <v>46434</v>
      </c>
      <c r="J394" s="10">
        <v>53396</v>
      </c>
      <c r="K394" s="10">
        <v>104</v>
      </c>
      <c r="L394" s="10" t="s">
        <v>14</v>
      </c>
      <c r="M394" s="10" t="s">
        <v>34</v>
      </c>
      <c r="N394" s="10">
        <f>(Posts5[[#This Row],[Likes]]+Posts5[[#This Row],[Shares]]+Posts5[[#This Row],[Comments]])/Posts5[[#This Row],[Impressions]]</f>
        <v>9.2712236723090841E-2</v>
      </c>
      <c r="O394" s="11">
        <f>_xlfn.XLOOKUP(Posts5[[#This Row],[Campaign_Name]],'[1]Campaign Metadata'!A:A,'[1]Campaign Metadata'!B:B)</f>
        <v>45667</v>
      </c>
      <c r="P394" s="10">
        <f>_xlfn.XLOOKUP(Posts5[[#This Row],[Campaign_Name]],'[1]Campaign Metadata'!A:A,'[1]Campaign Metadata'!C:C)</f>
        <v>45698</v>
      </c>
      <c r="Q394" s="10" t="str">
        <f>IF(AND(Posts5[[#This Row],[Date]] &gt;=Posts5[[#This Row],[Campaign Start Date]], Posts5[[#This Row],[Date]]&lt;= Posts5[[#This Row],[Campaign end date]]), "During","Before")</f>
        <v>Before</v>
      </c>
    </row>
    <row r="395" spans="1:17" x14ac:dyDescent="0.3">
      <c r="A395" s="10" t="s">
        <v>294</v>
      </c>
      <c r="B395" s="10" t="s">
        <v>8</v>
      </c>
      <c r="C395" s="11">
        <v>45666</v>
      </c>
      <c r="D395" s="10" t="s">
        <v>13</v>
      </c>
      <c r="E395" s="10" t="s">
        <v>61</v>
      </c>
      <c r="F395" s="10">
        <v>3817</v>
      </c>
      <c r="G395" s="10">
        <v>284</v>
      </c>
      <c r="H395" s="10">
        <v>204</v>
      </c>
      <c r="I395" s="10">
        <v>46434</v>
      </c>
      <c r="J395" s="10">
        <v>53396</v>
      </c>
      <c r="K395" s="10">
        <v>104</v>
      </c>
      <c r="L395" s="10" t="s">
        <v>5</v>
      </c>
      <c r="M395" s="10" t="s">
        <v>34</v>
      </c>
      <c r="N395" s="10">
        <f>(Posts5[[#This Row],[Likes]]+Posts5[[#This Row],[Shares]]+Posts5[[#This Row],[Comments]])/Posts5[[#This Row],[Impressions]]</f>
        <v>9.2712236723090841E-2</v>
      </c>
      <c r="O395" s="11">
        <f>_xlfn.XLOOKUP(Posts5[[#This Row],[Campaign_Name]],'[1]Campaign Metadata'!A:A,'[1]Campaign Metadata'!B:B)</f>
        <v>45667</v>
      </c>
      <c r="P395" s="10">
        <f>_xlfn.XLOOKUP(Posts5[[#This Row],[Campaign_Name]],'[1]Campaign Metadata'!A:A,'[1]Campaign Metadata'!C:C)</f>
        <v>45698</v>
      </c>
      <c r="Q395" s="10" t="str">
        <f>IF(AND(Posts5[[#This Row],[Date]] &gt;=Posts5[[#This Row],[Campaign Start Date]], Posts5[[#This Row],[Date]]&lt;= Posts5[[#This Row],[Campaign end date]]), "During","Before")</f>
        <v>Before</v>
      </c>
    </row>
    <row r="396" spans="1:17" x14ac:dyDescent="0.3">
      <c r="A396" s="10" t="s">
        <v>295</v>
      </c>
      <c r="B396" s="10" t="s">
        <v>8</v>
      </c>
      <c r="C396" s="11">
        <v>45481</v>
      </c>
      <c r="D396" s="10" t="s">
        <v>13</v>
      </c>
      <c r="E396" s="10" t="s">
        <v>53</v>
      </c>
      <c r="F396" s="10">
        <v>2981</v>
      </c>
      <c r="G396" s="10">
        <v>258</v>
      </c>
      <c r="H396" s="10">
        <v>168</v>
      </c>
      <c r="I396" s="10">
        <v>20677</v>
      </c>
      <c r="J396" s="10">
        <v>68290</v>
      </c>
      <c r="K396" s="10">
        <v>130</v>
      </c>
      <c r="L396" s="10" t="s">
        <v>12</v>
      </c>
      <c r="M396" s="10" t="s">
        <v>34</v>
      </c>
      <c r="N396" s="10">
        <f>(Posts5[[#This Row],[Likes]]+Posts5[[#This Row],[Shares]]+Posts5[[#This Row],[Comments]])/Posts5[[#This Row],[Impressions]]</f>
        <v>0.16477245248343569</v>
      </c>
      <c r="O396" s="11">
        <f>_xlfn.XLOOKUP(Posts5[[#This Row],[Campaign_Name]],'[1]Campaign Metadata'!A:A,'[1]Campaign Metadata'!B:B)</f>
        <v>45667</v>
      </c>
      <c r="P396" s="10">
        <f>_xlfn.XLOOKUP(Posts5[[#This Row],[Campaign_Name]],'[1]Campaign Metadata'!A:A,'[1]Campaign Metadata'!C:C)</f>
        <v>45698</v>
      </c>
      <c r="Q396" s="10" t="str">
        <f>IF(AND(Posts5[[#This Row],[Date]] &gt;=Posts5[[#This Row],[Campaign Start Date]], Posts5[[#This Row],[Date]]&lt;= Posts5[[#This Row],[Campaign end date]]), "During","Before")</f>
        <v>Before</v>
      </c>
    </row>
    <row r="397" spans="1:17" x14ac:dyDescent="0.3">
      <c r="A397" s="10" t="s">
        <v>295</v>
      </c>
      <c r="B397" s="10" t="s">
        <v>8</v>
      </c>
      <c r="C397" s="11">
        <v>45481</v>
      </c>
      <c r="D397" s="10" t="s">
        <v>13</v>
      </c>
      <c r="E397" s="10" t="s">
        <v>53</v>
      </c>
      <c r="F397" s="10">
        <v>2981</v>
      </c>
      <c r="G397" s="10">
        <v>258</v>
      </c>
      <c r="H397" s="10">
        <v>168</v>
      </c>
      <c r="I397" s="10">
        <v>20677</v>
      </c>
      <c r="J397" s="10">
        <v>68290</v>
      </c>
      <c r="K397" s="10">
        <v>130</v>
      </c>
      <c r="L397" s="10" t="s">
        <v>5</v>
      </c>
      <c r="M397" s="10" t="s">
        <v>34</v>
      </c>
      <c r="N397" s="10">
        <f>(Posts5[[#This Row],[Likes]]+Posts5[[#This Row],[Shares]]+Posts5[[#This Row],[Comments]])/Posts5[[#This Row],[Impressions]]</f>
        <v>0.16477245248343569</v>
      </c>
      <c r="O397" s="11">
        <f>_xlfn.XLOOKUP(Posts5[[#This Row],[Campaign_Name]],'[1]Campaign Metadata'!A:A,'[1]Campaign Metadata'!B:B)</f>
        <v>45667</v>
      </c>
      <c r="P397" s="10">
        <f>_xlfn.XLOOKUP(Posts5[[#This Row],[Campaign_Name]],'[1]Campaign Metadata'!A:A,'[1]Campaign Metadata'!C:C)</f>
        <v>45698</v>
      </c>
      <c r="Q397" s="10" t="str">
        <f>IF(AND(Posts5[[#This Row],[Date]] &gt;=Posts5[[#This Row],[Campaign Start Date]], Posts5[[#This Row],[Date]]&lt;= Posts5[[#This Row],[Campaign end date]]), "During","Before")</f>
        <v>Before</v>
      </c>
    </row>
    <row r="398" spans="1:17" x14ac:dyDescent="0.3">
      <c r="A398" s="10" t="s">
        <v>296</v>
      </c>
      <c r="B398" s="10" t="s">
        <v>8</v>
      </c>
      <c r="C398" s="11">
        <v>45551</v>
      </c>
      <c r="D398" s="10" t="s">
        <v>13</v>
      </c>
      <c r="E398" s="10" t="s">
        <v>61</v>
      </c>
      <c r="F398" s="10">
        <v>3300</v>
      </c>
      <c r="G398" s="10">
        <v>354</v>
      </c>
      <c r="H398" s="10">
        <v>397</v>
      </c>
      <c r="I398" s="10">
        <v>56773</v>
      </c>
      <c r="J398" s="10">
        <v>72110</v>
      </c>
      <c r="K398" s="10">
        <v>163</v>
      </c>
      <c r="L398" s="10" t="s">
        <v>10</v>
      </c>
      <c r="M398" s="10" t="s">
        <v>34</v>
      </c>
      <c r="N398" s="10">
        <f>(Posts5[[#This Row],[Likes]]+Posts5[[#This Row],[Shares]]+Posts5[[#This Row],[Comments]])/Posts5[[#This Row],[Impressions]]</f>
        <v>7.1354340971940891E-2</v>
      </c>
      <c r="O398" s="11">
        <f>_xlfn.XLOOKUP(Posts5[[#This Row],[Campaign_Name]],'[1]Campaign Metadata'!A:A,'[1]Campaign Metadata'!B:B)</f>
        <v>45667</v>
      </c>
      <c r="P398" s="10">
        <f>_xlfn.XLOOKUP(Posts5[[#This Row],[Campaign_Name]],'[1]Campaign Metadata'!A:A,'[1]Campaign Metadata'!C:C)</f>
        <v>45698</v>
      </c>
      <c r="Q398" s="10" t="str">
        <f>IF(AND(Posts5[[#This Row],[Date]] &gt;=Posts5[[#This Row],[Campaign Start Date]], Posts5[[#This Row],[Date]]&lt;= Posts5[[#This Row],[Campaign end date]]), "During","Before")</f>
        <v>Before</v>
      </c>
    </row>
    <row r="399" spans="1:17" x14ac:dyDescent="0.3">
      <c r="A399" s="10" t="s">
        <v>296</v>
      </c>
      <c r="B399" s="10" t="s">
        <v>8</v>
      </c>
      <c r="C399" s="11">
        <v>45551</v>
      </c>
      <c r="D399" s="10" t="s">
        <v>13</v>
      </c>
      <c r="E399" s="10" t="s">
        <v>61</v>
      </c>
      <c r="F399" s="10">
        <v>3300</v>
      </c>
      <c r="G399" s="10">
        <v>354</v>
      </c>
      <c r="H399" s="10">
        <v>397</v>
      </c>
      <c r="I399" s="10">
        <v>56773</v>
      </c>
      <c r="J399" s="10">
        <v>72110</v>
      </c>
      <c r="K399" s="10">
        <v>163</v>
      </c>
      <c r="L399" s="10" t="s">
        <v>14</v>
      </c>
      <c r="M399" s="10" t="s">
        <v>34</v>
      </c>
      <c r="N399" s="10">
        <f>(Posts5[[#This Row],[Likes]]+Posts5[[#This Row],[Shares]]+Posts5[[#This Row],[Comments]])/Posts5[[#This Row],[Impressions]]</f>
        <v>7.1354340971940891E-2</v>
      </c>
      <c r="O399" s="11">
        <f>_xlfn.XLOOKUP(Posts5[[#This Row],[Campaign_Name]],'[1]Campaign Metadata'!A:A,'[1]Campaign Metadata'!B:B)</f>
        <v>45667</v>
      </c>
      <c r="P399" s="10">
        <f>_xlfn.XLOOKUP(Posts5[[#This Row],[Campaign_Name]],'[1]Campaign Metadata'!A:A,'[1]Campaign Metadata'!C:C)</f>
        <v>45698</v>
      </c>
      <c r="Q399" s="10" t="str">
        <f>IF(AND(Posts5[[#This Row],[Date]] &gt;=Posts5[[#This Row],[Campaign Start Date]], Posts5[[#This Row],[Date]]&lt;= Posts5[[#This Row],[Campaign end date]]), "During","Before")</f>
        <v>Before</v>
      </c>
    </row>
    <row r="400" spans="1:17" x14ac:dyDescent="0.3">
      <c r="A400" s="10" t="s">
        <v>297</v>
      </c>
      <c r="B400" s="10" t="s">
        <v>9</v>
      </c>
      <c r="C400" s="11">
        <v>45457</v>
      </c>
      <c r="D400" s="10" t="s">
        <v>11</v>
      </c>
      <c r="E400" s="10" t="s">
        <v>42</v>
      </c>
      <c r="F400" s="10">
        <v>4722</v>
      </c>
      <c r="G400" s="10">
        <v>310</v>
      </c>
      <c r="H400" s="10">
        <v>344</v>
      </c>
      <c r="I400" s="10">
        <v>27911</v>
      </c>
      <c r="J400" s="10">
        <v>19000</v>
      </c>
      <c r="K400" s="10">
        <v>225</v>
      </c>
      <c r="L400" s="10" t="s">
        <v>10</v>
      </c>
      <c r="M400" s="10" t="s">
        <v>68</v>
      </c>
      <c r="N400" s="10">
        <f>(Posts5[[#This Row],[Likes]]+Posts5[[#This Row],[Shares]]+Posts5[[#This Row],[Comments]])/Posts5[[#This Row],[Impressions]]</f>
        <v>0.19261223173659131</v>
      </c>
      <c r="O400" s="11">
        <f>_xlfn.XLOOKUP(Posts5[[#This Row],[Campaign_Name]],'[1]Campaign Metadata'!A:A,'[1]Campaign Metadata'!B:B)</f>
        <v>45458</v>
      </c>
      <c r="P400" s="10">
        <f>_xlfn.XLOOKUP(Posts5[[#This Row],[Campaign_Name]],'[1]Campaign Metadata'!A:A,'[1]Campaign Metadata'!C:C)</f>
        <v>45488</v>
      </c>
      <c r="Q400" s="10" t="str">
        <f>IF(AND(Posts5[[#This Row],[Date]] &gt;=Posts5[[#This Row],[Campaign Start Date]], Posts5[[#This Row],[Date]]&lt;= Posts5[[#This Row],[Campaign end date]]), "During","Before")</f>
        <v>Before</v>
      </c>
    </row>
    <row r="401" spans="1:17" x14ac:dyDescent="0.3">
      <c r="A401" s="10" t="s">
        <v>297</v>
      </c>
      <c r="B401" s="10" t="s">
        <v>9</v>
      </c>
      <c r="C401" s="11">
        <v>45457</v>
      </c>
      <c r="D401" s="10" t="s">
        <v>11</v>
      </c>
      <c r="E401" s="10" t="s">
        <v>42</v>
      </c>
      <c r="F401" s="10">
        <v>4722</v>
      </c>
      <c r="G401" s="10">
        <v>310</v>
      </c>
      <c r="H401" s="10">
        <v>344</v>
      </c>
      <c r="I401" s="10">
        <v>27911</v>
      </c>
      <c r="J401" s="10">
        <v>19000</v>
      </c>
      <c r="K401" s="10">
        <v>225</v>
      </c>
      <c r="L401" s="10" t="s">
        <v>12</v>
      </c>
      <c r="M401" s="10" t="s">
        <v>68</v>
      </c>
      <c r="N401" s="10">
        <f>(Posts5[[#This Row],[Likes]]+Posts5[[#This Row],[Shares]]+Posts5[[#This Row],[Comments]])/Posts5[[#This Row],[Impressions]]</f>
        <v>0.19261223173659131</v>
      </c>
      <c r="O401" s="11">
        <f>_xlfn.XLOOKUP(Posts5[[#This Row],[Campaign_Name]],'[1]Campaign Metadata'!A:A,'[1]Campaign Metadata'!B:B)</f>
        <v>45458</v>
      </c>
      <c r="P401" s="10">
        <f>_xlfn.XLOOKUP(Posts5[[#This Row],[Campaign_Name]],'[1]Campaign Metadata'!A:A,'[1]Campaign Metadata'!C:C)</f>
        <v>45488</v>
      </c>
      <c r="Q401" s="10" t="str">
        <f>IF(AND(Posts5[[#This Row],[Date]] &gt;=Posts5[[#This Row],[Campaign Start Date]], Posts5[[#This Row],[Date]]&lt;= Posts5[[#This Row],[Campaign end date]]), "During","Before")</f>
        <v>Before</v>
      </c>
    </row>
    <row r="402" spans="1:17" x14ac:dyDescent="0.3">
      <c r="A402" s="10" t="s">
        <v>298</v>
      </c>
      <c r="B402" s="10" t="s">
        <v>7</v>
      </c>
      <c r="C402" s="11">
        <v>45357</v>
      </c>
      <c r="D402" s="10" t="s">
        <v>15</v>
      </c>
      <c r="E402" s="10" t="s">
        <v>47</v>
      </c>
      <c r="F402" s="10">
        <v>3529</v>
      </c>
      <c r="G402" s="10">
        <v>263</v>
      </c>
      <c r="H402" s="10">
        <v>107</v>
      </c>
      <c r="I402" s="10">
        <v>26570</v>
      </c>
      <c r="J402" s="10">
        <v>19367</v>
      </c>
      <c r="K402" s="10">
        <v>96</v>
      </c>
      <c r="L402" s="10" t="s">
        <v>10</v>
      </c>
      <c r="M402" s="10" t="s">
        <v>37</v>
      </c>
      <c r="N402" s="10">
        <f>(Posts5[[#This Row],[Likes]]+Posts5[[#This Row],[Shares]]+Posts5[[#This Row],[Comments]])/Posts5[[#This Row],[Impressions]]</f>
        <v>0.14674444862627023</v>
      </c>
      <c r="O402" s="11">
        <f>_xlfn.XLOOKUP(Posts5[[#This Row],[Campaign_Name]],'[1]Campaign Metadata'!A:A,'[1]Campaign Metadata'!B:B)</f>
        <v>45717</v>
      </c>
      <c r="P402" s="10">
        <f>_xlfn.XLOOKUP(Posts5[[#This Row],[Campaign_Name]],'[1]Campaign Metadata'!A:A,'[1]Campaign Metadata'!C:C)</f>
        <v>45747</v>
      </c>
      <c r="Q402" s="10" t="str">
        <f>IF(AND(Posts5[[#This Row],[Date]] &gt;=Posts5[[#This Row],[Campaign Start Date]], Posts5[[#This Row],[Date]]&lt;= Posts5[[#This Row],[Campaign end date]]), "During","Before")</f>
        <v>Before</v>
      </c>
    </row>
    <row r="403" spans="1:17" x14ac:dyDescent="0.3">
      <c r="A403" s="10" t="s">
        <v>299</v>
      </c>
      <c r="B403" s="10" t="s">
        <v>8</v>
      </c>
      <c r="C403" s="11">
        <v>45792</v>
      </c>
      <c r="D403" s="10" t="s">
        <v>15</v>
      </c>
      <c r="E403" s="10" t="s">
        <v>61</v>
      </c>
      <c r="F403" s="10">
        <v>4782</v>
      </c>
      <c r="G403" s="10">
        <v>210</v>
      </c>
      <c r="H403" s="10">
        <v>311</v>
      </c>
      <c r="I403" s="10">
        <v>29793</v>
      </c>
      <c r="J403" s="10">
        <v>37543</v>
      </c>
      <c r="K403" s="10">
        <v>145</v>
      </c>
      <c r="L403" s="10" t="s">
        <v>5</v>
      </c>
      <c r="M403" s="10" t="s">
        <v>34</v>
      </c>
      <c r="N403" s="10">
        <f>(Posts5[[#This Row],[Likes]]+Posts5[[#This Row],[Shares]]+Posts5[[#This Row],[Comments]])/Posts5[[#This Row],[Impressions]]</f>
        <v>0.17799483100057059</v>
      </c>
      <c r="O403" s="11">
        <f>_xlfn.XLOOKUP(Posts5[[#This Row],[Campaign_Name]],'[1]Campaign Metadata'!A:A,'[1]Campaign Metadata'!B:B)</f>
        <v>45667</v>
      </c>
      <c r="P403" s="10">
        <f>_xlfn.XLOOKUP(Posts5[[#This Row],[Campaign_Name]],'[1]Campaign Metadata'!A:A,'[1]Campaign Metadata'!C:C)</f>
        <v>45698</v>
      </c>
      <c r="Q403" s="10" t="str">
        <f>IF(AND(Posts5[[#This Row],[Date]] &gt;=Posts5[[#This Row],[Campaign Start Date]], Posts5[[#This Row],[Date]]&lt;= Posts5[[#This Row],[Campaign end date]]), "During","Before")</f>
        <v>Before</v>
      </c>
    </row>
    <row r="404" spans="1:17" x14ac:dyDescent="0.3">
      <c r="A404" s="10" t="s">
        <v>300</v>
      </c>
      <c r="B404" s="10" t="s">
        <v>8</v>
      </c>
      <c r="C404" s="11">
        <v>45480</v>
      </c>
      <c r="D404" s="10" t="s">
        <v>15</v>
      </c>
      <c r="E404" s="10" t="s">
        <v>47</v>
      </c>
      <c r="F404" s="10">
        <v>1848</v>
      </c>
      <c r="G404" s="10">
        <v>417</v>
      </c>
      <c r="H404" s="10">
        <v>294</v>
      </c>
      <c r="I404" s="10">
        <v>57819</v>
      </c>
      <c r="J404" s="10">
        <v>19798</v>
      </c>
      <c r="K404" s="10">
        <v>262</v>
      </c>
      <c r="L404" s="10" t="s">
        <v>12</v>
      </c>
      <c r="M404" s="10" t="s">
        <v>37</v>
      </c>
      <c r="N404" s="10">
        <f>(Posts5[[#This Row],[Likes]]+Posts5[[#This Row],[Shares]]+Posts5[[#This Row],[Comments]])/Posts5[[#This Row],[Impressions]]</f>
        <v>4.4258807658382193E-2</v>
      </c>
      <c r="O404" s="11">
        <f>_xlfn.XLOOKUP(Posts5[[#This Row],[Campaign_Name]],'[1]Campaign Metadata'!A:A,'[1]Campaign Metadata'!B:B)</f>
        <v>45717</v>
      </c>
      <c r="P404" s="10">
        <f>_xlfn.XLOOKUP(Posts5[[#This Row],[Campaign_Name]],'[1]Campaign Metadata'!A:A,'[1]Campaign Metadata'!C:C)</f>
        <v>45747</v>
      </c>
      <c r="Q404" s="10" t="str">
        <f>IF(AND(Posts5[[#This Row],[Date]] &gt;=Posts5[[#This Row],[Campaign Start Date]], Posts5[[#This Row],[Date]]&lt;= Posts5[[#This Row],[Campaign end date]]), "During","Before")</f>
        <v>Before</v>
      </c>
    </row>
    <row r="405" spans="1:17" x14ac:dyDescent="0.3">
      <c r="A405" s="10" t="s">
        <v>301</v>
      </c>
      <c r="B405" s="10" t="s">
        <v>9</v>
      </c>
      <c r="C405" s="11">
        <v>45591</v>
      </c>
      <c r="D405" s="10" t="s">
        <v>15</v>
      </c>
      <c r="E405" s="10" t="s">
        <v>39</v>
      </c>
      <c r="F405" s="10">
        <v>4676</v>
      </c>
      <c r="G405" s="10">
        <v>211</v>
      </c>
      <c r="H405" s="10">
        <v>55</v>
      </c>
      <c r="I405" s="10">
        <v>45917</v>
      </c>
      <c r="J405" s="10">
        <v>73503</v>
      </c>
      <c r="K405" s="10">
        <v>248</v>
      </c>
      <c r="L405" s="10" t="s">
        <v>10</v>
      </c>
      <c r="M405" s="10" t="s">
        <v>37</v>
      </c>
      <c r="N405" s="10">
        <f>(Posts5[[#This Row],[Likes]]+Posts5[[#This Row],[Shares]]+Posts5[[#This Row],[Comments]])/Posts5[[#This Row],[Impressions]]</f>
        <v>0.10762898272970794</v>
      </c>
      <c r="O405" s="11">
        <f>_xlfn.XLOOKUP(Posts5[[#This Row],[Campaign_Name]],'[1]Campaign Metadata'!A:A,'[1]Campaign Metadata'!B:B)</f>
        <v>45717</v>
      </c>
      <c r="P405" s="10">
        <f>_xlfn.XLOOKUP(Posts5[[#This Row],[Campaign_Name]],'[1]Campaign Metadata'!A:A,'[1]Campaign Metadata'!C:C)</f>
        <v>45747</v>
      </c>
      <c r="Q405" s="10" t="str">
        <f>IF(AND(Posts5[[#This Row],[Date]] &gt;=Posts5[[#This Row],[Campaign Start Date]], Posts5[[#This Row],[Date]]&lt;= Posts5[[#This Row],[Campaign end date]]), "During","Before")</f>
        <v>Before</v>
      </c>
    </row>
    <row r="406" spans="1:17" x14ac:dyDescent="0.3">
      <c r="A406" s="10" t="s">
        <v>301</v>
      </c>
      <c r="B406" s="10" t="s">
        <v>9</v>
      </c>
      <c r="C406" s="11">
        <v>45591</v>
      </c>
      <c r="D406" s="10" t="s">
        <v>15</v>
      </c>
      <c r="E406" s="10" t="s">
        <v>39</v>
      </c>
      <c r="F406" s="10">
        <v>4676</v>
      </c>
      <c r="G406" s="10">
        <v>211</v>
      </c>
      <c r="H406" s="10">
        <v>55</v>
      </c>
      <c r="I406" s="10">
        <v>45917</v>
      </c>
      <c r="J406" s="10">
        <v>73503</v>
      </c>
      <c r="K406" s="10">
        <v>248</v>
      </c>
      <c r="L406" s="10" t="s">
        <v>16</v>
      </c>
      <c r="M406" s="10" t="s">
        <v>37</v>
      </c>
      <c r="N406" s="10">
        <f>(Posts5[[#This Row],[Likes]]+Posts5[[#This Row],[Shares]]+Posts5[[#This Row],[Comments]])/Posts5[[#This Row],[Impressions]]</f>
        <v>0.10762898272970794</v>
      </c>
      <c r="O406" s="11">
        <f>_xlfn.XLOOKUP(Posts5[[#This Row],[Campaign_Name]],'[1]Campaign Metadata'!A:A,'[1]Campaign Metadata'!B:B)</f>
        <v>45717</v>
      </c>
      <c r="P406" s="10">
        <f>_xlfn.XLOOKUP(Posts5[[#This Row],[Campaign_Name]],'[1]Campaign Metadata'!A:A,'[1]Campaign Metadata'!C:C)</f>
        <v>45747</v>
      </c>
      <c r="Q406" s="10" t="str">
        <f>IF(AND(Posts5[[#This Row],[Date]] &gt;=Posts5[[#This Row],[Campaign Start Date]], Posts5[[#This Row],[Date]]&lt;= Posts5[[#This Row],[Campaign end date]]), "During","Before")</f>
        <v>Before</v>
      </c>
    </row>
    <row r="407" spans="1:17" x14ac:dyDescent="0.3">
      <c r="A407" s="10" t="s">
        <v>302</v>
      </c>
      <c r="B407" s="10" t="s">
        <v>9</v>
      </c>
      <c r="C407" s="11">
        <v>45512</v>
      </c>
      <c r="D407" s="10" t="s">
        <v>15</v>
      </c>
      <c r="E407" s="10" t="s">
        <v>59</v>
      </c>
      <c r="F407" s="10">
        <v>1994</v>
      </c>
      <c r="G407" s="10">
        <v>197</v>
      </c>
      <c r="H407" s="10">
        <v>290</v>
      </c>
      <c r="I407" s="10">
        <v>49500</v>
      </c>
      <c r="J407" s="10">
        <v>23343</v>
      </c>
      <c r="K407" s="10">
        <v>160</v>
      </c>
      <c r="L407" s="10" t="s">
        <v>10</v>
      </c>
      <c r="M407" s="10" t="s">
        <v>37</v>
      </c>
      <c r="N407" s="10">
        <f>(Posts5[[#This Row],[Likes]]+Posts5[[#This Row],[Shares]]+Posts5[[#This Row],[Comments]])/Posts5[[#This Row],[Impressions]]</f>
        <v>5.0121212121212122E-2</v>
      </c>
      <c r="O407" s="11">
        <f>_xlfn.XLOOKUP(Posts5[[#This Row],[Campaign_Name]],'[1]Campaign Metadata'!A:A,'[1]Campaign Metadata'!B:B)</f>
        <v>45717</v>
      </c>
      <c r="P407" s="10">
        <f>_xlfn.XLOOKUP(Posts5[[#This Row],[Campaign_Name]],'[1]Campaign Metadata'!A:A,'[1]Campaign Metadata'!C:C)</f>
        <v>45747</v>
      </c>
      <c r="Q407" s="10" t="str">
        <f>IF(AND(Posts5[[#This Row],[Date]] &gt;=Posts5[[#This Row],[Campaign Start Date]], Posts5[[#This Row],[Date]]&lt;= Posts5[[#This Row],[Campaign end date]]), "During","Before")</f>
        <v>Before</v>
      </c>
    </row>
    <row r="408" spans="1:17" x14ac:dyDescent="0.3">
      <c r="A408" s="10" t="s">
        <v>302</v>
      </c>
      <c r="B408" s="10" t="s">
        <v>9</v>
      </c>
      <c r="C408" s="11">
        <v>45512</v>
      </c>
      <c r="D408" s="10" t="s">
        <v>15</v>
      </c>
      <c r="E408" s="10" t="s">
        <v>59</v>
      </c>
      <c r="F408" s="10">
        <v>1994</v>
      </c>
      <c r="G408" s="10">
        <v>197</v>
      </c>
      <c r="H408" s="10">
        <v>290</v>
      </c>
      <c r="I408" s="10">
        <v>49500</v>
      </c>
      <c r="J408" s="10">
        <v>23343</v>
      </c>
      <c r="K408" s="10">
        <v>160</v>
      </c>
      <c r="L408" s="10" t="s">
        <v>16</v>
      </c>
      <c r="M408" s="10" t="s">
        <v>37</v>
      </c>
      <c r="N408" s="10">
        <f>(Posts5[[#This Row],[Likes]]+Posts5[[#This Row],[Shares]]+Posts5[[#This Row],[Comments]])/Posts5[[#This Row],[Impressions]]</f>
        <v>5.0121212121212122E-2</v>
      </c>
      <c r="O408" s="11">
        <f>_xlfn.XLOOKUP(Posts5[[#This Row],[Campaign_Name]],'[1]Campaign Metadata'!A:A,'[1]Campaign Metadata'!B:B)</f>
        <v>45717</v>
      </c>
      <c r="P408" s="10">
        <f>_xlfn.XLOOKUP(Posts5[[#This Row],[Campaign_Name]],'[1]Campaign Metadata'!A:A,'[1]Campaign Metadata'!C:C)</f>
        <v>45747</v>
      </c>
      <c r="Q408" s="10" t="str">
        <f>IF(AND(Posts5[[#This Row],[Date]] &gt;=Posts5[[#This Row],[Campaign Start Date]], Posts5[[#This Row],[Date]]&lt;= Posts5[[#This Row],[Campaign end date]]), "During","Before")</f>
        <v>Before</v>
      </c>
    </row>
    <row r="409" spans="1:17" x14ac:dyDescent="0.3">
      <c r="A409" s="10" t="s">
        <v>303</v>
      </c>
      <c r="B409" s="10" t="s">
        <v>8</v>
      </c>
      <c r="C409" s="11">
        <v>45691</v>
      </c>
      <c r="D409" s="10" t="s">
        <v>15</v>
      </c>
      <c r="E409" s="10" t="s">
        <v>47</v>
      </c>
      <c r="F409" s="10">
        <v>4995</v>
      </c>
      <c r="G409" s="10">
        <v>231</v>
      </c>
      <c r="H409" s="10">
        <v>94</v>
      </c>
      <c r="I409" s="10">
        <v>34431</v>
      </c>
      <c r="J409" s="10">
        <v>32560</v>
      </c>
      <c r="K409" s="10">
        <v>262</v>
      </c>
      <c r="L409" s="10" t="s">
        <v>5</v>
      </c>
      <c r="M409" s="10" t="s">
        <v>34</v>
      </c>
      <c r="N409" s="10">
        <f>(Posts5[[#This Row],[Likes]]+Posts5[[#This Row],[Shares]]+Posts5[[#This Row],[Comments]])/Posts5[[#This Row],[Impressions]]</f>
        <v>0.15451192239551567</v>
      </c>
      <c r="O409" s="11">
        <f>_xlfn.XLOOKUP(Posts5[[#This Row],[Campaign_Name]],'[1]Campaign Metadata'!A:A,'[1]Campaign Metadata'!B:B)</f>
        <v>45667</v>
      </c>
      <c r="P409" s="10">
        <f>_xlfn.XLOOKUP(Posts5[[#This Row],[Campaign_Name]],'[1]Campaign Metadata'!A:A,'[1]Campaign Metadata'!C:C)</f>
        <v>45698</v>
      </c>
      <c r="Q409" s="10" t="str">
        <f>IF(AND(Posts5[[#This Row],[Date]] &gt;=Posts5[[#This Row],[Campaign Start Date]], Posts5[[#This Row],[Date]]&lt;= Posts5[[#This Row],[Campaign end date]]), "During","Before")</f>
        <v>During</v>
      </c>
    </row>
    <row r="410" spans="1:17" x14ac:dyDescent="0.3">
      <c r="A410" s="10" t="s">
        <v>304</v>
      </c>
      <c r="B410" s="10" t="s">
        <v>8</v>
      </c>
      <c r="C410" s="11">
        <v>45385</v>
      </c>
      <c r="D410" s="10" t="s">
        <v>13</v>
      </c>
      <c r="E410" s="10" t="s">
        <v>53</v>
      </c>
      <c r="F410" s="10">
        <v>2291</v>
      </c>
      <c r="G410" s="10">
        <v>146</v>
      </c>
      <c r="H410" s="10">
        <v>399</v>
      </c>
      <c r="I410" s="10">
        <v>49319</v>
      </c>
      <c r="J410" s="10">
        <v>28056</v>
      </c>
      <c r="K410" s="10">
        <v>90</v>
      </c>
      <c r="L410" s="10" t="s">
        <v>10</v>
      </c>
      <c r="M410" s="10" t="s">
        <v>34</v>
      </c>
      <c r="N410" s="10">
        <f>(Posts5[[#This Row],[Likes]]+Posts5[[#This Row],[Shares]]+Posts5[[#This Row],[Comments]])/Posts5[[#This Row],[Impressions]]</f>
        <v>5.7503193495407452E-2</v>
      </c>
      <c r="O410" s="11">
        <f>_xlfn.XLOOKUP(Posts5[[#This Row],[Campaign_Name]],'[1]Campaign Metadata'!A:A,'[1]Campaign Metadata'!B:B)</f>
        <v>45667</v>
      </c>
      <c r="P410" s="10">
        <f>_xlfn.XLOOKUP(Posts5[[#This Row],[Campaign_Name]],'[1]Campaign Metadata'!A:A,'[1]Campaign Metadata'!C:C)</f>
        <v>45698</v>
      </c>
      <c r="Q410" s="10" t="str">
        <f>IF(AND(Posts5[[#This Row],[Date]] &gt;=Posts5[[#This Row],[Campaign Start Date]], Posts5[[#This Row],[Date]]&lt;= Posts5[[#This Row],[Campaign end date]]), "During","Before")</f>
        <v>Before</v>
      </c>
    </row>
    <row r="411" spans="1:17" x14ac:dyDescent="0.3">
      <c r="A411" s="10" t="s">
        <v>304</v>
      </c>
      <c r="B411" s="10" t="s">
        <v>8</v>
      </c>
      <c r="C411" s="11">
        <v>45385</v>
      </c>
      <c r="D411" s="10" t="s">
        <v>13</v>
      </c>
      <c r="E411" s="10" t="s">
        <v>53</v>
      </c>
      <c r="F411" s="10">
        <v>2291</v>
      </c>
      <c r="G411" s="10">
        <v>146</v>
      </c>
      <c r="H411" s="10">
        <v>399</v>
      </c>
      <c r="I411" s="10">
        <v>49319</v>
      </c>
      <c r="J411" s="10">
        <v>28056</v>
      </c>
      <c r="K411" s="10">
        <v>90</v>
      </c>
      <c r="L411" s="10" t="s">
        <v>14</v>
      </c>
      <c r="M411" s="10" t="s">
        <v>34</v>
      </c>
      <c r="N411" s="10">
        <f>(Posts5[[#This Row],[Likes]]+Posts5[[#This Row],[Shares]]+Posts5[[#This Row],[Comments]])/Posts5[[#This Row],[Impressions]]</f>
        <v>5.7503193495407452E-2</v>
      </c>
      <c r="O411" s="11">
        <f>_xlfn.XLOOKUP(Posts5[[#This Row],[Campaign_Name]],'[1]Campaign Metadata'!A:A,'[1]Campaign Metadata'!B:B)</f>
        <v>45667</v>
      </c>
      <c r="P411" s="10">
        <f>_xlfn.XLOOKUP(Posts5[[#This Row],[Campaign_Name]],'[1]Campaign Metadata'!A:A,'[1]Campaign Metadata'!C:C)</f>
        <v>45698</v>
      </c>
      <c r="Q411" s="10" t="str">
        <f>IF(AND(Posts5[[#This Row],[Date]] &gt;=Posts5[[#This Row],[Campaign Start Date]], Posts5[[#This Row],[Date]]&lt;= Posts5[[#This Row],[Campaign end date]]), "During","Before")</f>
        <v>Before</v>
      </c>
    </row>
    <row r="412" spans="1:17" x14ac:dyDescent="0.3">
      <c r="A412" s="10" t="s">
        <v>305</v>
      </c>
      <c r="B412" s="10" t="s">
        <v>8</v>
      </c>
      <c r="C412" s="11">
        <v>45481</v>
      </c>
      <c r="D412" s="10" t="s">
        <v>13</v>
      </c>
      <c r="E412" s="10" t="s">
        <v>42</v>
      </c>
      <c r="F412" s="10">
        <v>2304</v>
      </c>
      <c r="G412" s="10">
        <v>289</v>
      </c>
      <c r="H412" s="10">
        <v>161</v>
      </c>
      <c r="I412" s="10">
        <v>52645</v>
      </c>
      <c r="J412" s="10">
        <v>66262</v>
      </c>
      <c r="K412" s="10">
        <v>146</v>
      </c>
      <c r="L412" s="10" t="s">
        <v>14</v>
      </c>
      <c r="M412" s="10" t="s">
        <v>34</v>
      </c>
      <c r="N412" s="10">
        <f>(Posts5[[#This Row],[Likes]]+Posts5[[#This Row],[Shares]]+Posts5[[#This Row],[Comments]])/Posts5[[#This Row],[Impressions]]</f>
        <v>5.2312660271630736E-2</v>
      </c>
      <c r="O412" s="11">
        <f>_xlfn.XLOOKUP(Posts5[[#This Row],[Campaign_Name]],'[1]Campaign Metadata'!A:A,'[1]Campaign Metadata'!B:B)</f>
        <v>45667</v>
      </c>
      <c r="P412" s="10">
        <f>_xlfn.XLOOKUP(Posts5[[#This Row],[Campaign_Name]],'[1]Campaign Metadata'!A:A,'[1]Campaign Metadata'!C:C)</f>
        <v>45698</v>
      </c>
      <c r="Q412" s="10" t="str">
        <f>IF(AND(Posts5[[#This Row],[Date]] &gt;=Posts5[[#This Row],[Campaign Start Date]], Posts5[[#This Row],[Date]]&lt;= Posts5[[#This Row],[Campaign end date]]), "During","Before")</f>
        <v>Before</v>
      </c>
    </row>
    <row r="413" spans="1:17" x14ac:dyDescent="0.3">
      <c r="A413" s="10" t="s">
        <v>305</v>
      </c>
      <c r="B413" s="10" t="s">
        <v>8</v>
      </c>
      <c r="C413" s="11">
        <v>45481</v>
      </c>
      <c r="D413" s="10" t="s">
        <v>13</v>
      </c>
      <c r="E413" s="10" t="s">
        <v>42</v>
      </c>
      <c r="F413" s="10">
        <v>2304</v>
      </c>
      <c r="G413" s="10">
        <v>289</v>
      </c>
      <c r="H413" s="10">
        <v>161</v>
      </c>
      <c r="I413" s="10">
        <v>52645</v>
      </c>
      <c r="J413" s="10">
        <v>66262</v>
      </c>
      <c r="K413" s="10">
        <v>146</v>
      </c>
      <c r="L413" s="10" t="s">
        <v>5</v>
      </c>
      <c r="M413" s="10" t="s">
        <v>34</v>
      </c>
      <c r="N413" s="10">
        <f>(Posts5[[#This Row],[Likes]]+Posts5[[#This Row],[Shares]]+Posts5[[#This Row],[Comments]])/Posts5[[#This Row],[Impressions]]</f>
        <v>5.2312660271630736E-2</v>
      </c>
      <c r="O413" s="11">
        <f>_xlfn.XLOOKUP(Posts5[[#This Row],[Campaign_Name]],'[1]Campaign Metadata'!A:A,'[1]Campaign Metadata'!B:B)</f>
        <v>45667</v>
      </c>
      <c r="P413" s="10">
        <f>_xlfn.XLOOKUP(Posts5[[#This Row],[Campaign_Name]],'[1]Campaign Metadata'!A:A,'[1]Campaign Metadata'!C:C)</f>
        <v>45698</v>
      </c>
      <c r="Q413" s="10" t="str">
        <f>IF(AND(Posts5[[#This Row],[Date]] &gt;=Posts5[[#This Row],[Campaign Start Date]], Posts5[[#This Row],[Date]]&lt;= Posts5[[#This Row],[Campaign end date]]), "During","Before")</f>
        <v>Before</v>
      </c>
    </row>
    <row r="414" spans="1:17" x14ac:dyDescent="0.3">
      <c r="A414" s="10" t="s">
        <v>306</v>
      </c>
      <c r="B414" s="10" t="s">
        <v>8</v>
      </c>
      <c r="C414" s="11">
        <v>45451</v>
      </c>
      <c r="D414" s="10" t="s">
        <v>13</v>
      </c>
      <c r="E414" s="10" t="s">
        <v>53</v>
      </c>
      <c r="F414" s="10">
        <v>3413</v>
      </c>
      <c r="G414" s="10">
        <v>326</v>
      </c>
      <c r="H414" s="10">
        <v>86</v>
      </c>
      <c r="I414" s="10">
        <v>44680</v>
      </c>
      <c r="J414" s="10">
        <v>52719</v>
      </c>
      <c r="K414" s="10">
        <v>272</v>
      </c>
      <c r="L414" s="10" t="s">
        <v>10</v>
      </c>
      <c r="M414" s="10" t="s">
        <v>34</v>
      </c>
      <c r="N414" s="10">
        <f>(Posts5[[#This Row],[Likes]]+Posts5[[#This Row],[Shares]]+Posts5[[#This Row],[Comments]])/Posts5[[#This Row],[Impressions]]</f>
        <v>8.5608773500447627E-2</v>
      </c>
      <c r="O414" s="11">
        <f>_xlfn.XLOOKUP(Posts5[[#This Row],[Campaign_Name]],'[1]Campaign Metadata'!A:A,'[1]Campaign Metadata'!B:B)</f>
        <v>45667</v>
      </c>
      <c r="P414" s="10">
        <f>_xlfn.XLOOKUP(Posts5[[#This Row],[Campaign_Name]],'[1]Campaign Metadata'!A:A,'[1]Campaign Metadata'!C:C)</f>
        <v>45698</v>
      </c>
      <c r="Q414" s="10" t="str">
        <f>IF(AND(Posts5[[#This Row],[Date]] &gt;=Posts5[[#This Row],[Campaign Start Date]], Posts5[[#This Row],[Date]]&lt;= Posts5[[#This Row],[Campaign end date]]), "During","Before")</f>
        <v>Before</v>
      </c>
    </row>
    <row r="415" spans="1:17" x14ac:dyDescent="0.3">
      <c r="A415" s="10" t="s">
        <v>306</v>
      </c>
      <c r="B415" s="10" t="s">
        <v>8</v>
      </c>
      <c r="C415" s="11">
        <v>45451</v>
      </c>
      <c r="D415" s="10" t="s">
        <v>13</v>
      </c>
      <c r="E415" s="10" t="s">
        <v>53</v>
      </c>
      <c r="F415" s="10">
        <v>3413</v>
      </c>
      <c r="G415" s="10">
        <v>326</v>
      </c>
      <c r="H415" s="10">
        <v>86</v>
      </c>
      <c r="I415" s="10">
        <v>44680</v>
      </c>
      <c r="J415" s="10">
        <v>52719</v>
      </c>
      <c r="K415" s="10">
        <v>272</v>
      </c>
      <c r="L415" s="10" t="s">
        <v>14</v>
      </c>
      <c r="M415" s="10" t="s">
        <v>34</v>
      </c>
      <c r="N415" s="10">
        <f>(Posts5[[#This Row],[Likes]]+Posts5[[#This Row],[Shares]]+Posts5[[#This Row],[Comments]])/Posts5[[#This Row],[Impressions]]</f>
        <v>8.5608773500447627E-2</v>
      </c>
      <c r="O415" s="11">
        <f>_xlfn.XLOOKUP(Posts5[[#This Row],[Campaign_Name]],'[1]Campaign Metadata'!A:A,'[1]Campaign Metadata'!B:B)</f>
        <v>45667</v>
      </c>
      <c r="P415" s="10">
        <f>_xlfn.XLOOKUP(Posts5[[#This Row],[Campaign_Name]],'[1]Campaign Metadata'!A:A,'[1]Campaign Metadata'!C:C)</f>
        <v>45698</v>
      </c>
      <c r="Q415" s="10" t="str">
        <f>IF(AND(Posts5[[#This Row],[Date]] &gt;=Posts5[[#This Row],[Campaign Start Date]], Posts5[[#This Row],[Date]]&lt;= Posts5[[#This Row],[Campaign end date]]), "During","Before")</f>
        <v>Before</v>
      </c>
    </row>
    <row r="416" spans="1:17" x14ac:dyDescent="0.3">
      <c r="A416" s="10" t="s">
        <v>307</v>
      </c>
      <c r="B416" s="10" t="s">
        <v>9</v>
      </c>
      <c r="C416" s="11">
        <v>45736</v>
      </c>
      <c r="D416" s="10" t="s">
        <v>11</v>
      </c>
      <c r="E416" s="10" t="s">
        <v>59</v>
      </c>
      <c r="F416" s="10">
        <v>1453</v>
      </c>
      <c r="G416" s="10">
        <v>156</v>
      </c>
      <c r="H416" s="10">
        <v>178</v>
      </c>
      <c r="I416" s="10">
        <v>52980</v>
      </c>
      <c r="J416" s="10">
        <v>57180</v>
      </c>
      <c r="K416" s="10">
        <v>286</v>
      </c>
      <c r="L416" s="10" t="s">
        <v>10</v>
      </c>
      <c r="M416" s="10" t="s">
        <v>68</v>
      </c>
      <c r="N416" s="10">
        <f>(Posts5[[#This Row],[Likes]]+Posts5[[#This Row],[Shares]]+Posts5[[#This Row],[Comments]])/Posts5[[#This Row],[Impressions]]</f>
        <v>3.3729709324273313E-2</v>
      </c>
      <c r="O416" s="11">
        <f>_xlfn.XLOOKUP(Posts5[[#This Row],[Campaign_Name]],'[1]Campaign Metadata'!A:A,'[1]Campaign Metadata'!B:B)</f>
        <v>45458</v>
      </c>
      <c r="P416" s="10">
        <f>_xlfn.XLOOKUP(Posts5[[#This Row],[Campaign_Name]],'[1]Campaign Metadata'!A:A,'[1]Campaign Metadata'!C:C)</f>
        <v>45488</v>
      </c>
      <c r="Q416" s="10" t="str">
        <f>IF(AND(Posts5[[#This Row],[Date]] &gt;=Posts5[[#This Row],[Campaign Start Date]], Posts5[[#This Row],[Date]]&lt;= Posts5[[#This Row],[Campaign end date]]), "During","Before")</f>
        <v>Before</v>
      </c>
    </row>
    <row r="417" spans="1:17" x14ac:dyDescent="0.3">
      <c r="A417" s="10" t="s">
        <v>307</v>
      </c>
      <c r="B417" s="10" t="s">
        <v>9</v>
      </c>
      <c r="C417" s="11">
        <v>45736</v>
      </c>
      <c r="D417" s="10" t="s">
        <v>11</v>
      </c>
      <c r="E417" s="10" t="s">
        <v>59</v>
      </c>
      <c r="F417" s="10">
        <v>1453</v>
      </c>
      <c r="G417" s="10">
        <v>156</v>
      </c>
      <c r="H417" s="10">
        <v>178</v>
      </c>
      <c r="I417" s="10">
        <v>52980</v>
      </c>
      <c r="J417" s="10">
        <v>57180</v>
      </c>
      <c r="K417" s="10">
        <v>286</v>
      </c>
      <c r="L417" s="10" t="s">
        <v>12</v>
      </c>
      <c r="M417" s="10" t="s">
        <v>68</v>
      </c>
      <c r="N417" s="10">
        <f>(Posts5[[#This Row],[Likes]]+Posts5[[#This Row],[Shares]]+Posts5[[#This Row],[Comments]])/Posts5[[#This Row],[Impressions]]</f>
        <v>3.3729709324273313E-2</v>
      </c>
      <c r="O417" s="11">
        <f>_xlfn.XLOOKUP(Posts5[[#This Row],[Campaign_Name]],'[1]Campaign Metadata'!A:A,'[1]Campaign Metadata'!B:B)</f>
        <v>45458</v>
      </c>
      <c r="P417" s="10">
        <f>_xlfn.XLOOKUP(Posts5[[#This Row],[Campaign_Name]],'[1]Campaign Metadata'!A:A,'[1]Campaign Metadata'!C:C)</f>
        <v>45488</v>
      </c>
      <c r="Q417" s="10" t="str">
        <f>IF(AND(Posts5[[#This Row],[Date]] &gt;=Posts5[[#This Row],[Campaign Start Date]], Posts5[[#This Row],[Date]]&lt;= Posts5[[#This Row],[Campaign end date]]), "During","Before")</f>
        <v>Before</v>
      </c>
    </row>
    <row r="418" spans="1:17" x14ac:dyDescent="0.3">
      <c r="A418" s="10" t="s">
        <v>308</v>
      </c>
      <c r="B418" s="10" t="s">
        <v>8</v>
      </c>
      <c r="C418" s="11">
        <v>45676</v>
      </c>
      <c r="D418" s="10" t="s">
        <v>13</v>
      </c>
      <c r="E418" s="10" t="s">
        <v>44</v>
      </c>
      <c r="F418" s="10">
        <v>1651</v>
      </c>
      <c r="G418" s="10">
        <v>480</v>
      </c>
      <c r="H418" s="10">
        <v>282</v>
      </c>
      <c r="I418" s="10">
        <v>32140</v>
      </c>
      <c r="J418" s="10">
        <v>70560</v>
      </c>
      <c r="K418" s="10">
        <v>138</v>
      </c>
      <c r="L418" s="10" t="s">
        <v>12</v>
      </c>
      <c r="M418" s="10" t="s">
        <v>34</v>
      </c>
      <c r="N418" s="10">
        <f>(Posts5[[#This Row],[Likes]]+Posts5[[#This Row],[Shares]]+Posts5[[#This Row],[Comments]])/Posts5[[#This Row],[Impressions]]</f>
        <v>7.5077784691972627E-2</v>
      </c>
      <c r="O418" s="11">
        <f>_xlfn.XLOOKUP(Posts5[[#This Row],[Campaign_Name]],'[1]Campaign Metadata'!A:A,'[1]Campaign Metadata'!B:B)</f>
        <v>45667</v>
      </c>
      <c r="P418" s="10">
        <f>_xlfn.XLOOKUP(Posts5[[#This Row],[Campaign_Name]],'[1]Campaign Metadata'!A:A,'[1]Campaign Metadata'!C:C)</f>
        <v>45698</v>
      </c>
      <c r="Q418" s="10" t="str">
        <f>IF(AND(Posts5[[#This Row],[Date]] &gt;=Posts5[[#This Row],[Campaign Start Date]], Posts5[[#This Row],[Date]]&lt;= Posts5[[#This Row],[Campaign end date]]), "During","Before")</f>
        <v>During</v>
      </c>
    </row>
    <row r="419" spans="1:17" x14ac:dyDescent="0.3">
      <c r="A419" s="10" t="s">
        <v>308</v>
      </c>
      <c r="B419" s="10" t="s">
        <v>8</v>
      </c>
      <c r="C419" s="11">
        <v>45676</v>
      </c>
      <c r="D419" s="10" t="s">
        <v>13</v>
      </c>
      <c r="E419" s="10" t="s">
        <v>44</v>
      </c>
      <c r="F419" s="10">
        <v>1651</v>
      </c>
      <c r="G419" s="10">
        <v>480</v>
      </c>
      <c r="H419" s="10">
        <v>282</v>
      </c>
      <c r="I419" s="10">
        <v>32140</v>
      </c>
      <c r="J419" s="10">
        <v>70560</v>
      </c>
      <c r="K419" s="10">
        <v>138</v>
      </c>
      <c r="L419" s="10" t="s">
        <v>5</v>
      </c>
      <c r="M419" s="10" t="s">
        <v>34</v>
      </c>
      <c r="N419" s="10">
        <f>(Posts5[[#This Row],[Likes]]+Posts5[[#This Row],[Shares]]+Posts5[[#This Row],[Comments]])/Posts5[[#This Row],[Impressions]]</f>
        <v>7.5077784691972627E-2</v>
      </c>
      <c r="O419" s="11">
        <f>_xlfn.XLOOKUP(Posts5[[#This Row],[Campaign_Name]],'[1]Campaign Metadata'!A:A,'[1]Campaign Metadata'!B:B)</f>
        <v>45667</v>
      </c>
      <c r="P419" s="10">
        <f>_xlfn.XLOOKUP(Posts5[[#This Row],[Campaign_Name]],'[1]Campaign Metadata'!A:A,'[1]Campaign Metadata'!C:C)</f>
        <v>45698</v>
      </c>
      <c r="Q419" s="10" t="str">
        <f>IF(AND(Posts5[[#This Row],[Date]] &gt;=Posts5[[#This Row],[Campaign Start Date]], Posts5[[#This Row],[Date]]&lt;= Posts5[[#This Row],[Campaign end date]]), "During","Before")</f>
        <v>During</v>
      </c>
    </row>
    <row r="420" spans="1:17" x14ac:dyDescent="0.3">
      <c r="A420" s="10" t="s">
        <v>309</v>
      </c>
      <c r="B420" s="10" t="s">
        <v>8</v>
      </c>
      <c r="C420" s="11">
        <v>45662</v>
      </c>
      <c r="D420" s="10" t="s">
        <v>13</v>
      </c>
      <c r="E420" s="10" t="s">
        <v>36</v>
      </c>
      <c r="F420" s="10">
        <v>3341</v>
      </c>
      <c r="G420" s="10">
        <v>154</v>
      </c>
      <c r="H420" s="10">
        <v>123</v>
      </c>
      <c r="I420" s="10">
        <v>43369</v>
      </c>
      <c r="J420" s="10">
        <v>49035</v>
      </c>
      <c r="K420" s="10">
        <v>128</v>
      </c>
      <c r="L420" s="10" t="s">
        <v>14</v>
      </c>
      <c r="M420" s="10" t="s">
        <v>34</v>
      </c>
      <c r="N420" s="10">
        <f>(Posts5[[#This Row],[Likes]]+Posts5[[#This Row],[Shares]]+Posts5[[#This Row],[Comments]])/Posts5[[#This Row],[Impressions]]</f>
        <v>8.3423643616408028E-2</v>
      </c>
      <c r="O420" s="11">
        <f>_xlfn.XLOOKUP(Posts5[[#This Row],[Campaign_Name]],'[1]Campaign Metadata'!A:A,'[1]Campaign Metadata'!B:B)</f>
        <v>45667</v>
      </c>
      <c r="P420" s="10">
        <f>_xlfn.XLOOKUP(Posts5[[#This Row],[Campaign_Name]],'[1]Campaign Metadata'!A:A,'[1]Campaign Metadata'!C:C)</f>
        <v>45698</v>
      </c>
      <c r="Q420" s="10" t="str">
        <f>IF(AND(Posts5[[#This Row],[Date]] &gt;=Posts5[[#This Row],[Campaign Start Date]], Posts5[[#This Row],[Date]]&lt;= Posts5[[#This Row],[Campaign end date]]), "During","Before")</f>
        <v>Before</v>
      </c>
    </row>
    <row r="421" spans="1:17" x14ac:dyDescent="0.3">
      <c r="A421" s="10" t="s">
        <v>309</v>
      </c>
      <c r="B421" s="10" t="s">
        <v>8</v>
      </c>
      <c r="C421" s="11">
        <v>45662</v>
      </c>
      <c r="D421" s="10" t="s">
        <v>13</v>
      </c>
      <c r="E421" s="10" t="s">
        <v>36</v>
      </c>
      <c r="F421" s="10">
        <v>3341</v>
      </c>
      <c r="G421" s="10">
        <v>154</v>
      </c>
      <c r="H421" s="10">
        <v>123</v>
      </c>
      <c r="I421" s="10">
        <v>43369</v>
      </c>
      <c r="J421" s="10">
        <v>49035</v>
      </c>
      <c r="K421" s="10">
        <v>128</v>
      </c>
      <c r="L421" s="10" t="s">
        <v>5</v>
      </c>
      <c r="M421" s="10" t="s">
        <v>34</v>
      </c>
      <c r="N421" s="10">
        <f>(Posts5[[#This Row],[Likes]]+Posts5[[#This Row],[Shares]]+Posts5[[#This Row],[Comments]])/Posts5[[#This Row],[Impressions]]</f>
        <v>8.3423643616408028E-2</v>
      </c>
      <c r="O421" s="11">
        <f>_xlfn.XLOOKUP(Posts5[[#This Row],[Campaign_Name]],'[1]Campaign Metadata'!A:A,'[1]Campaign Metadata'!B:B)</f>
        <v>45667</v>
      </c>
      <c r="P421" s="10">
        <f>_xlfn.XLOOKUP(Posts5[[#This Row],[Campaign_Name]],'[1]Campaign Metadata'!A:A,'[1]Campaign Metadata'!C:C)</f>
        <v>45698</v>
      </c>
      <c r="Q421" s="10" t="str">
        <f>IF(AND(Posts5[[#This Row],[Date]] &gt;=Posts5[[#This Row],[Campaign Start Date]], Posts5[[#This Row],[Date]]&lt;= Posts5[[#This Row],[Campaign end date]]), "During","Before")</f>
        <v>Before</v>
      </c>
    </row>
    <row r="422" spans="1:17" x14ac:dyDescent="0.3">
      <c r="A422" s="10" t="s">
        <v>310</v>
      </c>
      <c r="B422" s="10" t="s">
        <v>8</v>
      </c>
      <c r="C422" s="11">
        <v>45612</v>
      </c>
      <c r="D422" s="10" t="s">
        <v>15</v>
      </c>
      <c r="E422" s="10" t="s">
        <v>59</v>
      </c>
      <c r="F422" s="10">
        <v>2972</v>
      </c>
      <c r="G422" s="10">
        <v>263</v>
      </c>
      <c r="H422" s="10">
        <v>308</v>
      </c>
      <c r="I422" s="10">
        <v>51740</v>
      </c>
      <c r="J422" s="10">
        <v>28214</v>
      </c>
      <c r="K422" s="10">
        <v>190</v>
      </c>
      <c r="L422" s="10" t="s">
        <v>12</v>
      </c>
      <c r="M422" s="10" t="s">
        <v>37</v>
      </c>
      <c r="N422" s="10">
        <f>(Posts5[[#This Row],[Likes]]+Posts5[[#This Row],[Shares]]+Posts5[[#This Row],[Comments]])/Posts5[[#This Row],[Impressions]]</f>
        <v>6.8477000386548123E-2</v>
      </c>
      <c r="O422" s="11">
        <f>_xlfn.XLOOKUP(Posts5[[#This Row],[Campaign_Name]],'[1]Campaign Metadata'!A:A,'[1]Campaign Metadata'!B:B)</f>
        <v>45717</v>
      </c>
      <c r="P422" s="10">
        <f>_xlfn.XLOOKUP(Posts5[[#This Row],[Campaign_Name]],'[1]Campaign Metadata'!A:A,'[1]Campaign Metadata'!C:C)</f>
        <v>45747</v>
      </c>
      <c r="Q422" s="10" t="str">
        <f>IF(AND(Posts5[[#This Row],[Date]] &gt;=Posts5[[#This Row],[Campaign Start Date]], Posts5[[#This Row],[Date]]&lt;= Posts5[[#This Row],[Campaign end date]]), "During","Before")</f>
        <v>Before</v>
      </c>
    </row>
    <row r="423" spans="1:17" x14ac:dyDescent="0.3">
      <c r="A423" s="10" t="s">
        <v>311</v>
      </c>
      <c r="B423" s="10" t="s">
        <v>8</v>
      </c>
      <c r="C423" s="11">
        <v>45626</v>
      </c>
      <c r="D423" s="10" t="s">
        <v>13</v>
      </c>
      <c r="E423" s="10" t="s">
        <v>36</v>
      </c>
      <c r="F423" s="10">
        <v>4963</v>
      </c>
      <c r="G423" s="10">
        <v>255</v>
      </c>
      <c r="H423" s="10">
        <v>193</v>
      </c>
      <c r="I423" s="10">
        <v>44386</v>
      </c>
      <c r="J423" s="10">
        <v>28415</v>
      </c>
      <c r="K423" s="10">
        <v>174</v>
      </c>
      <c r="L423" s="10" t="s">
        <v>14</v>
      </c>
      <c r="M423" s="10" t="s">
        <v>34</v>
      </c>
      <c r="N423" s="10">
        <f>(Posts5[[#This Row],[Likes]]+Posts5[[#This Row],[Shares]]+Posts5[[#This Row],[Comments]])/Posts5[[#This Row],[Impressions]]</f>
        <v>0.12190780876853062</v>
      </c>
      <c r="O423" s="11">
        <f>_xlfn.XLOOKUP(Posts5[[#This Row],[Campaign_Name]],'[1]Campaign Metadata'!A:A,'[1]Campaign Metadata'!B:B)</f>
        <v>45667</v>
      </c>
      <c r="P423" s="10">
        <f>_xlfn.XLOOKUP(Posts5[[#This Row],[Campaign_Name]],'[1]Campaign Metadata'!A:A,'[1]Campaign Metadata'!C:C)</f>
        <v>45698</v>
      </c>
      <c r="Q423" s="10" t="str">
        <f>IF(AND(Posts5[[#This Row],[Date]] &gt;=Posts5[[#This Row],[Campaign Start Date]], Posts5[[#This Row],[Date]]&lt;= Posts5[[#This Row],[Campaign end date]]), "During","Before")</f>
        <v>Before</v>
      </c>
    </row>
    <row r="424" spans="1:17" x14ac:dyDescent="0.3">
      <c r="A424" s="10" t="s">
        <v>311</v>
      </c>
      <c r="B424" s="10" t="s">
        <v>8</v>
      </c>
      <c r="C424" s="11">
        <v>45626</v>
      </c>
      <c r="D424" s="10" t="s">
        <v>13</v>
      </c>
      <c r="E424" s="10" t="s">
        <v>36</v>
      </c>
      <c r="F424" s="10">
        <v>4963</v>
      </c>
      <c r="G424" s="10">
        <v>255</v>
      </c>
      <c r="H424" s="10">
        <v>193</v>
      </c>
      <c r="I424" s="10">
        <v>44386</v>
      </c>
      <c r="J424" s="10">
        <v>28415</v>
      </c>
      <c r="K424" s="10">
        <v>174</v>
      </c>
      <c r="L424" s="10" t="s">
        <v>5</v>
      </c>
      <c r="M424" s="10" t="s">
        <v>34</v>
      </c>
      <c r="N424" s="10">
        <f>(Posts5[[#This Row],[Likes]]+Posts5[[#This Row],[Shares]]+Posts5[[#This Row],[Comments]])/Posts5[[#This Row],[Impressions]]</f>
        <v>0.12190780876853062</v>
      </c>
      <c r="O424" s="11">
        <f>_xlfn.XLOOKUP(Posts5[[#This Row],[Campaign_Name]],'[1]Campaign Metadata'!A:A,'[1]Campaign Metadata'!B:B)</f>
        <v>45667</v>
      </c>
      <c r="P424" s="10">
        <f>_xlfn.XLOOKUP(Posts5[[#This Row],[Campaign_Name]],'[1]Campaign Metadata'!A:A,'[1]Campaign Metadata'!C:C)</f>
        <v>45698</v>
      </c>
      <c r="Q424" s="10" t="str">
        <f>IF(AND(Posts5[[#This Row],[Date]] &gt;=Posts5[[#This Row],[Campaign Start Date]], Posts5[[#This Row],[Date]]&lt;= Posts5[[#This Row],[Campaign end date]]), "During","Before")</f>
        <v>Before</v>
      </c>
    </row>
    <row r="425" spans="1:17" x14ac:dyDescent="0.3">
      <c r="A425" s="10" t="s">
        <v>312</v>
      </c>
      <c r="B425" s="10" t="s">
        <v>9</v>
      </c>
      <c r="C425" s="11">
        <v>45378</v>
      </c>
      <c r="D425" s="10" t="s">
        <v>15</v>
      </c>
      <c r="E425" s="10" t="s">
        <v>44</v>
      </c>
      <c r="F425" s="10">
        <v>2399</v>
      </c>
      <c r="G425" s="10">
        <v>191</v>
      </c>
      <c r="H425" s="10">
        <v>221</v>
      </c>
      <c r="I425" s="10">
        <v>51603</v>
      </c>
      <c r="J425" s="10">
        <v>40033</v>
      </c>
      <c r="K425" s="10">
        <v>173</v>
      </c>
      <c r="L425" s="10" t="s">
        <v>10</v>
      </c>
      <c r="M425" s="10" t="s">
        <v>37</v>
      </c>
      <c r="N425" s="10">
        <f>(Posts5[[#This Row],[Likes]]+Posts5[[#This Row],[Shares]]+Posts5[[#This Row],[Comments]])/Posts5[[#This Row],[Impressions]]</f>
        <v>5.4473577117609438E-2</v>
      </c>
      <c r="O425" s="11">
        <f>_xlfn.XLOOKUP(Posts5[[#This Row],[Campaign_Name]],'[1]Campaign Metadata'!A:A,'[1]Campaign Metadata'!B:B)</f>
        <v>45717</v>
      </c>
      <c r="P425" s="10">
        <f>_xlfn.XLOOKUP(Posts5[[#This Row],[Campaign_Name]],'[1]Campaign Metadata'!A:A,'[1]Campaign Metadata'!C:C)</f>
        <v>45747</v>
      </c>
      <c r="Q425" s="10" t="str">
        <f>IF(AND(Posts5[[#This Row],[Date]] &gt;=Posts5[[#This Row],[Campaign Start Date]], Posts5[[#This Row],[Date]]&lt;= Posts5[[#This Row],[Campaign end date]]), "During","Before")</f>
        <v>Before</v>
      </c>
    </row>
    <row r="426" spans="1:17" x14ac:dyDescent="0.3">
      <c r="A426" s="10" t="s">
        <v>312</v>
      </c>
      <c r="B426" s="10" t="s">
        <v>9</v>
      </c>
      <c r="C426" s="11">
        <v>45378</v>
      </c>
      <c r="D426" s="10" t="s">
        <v>15</v>
      </c>
      <c r="E426" s="10" t="s">
        <v>44</v>
      </c>
      <c r="F426" s="10">
        <v>2399</v>
      </c>
      <c r="G426" s="10">
        <v>191</v>
      </c>
      <c r="H426" s="10">
        <v>221</v>
      </c>
      <c r="I426" s="10">
        <v>51603</v>
      </c>
      <c r="J426" s="10">
        <v>40033</v>
      </c>
      <c r="K426" s="10">
        <v>173</v>
      </c>
      <c r="L426" s="10" t="s">
        <v>16</v>
      </c>
      <c r="M426" s="10" t="s">
        <v>37</v>
      </c>
      <c r="N426" s="10">
        <f>(Posts5[[#This Row],[Likes]]+Posts5[[#This Row],[Shares]]+Posts5[[#This Row],[Comments]])/Posts5[[#This Row],[Impressions]]</f>
        <v>5.4473577117609438E-2</v>
      </c>
      <c r="O426" s="11">
        <f>_xlfn.XLOOKUP(Posts5[[#This Row],[Campaign_Name]],'[1]Campaign Metadata'!A:A,'[1]Campaign Metadata'!B:B)</f>
        <v>45717</v>
      </c>
      <c r="P426" s="10">
        <f>_xlfn.XLOOKUP(Posts5[[#This Row],[Campaign_Name]],'[1]Campaign Metadata'!A:A,'[1]Campaign Metadata'!C:C)</f>
        <v>45747</v>
      </c>
      <c r="Q426" s="10" t="str">
        <f>IF(AND(Posts5[[#This Row],[Date]] &gt;=Posts5[[#This Row],[Campaign Start Date]], Posts5[[#This Row],[Date]]&lt;= Posts5[[#This Row],[Campaign end date]]), "During","Before")</f>
        <v>Before</v>
      </c>
    </row>
    <row r="427" spans="1:17" x14ac:dyDescent="0.3">
      <c r="A427" s="10" t="s">
        <v>313</v>
      </c>
      <c r="B427" s="10" t="s">
        <v>9</v>
      </c>
      <c r="C427" s="11">
        <v>45808</v>
      </c>
      <c r="D427" s="10" t="s">
        <v>11</v>
      </c>
      <c r="E427" s="10" t="s">
        <v>49</v>
      </c>
      <c r="F427" s="10">
        <v>2162</v>
      </c>
      <c r="G427" s="10">
        <v>318</v>
      </c>
      <c r="H427" s="10">
        <v>83</v>
      </c>
      <c r="I427" s="10">
        <v>46719</v>
      </c>
      <c r="J427" s="10">
        <v>20482</v>
      </c>
      <c r="K427" s="10">
        <v>185</v>
      </c>
      <c r="L427" s="10" t="s">
        <v>10</v>
      </c>
      <c r="M427" s="10" t="s">
        <v>68</v>
      </c>
      <c r="N427" s="10">
        <f>(Posts5[[#This Row],[Likes]]+Posts5[[#This Row],[Shares]]+Posts5[[#This Row],[Comments]])/Posts5[[#This Row],[Impressions]]</f>
        <v>5.4859907104176028E-2</v>
      </c>
      <c r="O427" s="11">
        <f>_xlfn.XLOOKUP(Posts5[[#This Row],[Campaign_Name]],'[1]Campaign Metadata'!A:A,'[1]Campaign Metadata'!B:B)</f>
        <v>45458</v>
      </c>
      <c r="P427" s="10">
        <f>_xlfn.XLOOKUP(Posts5[[#This Row],[Campaign_Name]],'[1]Campaign Metadata'!A:A,'[1]Campaign Metadata'!C:C)</f>
        <v>45488</v>
      </c>
      <c r="Q427" s="10" t="str">
        <f>IF(AND(Posts5[[#This Row],[Date]] &gt;=Posts5[[#This Row],[Campaign Start Date]], Posts5[[#This Row],[Date]]&lt;= Posts5[[#This Row],[Campaign end date]]), "During","Before")</f>
        <v>Before</v>
      </c>
    </row>
    <row r="428" spans="1:17" x14ac:dyDescent="0.3">
      <c r="A428" s="10" t="s">
        <v>313</v>
      </c>
      <c r="B428" s="10" t="s">
        <v>9</v>
      </c>
      <c r="C428" s="11">
        <v>45808</v>
      </c>
      <c r="D428" s="10" t="s">
        <v>11</v>
      </c>
      <c r="E428" s="10" t="s">
        <v>49</v>
      </c>
      <c r="F428" s="10">
        <v>2162</v>
      </c>
      <c r="G428" s="10">
        <v>318</v>
      </c>
      <c r="H428" s="10">
        <v>83</v>
      </c>
      <c r="I428" s="10">
        <v>46719</v>
      </c>
      <c r="J428" s="10">
        <v>20482</v>
      </c>
      <c r="K428" s="10">
        <v>185</v>
      </c>
      <c r="L428" s="10" t="s">
        <v>12</v>
      </c>
      <c r="M428" s="10" t="s">
        <v>68</v>
      </c>
      <c r="N428" s="10">
        <f>(Posts5[[#This Row],[Likes]]+Posts5[[#This Row],[Shares]]+Posts5[[#This Row],[Comments]])/Posts5[[#This Row],[Impressions]]</f>
        <v>5.4859907104176028E-2</v>
      </c>
      <c r="O428" s="11">
        <f>_xlfn.XLOOKUP(Posts5[[#This Row],[Campaign_Name]],'[1]Campaign Metadata'!A:A,'[1]Campaign Metadata'!B:B)</f>
        <v>45458</v>
      </c>
      <c r="P428" s="10">
        <f>_xlfn.XLOOKUP(Posts5[[#This Row],[Campaign_Name]],'[1]Campaign Metadata'!A:A,'[1]Campaign Metadata'!C:C)</f>
        <v>45488</v>
      </c>
      <c r="Q428" s="10" t="str">
        <f>IF(AND(Posts5[[#This Row],[Date]] &gt;=Posts5[[#This Row],[Campaign Start Date]], Posts5[[#This Row],[Date]]&lt;= Posts5[[#This Row],[Campaign end date]]), "During","Before")</f>
        <v>Before</v>
      </c>
    </row>
    <row r="429" spans="1:17" x14ac:dyDescent="0.3">
      <c r="A429" s="10" t="s">
        <v>314</v>
      </c>
      <c r="B429" s="10" t="s">
        <v>8</v>
      </c>
      <c r="C429" s="11">
        <v>45825</v>
      </c>
      <c r="D429" s="10" t="s">
        <v>13</v>
      </c>
      <c r="E429" s="10" t="s">
        <v>36</v>
      </c>
      <c r="F429" s="10">
        <v>4341</v>
      </c>
      <c r="G429" s="10">
        <v>141</v>
      </c>
      <c r="H429" s="10">
        <v>63</v>
      </c>
      <c r="I429" s="10">
        <v>50081</v>
      </c>
      <c r="J429" s="10">
        <v>27507</v>
      </c>
      <c r="K429" s="10">
        <v>221</v>
      </c>
      <c r="L429" s="10" t="s">
        <v>10</v>
      </c>
      <c r="M429" s="10" t="s">
        <v>34</v>
      </c>
      <c r="N429" s="10">
        <f>(Posts5[[#This Row],[Likes]]+Posts5[[#This Row],[Shares]]+Posts5[[#This Row],[Comments]])/Posts5[[#This Row],[Impressions]]</f>
        <v>9.0752980172121162E-2</v>
      </c>
      <c r="O429" s="11">
        <f>_xlfn.XLOOKUP(Posts5[[#This Row],[Campaign_Name]],'[1]Campaign Metadata'!A:A,'[1]Campaign Metadata'!B:B)</f>
        <v>45667</v>
      </c>
      <c r="P429" s="10">
        <f>_xlfn.XLOOKUP(Posts5[[#This Row],[Campaign_Name]],'[1]Campaign Metadata'!A:A,'[1]Campaign Metadata'!C:C)</f>
        <v>45698</v>
      </c>
      <c r="Q429" s="10" t="str">
        <f>IF(AND(Posts5[[#This Row],[Date]] &gt;=Posts5[[#This Row],[Campaign Start Date]], Posts5[[#This Row],[Date]]&lt;= Posts5[[#This Row],[Campaign end date]]), "During","Before")</f>
        <v>Before</v>
      </c>
    </row>
    <row r="430" spans="1:17" x14ac:dyDescent="0.3">
      <c r="A430" s="10" t="s">
        <v>314</v>
      </c>
      <c r="B430" s="10" t="s">
        <v>8</v>
      </c>
      <c r="C430" s="11">
        <v>45825</v>
      </c>
      <c r="D430" s="10" t="s">
        <v>13</v>
      </c>
      <c r="E430" s="10" t="s">
        <v>36</v>
      </c>
      <c r="F430" s="10">
        <v>4341</v>
      </c>
      <c r="G430" s="10">
        <v>141</v>
      </c>
      <c r="H430" s="10">
        <v>63</v>
      </c>
      <c r="I430" s="10">
        <v>50081</v>
      </c>
      <c r="J430" s="10">
        <v>27507</v>
      </c>
      <c r="K430" s="10">
        <v>221</v>
      </c>
      <c r="L430" s="10" t="s">
        <v>14</v>
      </c>
      <c r="M430" s="10" t="s">
        <v>34</v>
      </c>
      <c r="N430" s="10">
        <f>(Posts5[[#This Row],[Likes]]+Posts5[[#This Row],[Shares]]+Posts5[[#This Row],[Comments]])/Posts5[[#This Row],[Impressions]]</f>
        <v>9.0752980172121162E-2</v>
      </c>
      <c r="O430" s="11">
        <f>_xlfn.XLOOKUP(Posts5[[#This Row],[Campaign_Name]],'[1]Campaign Metadata'!A:A,'[1]Campaign Metadata'!B:B)</f>
        <v>45667</v>
      </c>
      <c r="P430" s="10">
        <f>_xlfn.XLOOKUP(Posts5[[#This Row],[Campaign_Name]],'[1]Campaign Metadata'!A:A,'[1]Campaign Metadata'!C:C)</f>
        <v>45698</v>
      </c>
      <c r="Q430" s="10" t="str">
        <f>IF(AND(Posts5[[#This Row],[Date]] &gt;=Posts5[[#This Row],[Campaign Start Date]], Posts5[[#This Row],[Date]]&lt;= Posts5[[#This Row],[Campaign end date]]), "During","Before")</f>
        <v>Before</v>
      </c>
    </row>
    <row r="431" spans="1:17" x14ac:dyDescent="0.3">
      <c r="A431" s="10" t="s">
        <v>315</v>
      </c>
      <c r="B431" s="10" t="s">
        <v>7</v>
      </c>
      <c r="C431" s="11">
        <v>45442</v>
      </c>
      <c r="D431" s="10" t="s">
        <v>13</v>
      </c>
      <c r="E431" s="10" t="s">
        <v>49</v>
      </c>
      <c r="F431" s="10">
        <v>2448</v>
      </c>
      <c r="G431" s="10">
        <v>464</v>
      </c>
      <c r="H431" s="10">
        <v>98</v>
      </c>
      <c r="I431" s="10">
        <v>25737</v>
      </c>
      <c r="J431" s="10">
        <v>48545</v>
      </c>
      <c r="K431" s="10">
        <v>246</v>
      </c>
      <c r="L431" s="10" t="s">
        <v>5</v>
      </c>
      <c r="M431" s="10" t="s">
        <v>65</v>
      </c>
      <c r="N431" s="10">
        <f>(Posts5[[#This Row],[Likes]]+Posts5[[#This Row],[Shares]]+Posts5[[#This Row],[Comments]])/Posts5[[#This Row],[Impressions]]</f>
        <v>0.11695224773672146</v>
      </c>
      <c r="O431" s="11">
        <f>_xlfn.XLOOKUP(Posts5[[#This Row],[Campaign_Name]],'[1]Campaign Metadata'!A:A,'[1]Campaign Metadata'!B:B)</f>
        <v>45627</v>
      </c>
      <c r="P431" s="10">
        <f>_xlfn.XLOOKUP(Posts5[[#This Row],[Campaign_Name]],'[1]Campaign Metadata'!A:A,'[1]Campaign Metadata'!C:C)</f>
        <v>45657</v>
      </c>
      <c r="Q431" s="10" t="str">
        <f>IF(AND(Posts5[[#This Row],[Date]] &gt;=Posts5[[#This Row],[Campaign Start Date]], Posts5[[#This Row],[Date]]&lt;= Posts5[[#This Row],[Campaign end date]]), "During","Before")</f>
        <v>Before</v>
      </c>
    </row>
    <row r="432" spans="1:17" x14ac:dyDescent="0.3">
      <c r="A432" s="10" t="s">
        <v>316</v>
      </c>
      <c r="B432" s="10" t="s">
        <v>9</v>
      </c>
      <c r="C432" s="11">
        <v>45604</v>
      </c>
      <c r="D432" s="10" t="s">
        <v>15</v>
      </c>
      <c r="E432" s="10" t="s">
        <v>53</v>
      </c>
      <c r="F432" s="10">
        <v>2471</v>
      </c>
      <c r="G432" s="10">
        <v>166</v>
      </c>
      <c r="H432" s="10">
        <v>320</v>
      </c>
      <c r="I432" s="10">
        <v>48254</v>
      </c>
      <c r="J432" s="10">
        <v>46900</v>
      </c>
      <c r="K432" s="10">
        <v>111</v>
      </c>
      <c r="L432" s="10" t="s">
        <v>10</v>
      </c>
      <c r="M432" s="10" t="s">
        <v>37</v>
      </c>
      <c r="N432" s="10">
        <f>(Posts5[[#This Row],[Likes]]+Posts5[[#This Row],[Shares]]+Posts5[[#This Row],[Comments]])/Posts5[[#This Row],[Impressions]]</f>
        <v>6.1279893894806647E-2</v>
      </c>
      <c r="O432" s="11">
        <f>_xlfn.XLOOKUP(Posts5[[#This Row],[Campaign_Name]],'[1]Campaign Metadata'!A:A,'[1]Campaign Metadata'!B:B)</f>
        <v>45717</v>
      </c>
      <c r="P432" s="10">
        <f>_xlfn.XLOOKUP(Posts5[[#This Row],[Campaign_Name]],'[1]Campaign Metadata'!A:A,'[1]Campaign Metadata'!C:C)</f>
        <v>45747</v>
      </c>
      <c r="Q432" s="10" t="str">
        <f>IF(AND(Posts5[[#This Row],[Date]] &gt;=Posts5[[#This Row],[Campaign Start Date]], Posts5[[#This Row],[Date]]&lt;= Posts5[[#This Row],[Campaign end date]]), "During","Before")</f>
        <v>Before</v>
      </c>
    </row>
    <row r="433" spans="1:17" x14ac:dyDescent="0.3">
      <c r="A433" s="10" t="s">
        <v>316</v>
      </c>
      <c r="B433" s="10" t="s">
        <v>9</v>
      </c>
      <c r="C433" s="11">
        <v>45604</v>
      </c>
      <c r="D433" s="10" t="s">
        <v>15</v>
      </c>
      <c r="E433" s="10" t="s">
        <v>53</v>
      </c>
      <c r="F433" s="10">
        <v>2471</v>
      </c>
      <c r="G433" s="10">
        <v>166</v>
      </c>
      <c r="H433" s="10">
        <v>320</v>
      </c>
      <c r="I433" s="10">
        <v>48254</v>
      </c>
      <c r="J433" s="10">
        <v>46900</v>
      </c>
      <c r="K433" s="10">
        <v>111</v>
      </c>
      <c r="L433" s="10" t="s">
        <v>16</v>
      </c>
      <c r="M433" s="10" t="s">
        <v>37</v>
      </c>
      <c r="N433" s="10">
        <f>(Posts5[[#This Row],[Likes]]+Posts5[[#This Row],[Shares]]+Posts5[[#This Row],[Comments]])/Posts5[[#This Row],[Impressions]]</f>
        <v>6.1279893894806647E-2</v>
      </c>
      <c r="O433" s="11">
        <f>_xlfn.XLOOKUP(Posts5[[#This Row],[Campaign_Name]],'[1]Campaign Metadata'!A:A,'[1]Campaign Metadata'!B:B)</f>
        <v>45717</v>
      </c>
      <c r="P433" s="10">
        <f>_xlfn.XLOOKUP(Posts5[[#This Row],[Campaign_Name]],'[1]Campaign Metadata'!A:A,'[1]Campaign Metadata'!C:C)</f>
        <v>45747</v>
      </c>
      <c r="Q433" s="10" t="str">
        <f>IF(AND(Posts5[[#This Row],[Date]] &gt;=Posts5[[#This Row],[Campaign Start Date]], Posts5[[#This Row],[Date]]&lt;= Posts5[[#This Row],[Campaign end date]]), "During","Before")</f>
        <v>Before</v>
      </c>
    </row>
    <row r="434" spans="1:17" x14ac:dyDescent="0.3">
      <c r="A434" s="10" t="s">
        <v>317</v>
      </c>
      <c r="B434" s="10" t="s">
        <v>9</v>
      </c>
      <c r="C434" s="11">
        <v>45368</v>
      </c>
      <c r="D434" s="10" t="s">
        <v>11</v>
      </c>
      <c r="E434" s="10" t="s">
        <v>36</v>
      </c>
      <c r="F434" s="10">
        <v>2692</v>
      </c>
      <c r="G434" s="10">
        <v>446</v>
      </c>
      <c r="H434" s="10">
        <v>216</v>
      </c>
      <c r="I434" s="10">
        <v>45818</v>
      </c>
      <c r="J434" s="10">
        <v>62723</v>
      </c>
      <c r="K434" s="10">
        <v>85</v>
      </c>
      <c r="L434" s="10" t="s">
        <v>10</v>
      </c>
      <c r="M434" s="10" t="s">
        <v>68</v>
      </c>
      <c r="N434" s="10">
        <f>(Posts5[[#This Row],[Likes]]+Posts5[[#This Row],[Shares]]+Posts5[[#This Row],[Comments]])/Posts5[[#This Row],[Impressions]]</f>
        <v>7.3202671439172376E-2</v>
      </c>
      <c r="O434" s="11">
        <f>_xlfn.XLOOKUP(Posts5[[#This Row],[Campaign_Name]],'[1]Campaign Metadata'!A:A,'[1]Campaign Metadata'!B:B)</f>
        <v>45458</v>
      </c>
      <c r="P434" s="10">
        <f>_xlfn.XLOOKUP(Posts5[[#This Row],[Campaign_Name]],'[1]Campaign Metadata'!A:A,'[1]Campaign Metadata'!C:C)</f>
        <v>45488</v>
      </c>
      <c r="Q434" s="10" t="str">
        <f>IF(AND(Posts5[[#This Row],[Date]] &gt;=Posts5[[#This Row],[Campaign Start Date]], Posts5[[#This Row],[Date]]&lt;= Posts5[[#This Row],[Campaign end date]]), "During","Before")</f>
        <v>Before</v>
      </c>
    </row>
    <row r="435" spans="1:17" x14ac:dyDescent="0.3">
      <c r="A435" s="10" t="s">
        <v>317</v>
      </c>
      <c r="B435" s="10" t="s">
        <v>9</v>
      </c>
      <c r="C435" s="11">
        <v>45368</v>
      </c>
      <c r="D435" s="10" t="s">
        <v>11</v>
      </c>
      <c r="E435" s="10" t="s">
        <v>36</v>
      </c>
      <c r="F435" s="10">
        <v>2692</v>
      </c>
      <c r="G435" s="10">
        <v>446</v>
      </c>
      <c r="H435" s="10">
        <v>216</v>
      </c>
      <c r="I435" s="10">
        <v>45818</v>
      </c>
      <c r="J435" s="10">
        <v>62723</v>
      </c>
      <c r="K435" s="10">
        <v>85</v>
      </c>
      <c r="L435" s="10" t="s">
        <v>12</v>
      </c>
      <c r="M435" s="10" t="s">
        <v>68</v>
      </c>
      <c r="N435" s="10">
        <f>(Posts5[[#This Row],[Likes]]+Posts5[[#This Row],[Shares]]+Posts5[[#This Row],[Comments]])/Posts5[[#This Row],[Impressions]]</f>
        <v>7.3202671439172376E-2</v>
      </c>
      <c r="O435" s="11">
        <f>_xlfn.XLOOKUP(Posts5[[#This Row],[Campaign_Name]],'[1]Campaign Metadata'!A:A,'[1]Campaign Metadata'!B:B)</f>
        <v>45458</v>
      </c>
      <c r="P435" s="10">
        <f>_xlfn.XLOOKUP(Posts5[[#This Row],[Campaign_Name]],'[1]Campaign Metadata'!A:A,'[1]Campaign Metadata'!C:C)</f>
        <v>45488</v>
      </c>
      <c r="Q435" s="10" t="str">
        <f>IF(AND(Posts5[[#This Row],[Date]] &gt;=Posts5[[#This Row],[Campaign Start Date]], Posts5[[#This Row],[Date]]&lt;= Posts5[[#This Row],[Campaign end date]]), "During","Before")</f>
        <v>Before</v>
      </c>
    </row>
    <row r="436" spans="1:17" x14ac:dyDescent="0.3">
      <c r="A436" s="10" t="s">
        <v>318</v>
      </c>
      <c r="B436" s="10" t="s">
        <v>9</v>
      </c>
      <c r="C436" s="11">
        <v>45464</v>
      </c>
      <c r="D436" s="10" t="s">
        <v>11</v>
      </c>
      <c r="E436" s="10" t="s">
        <v>44</v>
      </c>
      <c r="F436" s="10">
        <v>4621</v>
      </c>
      <c r="G436" s="10">
        <v>374</v>
      </c>
      <c r="H436" s="10">
        <v>298</v>
      </c>
      <c r="I436" s="10">
        <v>56979</v>
      </c>
      <c r="J436" s="10">
        <v>24098</v>
      </c>
      <c r="K436" s="10">
        <v>205</v>
      </c>
      <c r="L436" s="10" t="s">
        <v>10</v>
      </c>
      <c r="M436" s="10" t="s">
        <v>68</v>
      </c>
      <c r="N436" s="10">
        <f>(Posts5[[#This Row],[Likes]]+Posts5[[#This Row],[Shares]]+Posts5[[#This Row],[Comments]])/Posts5[[#This Row],[Impressions]]</f>
        <v>9.2893873181347508E-2</v>
      </c>
      <c r="O436" s="11">
        <f>_xlfn.XLOOKUP(Posts5[[#This Row],[Campaign_Name]],'[1]Campaign Metadata'!A:A,'[1]Campaign Metadata'!B:B)</f>
        <v>45458</v>
      </c>
      <c r="P436" s="10">
        <f>_xlfn.XLOOKUP(Posts5[[#This Row],[Campaign_Name]],'[1]Campaign Metadata'!A:A,'[1]Campaign Metadata'!C:C)</f>
        <v>45488</v>
      </c>
      <c r="Q436" s="10" t="str">
        <f>IF(AND(Posts5[[#This Row],[Date]] &gt;=Posts5[[#This Row],[Campaign Start Date]], Posts5[[#This Row],[Date]]&lt;= Posts5[[#This Row],[Campaign end date]]), "During","Before")</f>
        <v>During</v>
      </c>
    </row>
    <row r="437" spans="1:17" x14ac:dyDescent="0.3">
      <c r="A437" s="10" t="s">
        <v>318</v>
      </c>
      <c r="B437" s="10" t="s">
        <v>9</v>
      </c>
      <c r="C437" s="11">
        <v>45464</v>
      </c>
      <c r="D437" s="10" t="s">
        <v>11</v>
      </c>
      <c r="E437" s="10" t="s">
        <v>44</v>
      </c>
      <c r="F437" s="10">
        <v>4621</v>
      </c>
      <c r="G437" s="10">
        <v>374</v>
      </c>
      <c r="H437" s="10">
        <v>298</v>
      </c>
      <c r="I437" s="10">
        <v>56979</v>
      </c>
      <c r="J437" s="10">
        <v>24098</v>
      </c>
      <c r="K437" s="10">
        <v>205</v>
      </c>
      <c r="L437" s="10" t="s">
        <v>12</v>
      </c>
      <c r="M437" s="10" t="s">
        <v>68</v>
      </c>
      <c r="N437" s="10">
        <f>(Posts5[[#This Row],[Likes]]+Posts5[[#This Row],[Shares]]+Posts5[[#This Row],[Comments]])/Posts5[[#This Row],[Impressions]]</f>
        <v>9.2893873181347508E-2</v>
      </c>
      <c r="O437" s="11">
        <f>_xlfn.XLOOKUP(Posts5[[#This Row],[Campaign_Name]],'[1]Campaign Metadata'!A:A,'[1]Campaign Metadata'!B:B)</f>
        <v>45458</v>
      </c>
      <c r="P437" s="10">
        <f>_xlfn.XLOOKUP(Posts5[[#This Row],[Campaign_Name]],'[1]Campaign Metadata'!A:A,'[1]Campaign Metadata'!C:C)</f>
        <v>45488</v>
      </c>
      <c r="Q437" s="10" t="str">
        <f>IF(AND(Posts5[[#This Row],[Date]] &gt;=Posts5[[#This Row],[Campaign Start Date]], Posts5[[#This Row],[Date]]&lt;= Posts5[[#This Row],[Campaign end date]]), "During","Before")</f>
        <v>During</v>
      </c>
    </row>
    <row r="438" spans="1:17" x14ac:dyDescent="0.3">
      <c r="A438" s="10" t="s">
        <v>319</v>
      </c>
      <c r="B438" s="10" t="s">
        <v>8</v>
      </c>
      <c r="C438" s="11">
        <v>45609</v>
      </c>
      <c r="D438" s="10" t="s">
        <v>13</v>
      </c>
      <c r="E438" s="10" t="s">
        <v>39</v>
      </c>
      <c r="F438" s="10">
        <v>1409</v>
      </c>
      <c r="G438" s="10">
        <v>466</v>
      </c>
      <c r="H438" s="10">
        <v>105</v>
      </c>
      <c r="I438" s="10">
        <v>58923</v>
      </c>
      <c r="J438" s="10">
        <v>38753</v>
      </c>
      <c r="K438" s="10">
        <v>265</v>
      </c>
      <c r="L438" s="10" t="s">
        <v>10</v>
      </c>
      <c r="M438" s="10" t="s">
        <v>34</v>
      </c>
      <c r="N438" s="10">
        <f>(Posts5[[#This Row],[Likes]]+Posts5[[#This Row],[Shares]]+Posts5[[#This Row],[Comments]])/Posts5[[#This Row],[Impressions]]</f>
        <v>3.3603177027646251E-2</v>
      </c>
      <c r="O438" s="11">
        <f>_xlfn.XLOOKUP(Posts5[[#This Row],[Campaign_Name]],'[1]Campaign Metadata'!A:A,'[1]Campaign Metadata'!B:B)</f>
        <v>45667</v>
      </c>
      <c r="P438" s="10">
        <f>_xlfn.XLOOKUP(Posts5[[#This Row],[Campaign_Name]],'[1]Campaign Metadata'!A:A,'[1]Campaign Metadata'!C:C)</f>
        <v>45698</v>
      </c>
      <c r="Q438" s="10" t="str">
        <f>IF(AND(Posts5[[#This Row],[Date]] &gt;=Posts5[[#This Row],[Campaign Start Date]], Posts5[[#This Row],[Date]]&lt;= Posts5[[#This Row],[Campaign end date]]), "During","Before")</f>
        <v>Before</v>
      </c>
    </row>
    <row r="439" spans="1:17" x14ac:dyDescent="0.3">
      <c r="A439" s="10" t="s">
        <v>319</v>
      </c>
      <c r="B439" s="10" t="s">
        <v>8</v>
      </c>
      <c r="C439" s="11">
        <v>45609</v>
      </c>
      <c r="D439" s="10" t="s">
        <v>13</v>
      </c>
      <c r="E439" s="10" t="s">
        <v>39</v>
      </c>
      <c r="F439" s="10">
        <v>1409</v>
      </c>
      <c r="G439" s="10">
        <v>466</v>
      </c>
      <c r="H439" s="10">
        <v>105</v>
      </c>
      <c r="I439" s="10">
        <v>58923</v>
      </c>
      <c r="J439" s="10">
        <v>38753</v>
      </c>
      <c r="K439" s="10">
        <v>265</v>
      </c>
      <c r="L439" s="10" t="s">
        <v>14</v>
      </c>
      <c r="M439" s="10" t="s">
        <v>34</v>
      </c>
      <c r="N439" s="10">
        <f>(Posts5[[#This Row],[Likes]]+Posts5[[#This Row],[Shares]]+Posts5[[#This Row],[Comments]])/Posts5[[#This Row],[Impressions]]</f>
        <v>3.3603177027646251E-2</v>
      </c>
      <c r="O439" s="11">
        <f>_xlfn.XLOOKUP(Posts5[[#This Row],[Campaign_Name]],'[1]Campaign Metadata'!A:A,'[1]Campaign Metadata'!B:B)</f>
        <v>45667</v>
      </c>
      <c r="P439" s="10">
        <f>_xlfn.XLOOKUP(Posts5[[#This Row],[Campaign_Name]],'[1]Campaign Metadata'!A:A,'[1]Campaign Metadata'!C:C)</f>
        <v>45698</v>
      </c>
      <c r="Q439" s="10" t="str">
        <f>IF(AND(Posts5[[#This Row],[Date]] &gt;=Posts5[[#This Row],[Campaign Start Date]], Posts5[[#This Row],[Date]]&lt;= Posts5[[#This Row],[Campaign end date]]), "During","Before")</f>
        <v>Before</v>
      </c>
    </row>
    <row r="440" spans="1:17" x14ac:dyDescent="0.3">
      <c r="A440" s="10" t="s">
        <v>320</v>
      </c>
      <c r="B440" s="10" t="s">
        <v>8</v>
      </c>
      <c r="C440" s="11">
        <v>45693</v>
      </c>
      <c r="D440" s="10" t="s">
        <v>13</v>
      </c>
      <c r="E440" s="10" t="s">
        <v>32</v>
      </c>
      <c r="F440" s="10">
        <v>3029</v>
      </c>
      <c r="G440" s="10">
        <v>440</v>
      </c>
      <c r="H440" s="10">
        <v>66</v>
      </c>
      <c r="I440" s="10">
        <v>23815</v>
      </c>
      <c r="J440" s="10">
        <v>47895</v>
      </c>
      <c r="K440" s="10">
        <v>210</v>
      </c>
      <c r="L440" s="10" t="s">
        <v>10</v>
      </c>
      <c r="M440" s="10" t="s">
        <v>34</v>
      </c>
      <c r="N440" s="10">
        <f>(Posts5[[#This Row],[Likes]]+Posts5[[#This Row],[Shares]]+Posts5[[#This Row],[Comments]])/Posts5[[#This Row],[Impressions]]</f>
        <v>0.14843585975225698</v>
      </c>
      <c r="O440" s="11">
        <f>_xlfn.XLOOKUP(Posts5[[#This Row],[Campaign_Name]],'[1]Campaign Metadata'!A:A,'[1]Campaign Metadata'!B:B)</f>
        <v>45667</v>
      </c>
      <c r="P440" s="10">
        <f>_xlfn.XLOOKUP(Posts5[[#This Row],[Campaign_Name]],'[1]Campaign Metadata'!A:A,'[1]Campaign Metadata'!C:C)</f>
        <v>45698</v>
      </c>
      <c r="Q440" s="10" t="str">
        <f>IF(AND(Posts5[[#This Row],[Date]] &gt;=Posts5[[#This Row],[Campaign Start Date]], Posts5[[#This Row],[Date]]&lt;= Posts5[[#This Row],[Campaign end date]]), "During","Before")</f>
        <v>During</v>
      </c>
    </row>
    <row r="441" spans="1:17" x14ac:dyDescent="0.3">
      <c r="A441" s="10" t="s">
        <v>320</v>
      </c>
      <c r="B441" s="10" t="s">
        <v>8</v>
      </c>
      <c r="C441" s="11">
        <v>45693</v>
      </c>
      <c r="D441" s="10" t="s">
        <v>13</v>
      </c>
      <c r="E441" s="10" t="s">
        <v>32</v>
      </c>
      <c r="F441" s="10">
        <v>3029</v>
      </c>
      <c r="G441" s="10">
        <v>440</v>
      </c>
      <c r="H441" s="10">
        <v>66</v>
      </c>
      <c r="I441" s="10">
        <v>23815</v>
      </c>
      <c r="J441" s="10">
        <v>47895</v>
      </c>
      <c r="K441" s="10">
        <v>210</v>
      </c>
      <c r="L441" s="10" t="s">
        <v>14</v>
      </c>
      <c r="M441" s="10" t="s">
        <v>34</v>
      </c>
      <c r="N441" s="10">
        <f>(Posts5[[#This Row],[Likes]]+Posts5[[#This Row],[Shares]]+Posts5[[#This Row],[Comments]])/Posts5[[#This Row],[Impressions]]</f>
        <v>0.14843585975225698</v>
      </c>
      <c r="O441" s="11">
        <f>_xlfn.XLOOKUP(Posts5[[#This Row],[Campaign_Name]],'[1]Campaign Metadata'!A:A,'[1]Campaign Metadata'!B:B)</f>
        <v>45667</v>
      </c>
      <c r="P441" s="10">
        <f>_xlfn.XLOOKUP(Posts5[[#This Row],[Campaign_Name]],'[1]Campaign Metadata'!A:A,'[1]Campaign Metadata'!C:C)</f>
        <v>45698</v>
      </c>
      <c r="Q441" s="10" t="str">
        <f>IF(AND(Posts5[[#This Row],[Date]] &gt;=Posts5[[#This Row],[Campaign Start Date]], Posts5[[#This Row],[Date]]&lt;= Posts5[[#This Row],[Campaign end date]]), "During","Before")</f>
        <v>During</v>
      </c>
    </row>
    <row r="442" spans="1:17" x14ac:dyDescent="0.3">
      <c r="A442" s="10" t="s">
        <v>321</v>
      </c>
      <c r="B442" s="10" t="s">
        <v>8</v>
      </c>
      <c r="C442" s="11">
        <v>45603</v>
      </c>
      <c r="D442" s="10" t="s">
        <v>15</v>
      </c>
      <c r="E442" s="10" t="s">
        <v>36</v>
      </c>
      <c r="F442" s="10">
        <v>2229</v>
      </c>
      <c r="G442" s="10">
        <v>395</v>
      </c>
      <c r="H442" s="10">
        <v>328</v>
      </c>
      <c r="I442" s="10">
        <v>56921</v>
      </c>
      <c r="J442" s="10">
        <v>37176</v>
      </c>
      <c r="K442" s="10">
        <v>126</v>
      </c>
      <c r="L442" s="10" t="s">
        <v>12</v>
      </c>
      <c r="M442" s="10" t="s">
        <v>37</v>
      </c>
      <c r="N442" s="10">
        <f>(Posts5[[#This Row],[Likes]]+Posts5[[#This Row],[Shares]]+Posts5[[#This Row],[Comments]])/Posts5[[#This Row],[Impressions]]</f>
        <v>5.1861351697967357E-2</v>
      </c>
      <c r="O442" s="11">
        <f>_xlfn.XLOOKUP(Posts5[[#This Row],[Campaign_Name]],'[1]Campaign Metadata'!A:A,'[1]Campaign Metadata'!B:B)</f>
        <v>45717</v>
      </c>
      <c r="P442" s="10">
        <f>_xlfn.XLOOKUP(Posts5[[#This Row],[Campaign_Name]],'[1]Campaign Metadata'!A:A,'[1]Campaign Metadata'!C:C)</f>
        <v>45747</v>
      </c>
      <c r="Q442" s="10" t="str">
        <f>IF(AND(Posts5[[#This Row],[Date]] &gt;=Posts5[[#This Row],[Campaign Start Date]], Posts5[[#This Row],[Date]]&lt;= Posts5[[#This Row],[Campaign end date]]), "During","Before")</f>
        <v>Before</v>
      </c>
    </row>
    <row r="443" spans="1:17" x14ac:dyDescent="0.3">
      <c r="A443" s="10" t="s">
        <v>322</v>
      </c>
      <c r="B443" s="10" t="s">
        <v>8</v>
      </c>
      <c r="C443" s="11">
        <v>45334</v>
      </c>
      <c r="D443" s="10" t="s">
        <v>15</v>
      </c>
      <c r="E443" s="10" t="s">
        <v>36</v>
      </c>
      <c r="F443" s="10">
        <v>2691</v>
      </c>
      <c r="G443" s="10">
        <v>486</v>
      </c>
      <c r="H443" s="10">
        <v>206</v>
      </c>
      <c r="I443" s="10">
        <v>51133</v>
      </c>
      <c r="J443" s="10">
        <v>44583</v>
      </c>
      <c r="K443" s="10">
        <v>276</v>
      </c>
      <c r="L443" s="10" t="s">
        <v>5</v>
      </c>
      <c r="M443" s="10" t="s">
        <v>34</v>
      </c>
      <c r="N443" s="10">
        <f>(Posts5[[#This Row],[Likes]]+Posts5[[#This Row],[Shares]]+Posts5[[#This Row],[Comments]])/Posts5[[#This Row],[Impressions]]</f>
        <v>6.6160796354604659E-2</v>
      </c>
      <c r="O443" s="11">
        <f>_xlfn.XLOOKUP(Posts5[[#This Row],[Campaign_Name]],'[1]Campaign Metadata'!A:A,'[1]Campaign Metadata'!B:B)</f>
        <v>45667</v>
      </c>
      <c r="P443" s="10">
        <f>_xlfn.XLOOKUP(Posts5[[#This Row],[Campaign_Name]],'[1]Campaign Metadata'!A:A,'[1]Campaign Metadata'!C:C)</f>
        <v>45698</v>
      </c>
      <c r="Q443" s="10" t="str">
        <f>IF(AND(Posts5[[#This Row],[Date]] &gt;=Posts5[[#This Row],[Campaign Start Date]], Posts5[[#This Row],[Date]]&lt;= Posts5[[#This Row],[Campaign end date]]), "During","Before")</f>
        <v>Before</v>
      </c>
    </row>
    <row r="444" spans="1:17" x14ac:dyDescent="0.3">
      <c r="A444" s="10" t="s">
        <v>323</v>
      </c>
      <c r="B444" s="10" t="s">
        <v>7</v>
      </c>
      <c r="C444" s="11">
        <v>45573</v>
      </c>
      <c r="D444" s="10" t="s">
        <v>15</v>
      </c>
      <c r="E444" s="10" t="s">
        <v>36</v>
      </c>
      <c r="F444" s="10">
        <v>2110</v>
      </c>
      <c r="G444" s="10">
        <v>384</v>
      </c>
      <c r="H444" s="10">
        <v>236</v>
      </c>
      <c r="I444" s="10">
        <v>49965</v>
      </c>
      <c r="J444" s="10">
        <v>61555</v>
      </c>
      <c r="K444" s="10">
        <v>195</v>
      </c>
      <c r="L444" s="10" t="s">
        <v>10</v>
      </c>
      <c r="M444" s="10" t="s">
        <v>37</v>
      </c>
      <c r="N444" s="10">
        <f>(Posts5[[#This Row],[Likes]]+Posts5[[#This Row],[Shares]]+Posts5[[#This Row],[Comments]])/Posts5[[#This Row],[Impressions]]</f>
        <v>5.4638246772740921E-2</v>
      </c>
      <c r="O444" s="11">
        <f>_xlfn.XLOOKUP(Posts5[[#This Row],[Campaign_Name]],'[1]Campaign Metadata'!A:A,'[1]Campaign Metadata'!B:B)</f>
        <v>45717</v>
      </c>
      <c r="P444" s="10">
        <f>_xlfn.XLOOKUP(Posts5[[#This Row],[Campaign_Name]],'[1]Campaign Metadata'!A:A,'[1]Campaign Metadata'!C:C)</f>
        <v>45747</v>
      </c>
      <c r="Q444" s="10" t="str">
        <f>IF(AND(Posts5[[#This Row],[Date]] &gt;=Posts5[[#This Row],[Campaign Start Date]], Posts5[[#This Row],[Date]]&lt;= Posts5[[#This Row],[Campaign end date]]), "During","Before")</f>
        <v>Before</v>
      </c>
    </row>
    <row r="445" spans="1:17" x14ac:dyDescent="0.3">
      <c r="A445" s="10" t="s">
        <v>324</v>
      </c>
      <c r="B445" s="10" t="s">
        <v>7</v>
      </c>
      <c r="C445" s="11">
        <v>45341</v>
      </c>
      <c r="D445" s="10" t="s">
        <v>15</v>
      </c>
      <c r="E445" s="10" t="s">
        <v>42</v>
      </c>
      <c r="F445" s="10">
        <v>4752</v>
      </c>
      <c r="G445" s="10">
        <v>449</v>
      </c>
      <c r="H445" s="10">
        <v>309</v>
      </c>
      <c r="I445" s="10">
        <v>58530</v>
      </c>
      <c r="J445" s="10">
        <v>26630</v>
      </c>
      <c r="K445" s="10">
        <v>234</v>
      </c>
      <c r="L445" s="10" t="s">
        <v>10</v>
      </c>
      <c r="M445" s="10" t="s">
        <v>37</v>
      </c>
      <c r="N445" s="10">
        <f>(Posts5[[#This Row],[Likes]]+Posts5[[#This Row],[Shares]]+Posts5[[#This Row],[Comments]])/Posts5[[#This Row],[Impressions]]</f>
        <v>9.4139757389372969E-2</v>
      </c>
      <c r="O445" s="11">
        <f>_xlfn.XLOOKUP(Posts5[[#This Row],[Campaign_Name]],'[1]Campaign Metadata'!A:A,'[1]Campaign Metadata'!B:B)</f>
        <v>45717</v>
      </c>
      <c r="P445" s="10">
        <f>_xlfn.XLOOKUP(Posts5[[#This Row],[Campaign_Name]],'[1]Campaign Metadata'!A:A,'[1]Campaign Metadata'!C:C)</f>
        <v>45747</v>
      </c>
      <c r="Q445" s="10" t="str">
        <f>IF(AND(Posts5[[#This Row],[Date]] &gt;=Posts5[[#This Row],[Campaign Start Date]], Posts5[[#This Row],[Date]]&lt;= Posts5[[#This Row],[Campaign end date]]), "During","Before")</f>
        <v>Before</v>
      </c>
    </row>
    <row r="446" spans="1:17" x14ac:dyDescent="0.3">
      <c r="A446" s="10" t="s">
        <v>325</v>
      </c>
      <c r="B446" s="10" t="s">
        <v>8</v>
      </c>
      <c r="C446" s="11">
        <v>45720</v>
      </c>
      <c r="D446" s="10" t="s">
        <v>15</v>
      </c>
      <c r="E446" s="10" t="s">
        <v>32</v>
      </c>
      <c r="F446" s="10">
        <v>2177</v>
      </c>
      <c r="G446" s="10">
        <v>258</v>
      </c>
      <c r="H446" s="10">
        <v>292</v>
      </c>
      <c r="I446" s="10">
        <v>47276</v>
      </c>
      <c r="J446" s="10">
        <v>51324</v>
      </c>
      <c r="K446" s="10">
        <v>143</v>
      </c>
      <c r="L446" s="10" t="s">
        <v>5</v>
      </c>
      <c r="M446" s="10" t="s">
        <v>34</v>
      </c>
      <c r="N446" s="10">
        <f>(Posts5[[#This Row],[Likes]]+Posts5[[#This Row],[Shares]]+Posts5[[#This Row],[Comments]])/Posts5[[#This Row],[Impressions]]</f>
        <v>5.7682545054573146E-2</v>
      </c>
      <c r="O446" s="11">
        <f>_xlfn.XLOOKUP(Posts5[[#This Row],[Campaign_Name]],'[1]Campaign Metadata'!A:A,'[1]Campaign Metadata'!B:B)</f>
        <v>45667</v>
      </c>
      <c r="P446" s="10">
        <f>_xlfn.XLOOKUP(Posts5[[#This Row],[Campaign_Name]],'[1]Campaign Metadata'!A:A,'[1]Campaign Metadata'!C:C)</f>
        <v>45698</v>
      </c>
      <c r="Q446" s="10" t="str">
        <f>IF(AND(Posts5[[#This Row],[Date]] &gt;=Posts5[[#This Row],[Campaign Start Date]], Posts5[[#This Row],[Date]]&lt;= Posts5[[#This Row],[Campaign end date]]), "During","Before")</f>
        <v>Before</v>
      </c>
    </row>
    <row r="447" spans="1:17" x14ac:dyDescent="0.3">
      <c r="A447" s="10" t="s">
        <v>326</v>
      </c>
      <c r="B447" s="10" t="s">
        <v>7</v>
      </c>
      <c r="C447" s="11">
        <v>45691</v>
      </c>
      <c r="D447" s="10" t="s">
        <v>13</v>
      </c>
      <c r="E447" s="10" t="s">
        <v>39</v>
      </c>
      <c r="F447" s="10">
        <v>1205</v>
      </c>
      <c r="G447" s="10">
        <v>486</v>
      </c>
      <c r="H447" s="10">
        <v>269</v>
      </c>
      <c r="I447" s="10">
        <v>23341</v>
      </c>
      <c r="J447" s="10">
        <v>42411</v>
      </c>
      <c r="K447" s="10">
        <v>184</v>
      </c>
      <c r="L447" s="10" t="s">
        <v>5</v>
      </c>
      <c r="M447" s="10" t="s">
        <v>65</v>
      </c>
      <c r="N447" s="10">
        <f>(Posts5[[#This Row],[Likes]]+Posts5[[#This Row],[Shares]]+Posts5[[#This Row],[Comments]])/Posts5[[#This Row],[Impressions]]</f>
        <v>8.3972409065592737E-2</v>
      </c>
      <c r="O447" s="11">
        <f>_xlfn.XLOOKUP(Posts5[[#This Row],[Campaign_Name]],'[1]Campaign Metadata'!A:A,'[1]Campaign Metadata'!B:B)</f>
        <v>45627</v>
      </c>
      <c r="P447" s="10">
        <f>_xlfn.XLOOKUP(Posts5[[#This Row],[Campaign_Name]],'[1]Campaign Metadata'!A:A,'[1]Campaign Metadata'!C:C)</f>
        <v>45657</v>
      </c>
      <c r="Q447" s="10" t="str">
        <f>IF(AND(Posts5[[#This Row],[Date]] &gt;=Posts5[[#This Row],[Campaign Start Date]], Posts5[[#This Row],[Date]]&lt;= Posts5[[#This Row],[Campaign end date]]), "During","Before")</f>
        <v>Before</v>
      </c>
    </row>
    <row r="448" spans="1:17" x14ac:dyDescent="0.3">
      <c r="A448" s="10" t="s">
        <v>327</v>
      </c>
      <c r="B448" s="10" t="s">
        <v>7</v>
      </c>
      <c r="C448" s="11">
        <v>45628</v>
      </c>
      <c r="D448" s="10" t="s">
        <v>15</v>
      </c>
      <c r="E448" s="10" t="s">
        <v>53</v>
      </c>
      <c r="F448" s="10">
        <v>3194</v>
      </c>
      <c r="G448" s="10">
        <v>292</v>
      </c>
      <c r="H448" s="10">
        <v>245</v>
      </c>
      <c r="I448" s="10">
        <v>56371</v>
      </c>
      <c r="J448" s="10">
        <v>65597</v>
      </c>
      <c r="K448" s="10">
        <v>163</v>
      </c>
      <c r="L448" s="10" t="s">
        <v>12</v>
      </c>
      <c r="M448" s="10" t="s">
        <v>34</v>
      </c>
      <c r="N448" s="10">
        <f>(Posts5[[#This Row],[Likes]]+Posts5[[#This Row],[Shares]]+Posts5[[#This Row],[Comments]])/Posts5[[#This Row],[Impressions]]</f>
        <v>6.6186514342481059E-2</v>
      </c>
      <c r="O448" s="11">
        <f>_xlfn.XLOOKUP(Posts5[[#This Row],[Campaign_Name]],'[1]Campaign Metadata'!A:A,'[1]Campaign Metadata'!B:B)</f>
        <v>45667</v>
      </c>
      <c r="P448" s="10">
        <f>_xlfn.XLOOKUP(Posts5[[#This Row],[Campaign_Name]],'[1]Campaign Metadata'!A:A,'[1]Campaign Metadata'!C:C)</f>
        <v>45698</v>
      </c>
      <c r="Q448" s="10" t="str">
        <f>IF(AND(Posts5[[#This Row],[Date]] &gt;=Posts5[[#This Row],[Campaign Start Date]], Posts5[[#This Row],[Date]]&lt;= Posts5[[#This Row],[Campaign end date]]), "During","Before")</f>
        <v>Before</v>
      </c>
    </row>
    <row r="449" spans="1:17" x14ac:dyDescent="0.3">
      <c r="A449" s="10" t="s">
        <v>327</v>
      </c>
      <c r="B449" s="10" t="s">
        <v>7</v>
      </c>
      <c r="C449" s="11">
        <v>45628</v>
      </c>
      <c r="D449" s="10" t="s">
        <v>15</v>
      </c>
      <c r="E449" s="10" t="s">
        <v>53</v>
      </c>
      <c r="F449" s="10">
        <v>3194</v>
      </c>
      <c r="G449" s="10">
        <v>292</v>
      </c>
      <c r="H449" s="10">
        <v>245</v>
      </c>
      <c r="I449" s="10">
        <v>56371</v>
      </c>
      <c r="J449" s="10">
        <v>65597</v>
      </c>
      <c r="K449" s="10">
        <v>163</v>
      </c>
      <c r="L449" s="10" t="s">
        <v>5</v>
      </c>
      <c r="M449" s="10" t="s">
        <v>34</v>
      </c>
      <c r="N449" s="10">
        <f>(Posts5[[#This Row],[Likes]]+Posts5[[#This Row],[Shares]]+Posts5[[#This Row],[Comments]])/Posts5[[#This Row],[Impressions]]</f>
        <v>6.6186514342481059E-2</v>
      </c>
      <c r="O449" s="11">
        <f>_xlfn.XLOOKUP(Posts5[[#This Row],[Campaign_Name]],'[1]Campaign Metadata'!A:A,'[1]Campaign Metadata'!B:B)</f>
        <v>45667</v>
      </c>
      <c r="P449" s="10">
        <f>_xlfn.XLOOKUP(Posts5[[#This Row],[Campaign_Name]],'[1]Campaign Metadata'!A:A,'[1]Campaign Metadata'!C:C)</f>
        <v>45698</v>
      </c>
      <c r="Q449" s="10" t="str">
        <f>IF(AND(Posts5[[#This Row],[Date]] &gt;=Posts5[[#This Row],[Campaign Start Date]], Posts5[[#This Row],[Date]]&lt;= Posts5[[#This Row],[Campaign end date]]), "During","Before")</f>
        <v>Before</v>
      </c>
    </row>
    <row r="450" spans="1:17" x14ac:dyDescent="0.3">
      <c r="A450" s="10" t="s">
        <v>328</v>
      </c>
      <c r="B450" s="10" t="s">
        <v>8</v>
      </c>
      <c r="C450" s="11">
        <v>45676</v>
      </c>
      <c r="D450" s="10" t="s">
        <v>13</v>
      </c>
      <c r="E450" s="10" t="s">
        <v>39</v>
      </c>
      <c r="F450" s="10">
        <v>3507</v>
      </c>
      <c r="G450" s="10">
        <v>295</v>
      </c>
      <c r="H450" s="10">
        <v>371</v>
      </c>
      <c r="I450" s="10">
        <v>20410</v>
      </c>
      <c r="J450" s="10">
        <v>53965</v>
      </c>
      <c r="K450" s="10">
        <v>212</v>
      </c>
      <c r="L450" s="10" t="s">
        <v>12</v>
      </c>
      <c r="M450" s="10" t="s">
        <v>34</v>
      </c>
      <c r="N450" s="10">
        <f>(Posts5[[#This Row],[Likes]]+Posts5[[#This Row],[Shares]]+Posts5[[#This Row],[Comments]])/Posts5[[#This Row],[Impressions]]</f>
        <v>0.20445859872611466</v>
      </c>
      <c r="O450" s="11">
        <f>_xlfn.XLOOKUP(Posts5[[#This Row],[Campaign_Name]],'[1]Campaign Metadata'!A:A,'[1]Campaign Metadata'!B:B)</f>
        <v>45667</v>
      </c>
      <c r="P450" s="10">
        <f>_xlfn.XLOOKUP(Posts5[[#This Row],[Campaign_Name]],'[1]Campaign Metadata'!A:A,'[1]Campaign Metadata'!C:C)</f>
        <v>45698</v>
      </c>
      <c r="Q450" s="10" t="str">
        <f>IF(AND(Posts5[[#This Row],[Date]] &gt;=Posts5[[#This Row],[Campaign Start Date]], Posts5[[#This Row],[Date]]&lt;= Posts5[[#This Row],[Campaign end date]]), "During","Before")</f>
        <v>During</v>
      </c>
    </row>
    <row r="451" spans="1:17" x14ac:dyDescent="0.3">
      <c r="A451" s="10" t="s">
        <v>328</v>
      </c>
      <c r="B451" s="10" t="s">
        <v>8</v>
      </c>
      <c r="C451" s="11">
        <v>45676</v>
      </c>
      <c r="D451" s="10" t="s">
        <v>13</v>
      </c>
      <c r="E451" s="10" t="s">
        <v>39</v>
      </c>
      <c r="F451" s="10">
        <v>3507</v>
      </c>
      <c r="G451" s="10">
        <v>295</v>
      </c>
      <c r="H451" s="10">
        <v>371</v>
      </c>
      <c r="I451" s="10">
        <v>20410</v>
      </c>
      <c r="J451" s="10">
        <v>53965</v>
      </c>
      <c r="K451" s="10">
        <v>212</v>
      </c>
      <c r="L451" s="10" t="s">
        <v>5</v>
      </c>
      <c r="M451" s="10" t="s">
        <v>34</v>
      </c>
      <c r="N451" s="10">
        <f>(Posts5[[#This Row],[Likes]]+Posts5[[#This Row],[Shares]]+Posts5[[#This Row],[Comments]])/Posts5[[#This Row],[Impressions]]</f>
        <v>0.20445859872611466</v>
      </c>
      <c r="O451" s="11">
        <f>_xlfn.XLOOKUP(Posts5[[#This Row],[Campaign_Name]],'[1]Campaign Metadata'!A:A,'[1]Campaign Metadata'!B:B)</f>
        <v>45667</v>
      </c>
      <c r="P451" s="10">
        <f>_xlfn.XLOOKUP(Posts5[[#This Row],[Campaign_Name]],'[1]Campaign Metadata'!A:A,'[1]Campaign Metadata'!C:C)</f>
        <v>45698</v>
      </c>
      <c r="Q451" s="10" t="str">
        <f>IF(AND(Posts5[[#This Row],[Date]] &gt;=Posts5[[#This Row],[Campaign Start Date]], Posts5[[#This Row],[Date]]&lt;= Posts5[[#This Row],[Campaign end date]]), "During","Before")</f>
        <v>During</v>
      </c>
    </row>
    <row r="452" spans="1:17" x14ac:dyDescent="0.3">
      <c r="A452" s="10" t="s">
        <v>329</v>
      </c>
      <c r="B452" s="10" t="s">
        <v>8</v>
      </c>
      <c r="C452" s="11">
        <v>45563</v>
      </c>
      <c r="D452" s="10" t="s">
        <v>13</v>
      </c>
      <c r="E452" s="10" t="s">
        <v>42</v>
      </c>
      <c r="F452" s="10">
        <v>4471</v>
      </c>
      <c r="G452" s="10">
        <v>317</v>
      </c>
      <c r="H452" s="10">
        <v>249</v>
      </c>
      <c r="I452" s="10">
        <v>44862</v>
      </c>
      <c r="J452" s="10">
        <v>33365</v>
      </c>
      <c r="K452" s="10">
        <v>184</v>
      </c>
      <c r="L452" s="10" t="s">
        <v>10</v>
      </c>
      <c r="M452" s="10" t="s">
        <v>34</v>
      </c>
      <c r="N452" s="10">
        <f>(Posts5[[#This Row],[Likes]]+Posts5[[#This Row],[Shares]]+Posts5[[#This Row],[Comments]])/Posts5[[#This Row],[Impressions]]</f>
        <v>0.1122776514644911</v>
      </c>
      <c r="O452" s="11">
        <f>_xlfn.XLOOKUP(Posts5[[#This Row],[Campaign_Name]],'[1]Campaign Metadata'!A:A,'[1]Campaign Metadata'!B:B)</f>
        <v>45667</v>
      </c>
      <c r="P452" s="10">
        <f>_xlfn.XLOOKUP(Posts5[[#This Row],[Campaign_Name]],'[1]Campaign Metadata'!A:A,'[1]Campaign Metadata'!C:C)</f>
        <v>45698</v>
      </c>
      <c r="Q452" s="10" t="str">
        <f>IF(AND(Posts5[[#This Row],[Date]] &gt;=Posts5[[#This Row],[Campaign Start Date]], Posts5[[#This Row],[Date]]&lt;= Posts5[[#This Row],[Campaign end date]]), "During","Before")</f>
        <v>Before</v>
      </c>
    </row>
    <row r="453" spans="1:17" x14ac:dyDescent="0.3">
      <c r="A453" s="10" t="s">
        <v>329</v>
      </c>
      <c r="B453" s="10" t="s">
        <v>8</v>
      </c>
      <c r="C453" s="11">
        <v>45563</v>
      </c>
      <c r="D453" s="10" t="s">
        <v>13</v>
      </c>
      <c r="E453" s="10" t="s">
        <v>42</v>
      </c>
      <c r="F453" s="10">
        <v>4471</v>
      </c>
      <c r="G453" s="10">
        <v>317</v>
      </c>
      <c r="H453" s="10">
        <v>249</v>
      </c>
      <c r="I453" s="10">
        <v>44862</v>
      </c>
      <c r="J453" s="10">
        <v>33365</v>
      </c>
      <c r="K453" s="10">
        <v>184</v>
      </c>
      <c r="L453" s="10" t="s">
        <v>14</v>
      </c>
      <c r="M453" s="10" t="s">
        <v>34</v>
      </c>
      <c r="N453" s="10">
        <f>(Posts5[[#This Row],[Likes]]+Posts5[[#This Row],[Shares]]+Posts5[[#This Row],[Comments]])/Posts5[[#This Row],[Impressions]]</f>
        <v>0.1122776514644911</v>
      </c>
      <c r="O453" s="11">
        <f>_xlfn.XLOOKUP(Posts5[[#This Row],[Campaign_Name]],'[1]Campaign Metadata'!A:A,'[1]Campaign Metadata'!B:B)</f>
        <v>45667</v>
      </c>
      <c r="P453" s="10">
        <f>_xlfn.XLOOKUP(Posts5[[#This Row],[Campaign_Name]],'[1]Campaign Metadata'!A:A,'[1]Campaign Metadata'!C:C)</f>
        <v>45698</v>
      </c>
      <c r="Q453" s="10" t="str">
        <f>IF(AND(Posts5[[#This Row],[Date]] &gt;=Posts5[[#This Row],[Campaign Start Date]], Posts5[[#This Row],[Date]]&lt;= Posts5[[#This Row],[Campaign end date]]), "During","Before")</f>
        <v>Before</v>
      </c>
    </row>
    <row r="454" spans="1:17" x14ac:dyDescent="0.3">
      <c r="A454" s="10" t="s">
        <v>330</v>
      </c>
      <c r="B454" s="10" t="s">
        <v>7</v>
      </c>
      <c r="C454" s="11">
        <v>45298</v>
      </c>
      <c r="D454" s="10" t="s">
        <v>15</v>
      </c>
      <c r="E454" s="10" t="s">
        <v>53</v>
      </c>
      <c r="F454" s="10">
        <v>4931</v>
      </c>
      <c r="G454" s="10">
        <v>469</v>
      </c>
      <c r="H454" s="10">
        <v>193</v>
      </c>
      <c r="I454" s="10">
        <v>56701</v>
      </c>
      <c r="J454" s="10">
        <v>69437</v>
      </c>
      <c r="K454" s="10">
        <v>291</v>
      </c>
      <c r="L454" s="10" t="s">
        <v>12</v>
      </c>
      <c r="M454" s="10" t="s">
        <v>34</v>
      </c>
      <c r="N454" s="10">
        <f>(Posts5[[#This Row],[Likes]]+Posts5[[#This Row],[Shares]]+Posts5[[#This Row],[Comments]])/Posts5[[#This Row],[Impressions]]</f>
        <v>9.8640235621946709E-2</v>
      </c>
      <c r="O454" s="11">
        <f>_xlfn.XLOOKUP(Posts5[[#This Row],[Campaign_Name]],'[1]Campaign Metadata'!A:A,'[1]Campaign Metadata'!B:B)</f>
        <v>45667</v>
      </c>
      <c r="P454" s="10">
        <f>_xlfn.XLOOKUP(Posts5[[#This Row],[Campaign_Name]],'[1]Campaign Metadata'!A:A,'[1]Campaign Metadata'!C:C)</f>
        <v>45698</v>
      </c>
      <c r="Q454" s="10" t="str">
        <f>IF(AND(Posts5[[#This Row],[Date]] &gt;=Posts5[[#This Row],[Campaign Start Date]], Posts5[[#This Row],[Date]]&lt;= Posts5[[#This Row],[Campaign end date]]), "During","Before")</f>
        <v>Before</v>
      </c>
    </row>
    <row r="455" spans="1:17" x14ac:dyDescent="0.3">
      <c r="A455" s="10" t="s">
        <v>330</v>
      </c>
      <c r="B455" s="10" t="s">
        <v>7</v>
      </c>
      <c r="C455" s="11">
        <v>45298</v>
      </c>
      <c r="D455" s="10" t="s">
        <v>15</v>
      </c>
      <c r="E455" s="10" t="s">
        <v>53</v>
      </c>
      <c r="F455" s="10">
        <v>4931</v>
      </c>
      <c r="G455" s="10">
        <v>469</v>
      </c>
      <c r="H455" s="10">
        <v>193</v>
      </c>
      <c r="I455" s="10">
        <v>56701</v>
      </c>
      <c r="J455" s="10">
        <v>69437</v>
      </c>
      <c r="K455" s="10">
        <v>291</v>
      </c>
      <c r="L455" s="10" t="s">
        <v>5</v>
      </c>
      <c r="M455" s="10" t="s">
        <v>34</v>
      </c>
      <c r="N455" s="10">
        <f>(Posts5[[#This Row],[Likes]]+Posts5[[#This Row],[Shares]]+Posts5[[#This Row],[Comments]])/Posts5[[#This Row],[Impressions]]</f>
        <v>9.8640235621946709E-2</v>
      </c>
      <c r="O455" s="11">
        <f>_xlfn.XLOOKUP(Posts5[[#This Row],[Campaign_Name]],'[1]Campaign Metadata'!A:A,'[1]Campaign Metadata'!B:B)</f>
        <v>45667</v>
      </c>
      <c r="P455" s="10">
        <f>_xlfn.XLOOKUP(Posts5[[#This Row],[Campaign_Name]],'[1]Campaign Metadata'!A:A,'[1]Campaign Metadata'!C:C)</f>
        <v>45698</v>
      </c>
      <c r="Q455" s="10" t="str">
        <f>IF(AND(Posts5[[#This Row],[Date]] &gt;=Posts5[[#This Row],[Campaign Start Date]], Posts5[[#This Row],[Date]]&lt;= Posts5[[#This Row],[Campaign end date]]), "During","Before")</f>
        <v>Before</v>
      </c>
    </row>
    <row r="456" spans="1:17" x14ac:dyDescent="0.3">
      <c r="A456" s="10" t="s">
        <v>331</v>
      </c>
      <c r="B456" s="10" t="s">
        <v>8</v>
      </c>
      <c r="C456" s="11">
        <v>45343</v>
      </c>
      <c r="D456" s="10" t="s">
        <v>13</v>
      </c>
      <c r="E456" s="10" t="s">
        <v>49</v>
      </c>
      <c r="F456" s="10">
        <v>2604</v>
      </c>
      <c r="G456" s="10">
        <v>439</v>
      </c>
      <c r="H456" s="10">
        <v>148</v>
      </c>
      <c r="I456" s="10">
        <v>58468</v>
      </c>
      <c r="J456" s="10">
        <v>39629</v>
      </c>
      <c r="K456" s="10">
        <v>163</v>
      </c>
      <c r="L456" s="10" t="s">
        <v>14</v>
      </c>
      <c r="M456" s="10" t="s">
        <v>34</v>
      </c>
      <c r="N456" s="10">
        <f>(Posts5[[#This Row],[Likes]]+Posts5[[#This Row],[Shares]]+Posts5[[#This Row],[Comments]])/Posts5[[#This Row],[Impressions]]</f>
        <v>5.4576862557296296E-2</v>
      </c>
      <c r="O456" s="11">
        <f>_xlfn.XLOOKUP(Posts5[[#This Row],[Campaign_Name]],'[1]Campaign Metadata'!A:A,'[1]Campaign Metadata'!B:B)</f>
        <v>45667</v>
      </c>
      <c r="P456" s="10">
        <f>_xlfn.XLOOKUP(Posts5[[#This Row],[Campaign_Name]],'[1]Campaign Metadata'!A:A,'[1]Campaign Metadata'!C:C)</f>
        <v>45698</v>
      </c>
      <c r="Q456" s="10" t="str">
        <f>IF(AND(Posts5[[#This Row],[Date]] &gt;=Posts5[[#This Row],[Campaign Start Date]], Posts5[[#This Row],[Date]]&lt;= Posts5[[#This Row],[Campaign end date]]), "During","Before")</f>
        <v>Before</v>
      </c>
    </row>
    <row r="457" spans="1:17" x14ac:dyDescent="0.3">
      <c r="A457" s="10" t="s">
        <v>331</v>
      </c>
      <c r="B457" s="10" t="s">
        <v>8</v>
      </c>
      <c r="C457" s="11">
        <v>45343</v>
      </c>
      <c r="D457" s="10" t="s">
        <v>13</v>
      </c>
      <c r="E457" s="10" t="s">
        <v>49</v>
      </c>
      <c r="F457" s="10">
        <v>2604</v>
      </c>
      <c r="G457" s="10">
        <v>439</v>
      </c>
      <c r="H457" s="10">
        <v>148</v>
      </c>
      <c r="I457" s="10">
        <v>58468</v>
      </c>
      <c r="J457" s="10">
        <v>39629</v>
      </c>
      <c r="K457" s="10">
        <v>163</v>
      </c>
      <c r="L457" s="10" t="s">
        <v>5</v>
      </c>
      <c r="M457" s="10" t="s">
        <v>34</v>
      </c>
      <c r="N457" s="10">
        <f>(Posts5[[#This Row],[Likes]]+Posts5[[#This Row],[Shares]]+Posts5[[#This Row],[Comments]])/Posts5[[#This Row],[Impressions]]</f>
        <v>5.4576862557296296E-2</v>
      </c>
      <c r="O457" s="11">
        <f>_xlfn.XLOOKUP(Posts5[[#This Row],[Campaign_Name]],'[1]Campaign Metadata'!A:A,'[1]Campaign Metadata'!B:B)</f>
        <v>45667</v>
      </c>
      <c r="P457" s="10">
        <f>_xlfn.XLOOKUP(Posts5[[#This Row],[Campaign_Name]],'[1]Campaign Metadata'!A:A,'[1]Campaign Metadata'!C:C)</f>
        <v>45698</v>
      </c>
      <c r="Q457" s="10" t="str">
        <f>IF(AND(Posts5[[#This Row],[Date]] &gt;=Posts5[[#This Row],[Campaign Start Date]], Posts5[[#This Row],[Date]]&lt;= Posts5[[#This Row],[Campaign end date]]), "During","Before")</f>
        <v>Before</v>
      </c>
    </row>
    <row r="458" spans="1:17" x14ac:dyDescent="0.3">
      <c r="A458" s="10" t="s">
        <v>332</v>
      </c>
      <c r="B458" s="10" t="s">
        <v>7</v>
      </c>
      <c r="C458" s="11">
        <v>45531</v>
      </c>
      <c r="D458" s="10" t="s">
        <v>15</v>
      </c>
      <c r="E458" s="10" t="s">
        <v>44</v>
      </c>
      <c r="F458" s="10">
        <v>4197</v>
      </c>
      <c r="G458" s="10">
        <v>359</v>
      </c>
      <c r="H458" s="10">
        <v>280</v>
      </c>
      <c r="I458" s="10">
        <v>56048</v>
      </c>
      <c r="J458" s="10">
        <v>70930</v>
      </c>
      <c r="K458" s="10">
        <v>295</v>
      </c>
      <c r="L458" s="10" t="s">
        <v>10</v>
      </c>
      <c r="M458" s="10" t="s">
        <v>37</v>
      </c>
      <c r="N458" s="10">
        <f>(Posts5[[#This Row],[Likes]]+Posts5[[#This Row],[Shares]]+Posts5[[#This Row],[Comments]])/Posts5[[#This Row],[Impressions]]</f>
        <v>8.628318584070796E-2</v>
      </c>
      <c r="O458" s="11">
        <f>_xlfn.XLOOKUP(Posts5[[#This Row],[Campaign_Name]],'[1]Campaign Metadata'!A:A,'[1]Campaign Metadata'!B:B)</f>
        <v>45717</v>
      </c>
      <c r="P458" s="10">
        <f>_xlfn.XLOOKUP(Posts5[[#This Row],[Campaign_Name]],'[1]Campaign Metadata'!A:A,'[1]Campaign Metadata'!C:C)</f>
        <v>45747</v>
      </c>
      <c r="Q458" s="10" t="str">
        <f>IF(AND(Posts5[[#This Row],[Date]] &gt;=Posts5[[#This Row],[Campaign Start Date]], Posts5[[#This Row],[Date]]&lt;= Posts5[[#This Row],[Campaign end date]]), "During","Before")</f>
        <v>Before</v>
      </c>
    </row>
    <row r="459" spans="1:17" x14ac:dyDescent="0.3">
      <c r="A459" s="10" t="s">
        <v>333</v>
      </c>
      <c r="B459" s="10" t="s">
        <v>7</v>
      </c>
      <c r="C459" s="11">
        <v>45589</v>
      </c>
      <c r="D459" s="10" t="s">
        <v>13</v>
      </c>
      <c r="E459" s="10" t="s">
        <v>53</v>
      </c>
      <c r="F459" s="10">
        <v>1914</v>
      </c>
      <c r="G459" s="10">
        <v>255</v>
      </c>
      <c r="H459" s="10">
        <v>156</v>
      </c>
      <c r="I459" s="10">
        <v>27660</v>
      </c>
      <c r="J459" s="10">
        <v>47776</v>
      </c>
      <c r="K459" s="10">
        <v>111</v>
      </c>
      <c r="L459" s="10" t="s">
        <v>5</v>
      </c>
      <c r="M459" s="10" t="s">
        <v>65</v>
      </c>
      <c r="N459" s="10">
        <f>(Posts5[[#This Row],[Likes]]+Posts5[[#This Row],[Shares]]+Posts5[[#This Row],[Comments]])/Posts5[[#This Row],[Impressions]]</f>
        <v>8.4056399132321047E-2</v>
      </c>
      <c r="O459" s="11">
        <f>_xlfn.XLOOKUP(Posts5[[#This Row],[Campaign_Name]],'[1]Campaign Metadata'!A:A,'[1]Campaign Metadata'!B:B)</f>
        <v>45627</v>
      </c>
      <c r="P459" s="10">
        <f>_xlfn.XLOOKUP(Posts5[[#This Row],[Campaign_Name]],'[1]Campaign Metadata'!A:A,'[1]Campaign Metadata'!C:C)</f>
        <v>45657</v>
      </c>
      <c r="Q459" s="10" t="str">
        <f>IF(AND(Posts5[[#This Row],[Date]] &gt;=Posts5[[#This Row],[Campaign Start Date]], Posts5[[#This Row],[Date]]&lt;= Posts5[[#This Row],[Campaign end date]]), "During","Before")</f>
        <v>Before</v>
      </c>
    </row>
    <row r="460" spans="1:17" x14ac:dyDescent="0.3">
      <c r="A460" s="10" t="s">
        <v>334</v>
      </c>
      <c r="B460" s="10" t="s">
        <v>9</v>
      </c>
      <c r="C460" s="11">
        <v>45686</v>
      </c>
      <c r="D460" s="10" t="s">
        <v>15</v>
      </c>
      <c r="E460" s="10" t="s">
        <v>39</v>
      </c>
      <c r="F460" s="10">
        <v>1334</v>
      </c>
      <c r="G460" s="10">
        <v>357</v>
      </c>
      <c r="H460" s="10">
        <v>257</v>
      </c>
      <c r="I460" s="10">
        <v>56910</v>
      </c>
      <c r="J460" s="10">
        <v>70606</v>
      </c>
      <c r="K460" s="10">
        <v>228</v>
      </c>
      <c r="L460" s="10" t="s">
        <v>10</v>
      </c>
      <c r="M460" s="10" t="s">
        <v>37</v>
      </c>
      <c r="N460" s="10">
        <f>(Posts5[[#This Row],[Likes]]+Posts5[[#This Row],[Shares]]+Posts5[[#This Row],[Comments]])/Posts5[[#This Row],[Impressions]]</f>
        <v>3.4229485151994379E-2</v>
      </c>
      <c r="O460" s="11">
        <f>_xlfn.XLOOKUP(Posts5[[#This Row],[Campaign_Name]],'[1]Campaign Metadata'!A:A,'[1]Campaign Metadata'!B:B)</f>
        <v>45717</v>
      </c>
      <c r="P460" s="10">
        <f>_xlfn.XLOOKUP(Posts5[[#This Row],[Campaign_Name]],'[1]Campaign Metadata'!A:A,'[1]Campaign Metadata'!C:C)</f>
        <v>45747</v>
      </c>
      <c r="Q460" s="10" t="str">
        <f>IF(AND(Posts5[[#This Row],[Date]] &gt;=Posts5[[#This Row],[Campaign Start Date]], Posts5[[#This Row],[Date]]&lt;= Posts5[[#This Row],[Campaign end date]]), "During","Before")</f>
        <v>Before</v>
      </c>
    </row>
    <row r="461" spans="1:17" x14ac:dyDescent="0.3">
      <c r="A461" s="10" t="s">
        <v>334</v>
      </c>
      <c r="B461" s="10" t="s">
        <v>9</v>
      </c>
      <c r="C461" s="11">
        <v>45686</v>
      </c>
      <c r="D461" s="10" t="s">
        <v>15</v>
      </c>
      <c r="E461" s="10" t="s">
        <v>39</v>
      </c>
      <c r="F461" s="10">
        <v>1334</v>
      </c>
      <c r="G461" s="10">
        <v>357</v>
      </c>
      <c r="H461" s="10">
        <v>257</v>
      </c>
      <c r="I461" s="10">
        <v>56910</v>
      </c>
      <c r="J461" s="10">
        <v>70606</v>
      </c>
      <c r="K461" s="10">
        <v>228</v>
      </c>
      <c r="L461" s="10" t="s">
        <v>16</v>
      </c>
      <c r="M461" s="10" t="s">
        <v>37</v>
      </c>
      <c r="N461" s="10">
        <f>(Posts5[[#This Row],[Likes]]+Posts5[[#This Row],[Shares]]+Posts5[[#This Row],[Comments]])/Posts5[[#This Row],[Impressions]]</f>
        <v>3.4229485151994379E-2</v>
      </c>
      <c r="O461" s="11">
        <f>_xlfn.XLOOKUP(Posts5[[#This Row],[Campaign_Name]],'[1]Campaign Metadata'!A:A,'[1]Campaign Metadata'!B:B)</f>
        <v>45717</v>
      </c>
      <c r="P461" s="10">
        <f>_xlfn.XLOOKUP(Posts5[[#This Row],[Campaign_Name]],'[1]Campaign Metadata'!A:A,'[1]Campaign Metadata'!C:C)</f>
        <v>45747</v>
      </c>
      <c r="Q461" s="10" t="str">
        <f>IF(AND(Posts5[[#This Row],[Date]] &gt;=Posts5[[#This Row],[Campaign Start Date]], Posts5[[#This Row],[Date]]&lt;= Posts5[[#This Row],[Campaign end date]]), "During","Before")</f>
        <v>Before</v>
      </c>
    </row>
    <row r="462" spans="1:17" x14ac:dyDescent="0.3">
      <c r="A462" s="10" t="s">
        <v>335</v>
      </c>
      <c r="B462" s="10" t="s">
        <v>7</v>
      </c>
      <c r="C462" s="11">
        <v>45413</v>
      </c>
      <c r="D462" s="10" t="s">
        <v>15</v>
      </c>
      <c r="E462" s="10" t="s">
        <v>49</v>
      </c>
      <c r="F462" s="10">
        <v>3359</v>
      </c>
      <c r="G462" s="10">
        <v>137</v>
      </c>
      <c r="H462" s="10">
        <v>387</v>
      </c>
      <c r="I462" s="10">
        <v>33861</v>
      </c>
      <c r="J462" s="10">
        <v>47257</v>
      </c>
      <c r="K462" s="10">
        <v>198</v>
      </c>
      <c r="L462" s="10" t="s">
        <v>10</v>
      </c>
      <c r="M462" s="10" t="s">
        <v>37</v>
      </c>
      <c r="N462" s="10">
        <f>(Posts5[[#This Row],[Likes]]+Posts5[[#This Row],[Shares]]+Posts5[[#This Row],[Comments]])/Posts5[[#This Row],[Impressions]]</f>
        <v>0.11467469950680724</v>
      </c>
      <c r="O462" s="11">
        <f>_xlfn.XLOOKUP(Posts5[[#This Row],[Campaign_Name]],'[1]Campaign Metadata'!A:A,'[1]Campaign Metadata'!B:B)</f>
        <v>45717</v>
      </c>
      <c r="P462" s="10">
        <f>_xlfn.XLOOKUP(Posts5[[#This Row],[Campaign_Name]],'[1]Campaign Metadata'!A:A,'[1]Campaign Metadata'!C:C)</f>
        <v>45747</v>
      </c>
      <c r="Q462" s="10" t="str">
        <f>IF(AND(Posts5[[#This Row],[Date]] &gt;=Posts5[[#This Row],[Campaign Start Date]], Posts5[[#This Row],[Date]]&lt;= Posts5[[#This Row],[Campaign end date]]), "During","Before")</f>
        <v>Before</v>
      </c>
    </row>
    <row r="463" spans="1:17" x14ac:dyDescent="0.3">
      <c r="A463" s="10" t="s">
        <v>336</v>
      </c>
      <c r="B463" s="10" t="s">
        <v>9</v>
      </c>
      <c r="C463" s="11">
        <v>45468</v>
      </c>
      <c r="D463" s="10" t="s">
        <v>15</v>
      </c>
      <c r="E463" s="10" t="s">
        <v>61</v>
      </c>
      <c r="F463" s="10">
        <v>2172</v>
      </c>
      <c r="G463" s="10">
        <v>338</v>
      </c>
      <c r="H463" s="10">
        <v>70</v>
      </c>
      <c r="I463" s="10">
        <v>30515</v>
      </c>
      <c r="J463" s="10">
        <v>57853</v>
      </c>
      <c r="K463" s="10">
        <v>156</v>
      </c>
      <c r="L463" s="10" t="s">
        <v>10</v>
      </c>
      <c r="M463" s="10" t="s">
        <v>37</v>
      </c>
      <c r="N463" s="10">
        <f>(Posts5[[#This Row],[Likes]]+Posts5[[#This Row],[Shares]]+Posts5[[#This Row],[Comments]])/Posts5[[#This Row],[Impressions]]</f>
        <v>8.4548582664263475E-2</v>
      </c>
      <c r="O463" s="11">
        <f>_xlfn.XLOOKUP(Posts5[[#This Row],[Campaign_Name]],'[1]Campaign Metadata'!A:A,'[1]Campaign Metadata'!B:B)</f>
        <v>45717</v>
      </c>
      <c r="P463" s="10">
        <f>_xlfn.XLOOKUP(Posts5[[#This Row],[Campaign_Name]],'[1]Campaign Metadata'!A:A,'[1]Campaign Metadata'!C:C)</f>
        <v>45747</v>
      </c>
      <c r="Q463" s="10" t="str">
        <f>IF(AND(Posts5[[#This Row],[Date]] &gt;=Posts5[[#This Row],[Campaign Start Date]], Posts5[[#This Row],[Date]]&lt;= Posts5[[#This Row],[Campaign end date]]), "During","Before")</f>
        <v>Before</v>
      </c>
    </row>
    <row r="464" spans="1:17" x14ac:dyDescent="0.3">
      <c r="A464" s="10" t="s">
        <v>336</v>
      </c>
      <c r="B464" s="10" t="s">
        <v>9</v>
      </c>
      <c r="C464" s="11">
        <v>45468</v>
      </c>
      <c r="D464" s="10" t="s">
        <v>15</v>
      </c>
      <c r="E464" s="10" t="s">
        <v>61</v>
      </c>
      <c r="F464" s="10">
        <v>2172</v>
      </c>
      <c r="G464" s="10">
        <v>338</v>
      </c>
      <c r="H464" s="10">
        <v>70</v>
      </c>
      <c r="I464" s="10">
        <v>30515</v>
      </c>
      <c r="J464" s="10">
        <v>57853</v>
      </c>
      <c r="K464" s="10">
        <v>156</v>
      </c>
      <c r="L464" s="10" t="s">
        <v>16</v>
      </c>
      <c r="M464" s="10" t="s">
        <v>37</v>
      </c>
      <c r="N464" s="10">
        <f>(Posts5[[#This Row],[Likes]]+Posts5[[#This Row],[Shares]]+Posts5[[#This Row],[Comments]])/Posts5[[#This Row],[Impressions]]</f>
        <v>8.4548582664263475E-2</v>
      </c>
      <c r="O464" s="11">
        <f>_xlfn.XLOOKUP(Posts5[[#This Row],[Campaign_Name]],'[1]Campaign Metadata'!A:A,'[1]Campaign Metadata'!B:B)</f>
        <v>45717</v>
      </c>
      <c r="P464" s="10">
        <f>_xlfn.XLOOKUP(Posts5[[#This Row],[Campaign_Name]],'[1]Campaign Metadata'!A:A,'[1]Campaign Metadata'!C:C)</f>
        <v>45747</v>
      </c>
      <c r="Q464" s="10" t="str">
        <f>IF(AND(Posts5[[#This Row],[Date]] &gt;=Posts5[[#This Row],[Campaign Start Date]], Posts5[[#This Row],[Date]]&lt;= Posts5[[#This Row],[Campaign end date]]), "During","Before")</f>
        <v>Before</v>
      </c>
    </row>
    <row r="465" spans="1:17" x14ac:dyDescent="0.3">
      <c r="A465" s="10" t="s">
        <v>337</v>
      </c>
      <c r="B465" s="10" t="s">
        <v>8</v>
      </c>
      <c r="C465" s="11">
        <v>45513</v>
      </c>
      <c r="D465" s="10" t="s">
        <v>13</v>
      </c>
      <c r="E465" s="10" t="s">
        <v>59</v>
      </c>
      <c r="F465" s="10">
        <v>4877</v>
      </c>
      <c r="G465" s="10">
        <v>442</v>
      </c>
      <c r="H465" s="10">
        <v>236</v>
      </c>
      <c r="I465" s="10">
        <v>52673</v>
      </c>
      <c r="J465" s="10">
        <v>48241</v>
      </c>
      <c r="K465" s="10">
        <v>114</v>
      </c>
      <c r="L465" s="10" t="s">
        <v>10</v>
      </c>
      <c r="M465" s="10" t="s">
        <v>34</v>
      </c>
      <c r="N465" s="10">
        <f>(Posts5[[#This Row],[Likes]]+Posts5[[#This Row],[Shares]]+Posts5[[#This Row],[Comments]])/Posts5[[#This Row],[Impressions]]</f>
        <v>0.10546200140489435</v>
      </c>
      <c r="O465" s="11">
        <f>_xlfn.XLOOKUP(Posts5[[#This Row],[Campaign_Name]],'[1]Campaign Metadata'!A:A,'[1]Campaign Metadata'!B:B)</f>
        <v>45667</v>
      </c>
      <c r="P465" s="10">
        <f>_xlfn.XLOOKUP(Posts5[[#This Row],[Campaign_Name]],'[1]Campaign Metadata'!A:A,'[1]Campaign Metadata'!C:C)</f>
        <v>45698</v>
      </c>
      <c r="Q465" s="10" t="str">
        <f>IF(AND(Posts5[[#This Row],[Date]] &gt;=Posts5[[#This Row],[Campaign Start Date]], Posts5[[#This Row],[Date]]&lt;= Posts5[[#This Row],[Campaign end date]]), "During","Before")</f>
        <v>Before</v>
      </c>
    </row>
    <row r="466" spans="1:17" x14ac:dyDescent="0.3">
      <c r="A466" s="10" t="s">
        <v>337</v>
      </c>
      <c r="B466" s="10" t="s">
        <v>8</v>
      </c>
      <c r="C466" s="11">
        <v>45513</v>
      </c>
      <c r="D466" s="10" t="s">
        <v>13</v>
      </c>
      <c r="E466" s="10" t="s">
        <v>59</v>
      </c>
      <c r="F466" s="10">
        <v>4877</v>
      </c>
      <c r="G466" s="10">
        <v>442</v>
      </c>
      <c r="H466" s="10">
        <v>236</v>
      </c>
      <c r="I466" s="10">
        <v>52673</v>
      </c>
      <c r="J466" s="10">
        <v>48241</v>
      </c>
      <c r="K466" s="10">
        <v>114</v>
      </c>
      <c r="L466" s="10" t="s">
        <v>14</v>
      </c>
      <c r="M466" s="10" t="s">
        <v>34</v>
      </c>
      <c r="N466" s="10">
        <f>(Posts5[[#This Row],[Likes]]+Posts5[[#This Row],[Shares]]+Posts5[[#This Row],[Comments]])/Posts5[[#This Row],[Impressions]]</f>
        <v>0.10546200140489435</v>
      </c>
      <c r="O466" s="11">
        <f>_xlfn.XLOOKUP(Posts5[[#This Row],[Campaign_Name]],'[1]Campaign Metadata'!A:A,'[1]Campaign Metadata'!B:B)</f>
        <v>45667</v>
      </c>
      <c r="P466" s="10">
        <f>_xlfn.XLOOKUP(Posts5[[#This Row],[Campaign_Name]],'[1]Campaign Metadata'!A:A,'[1]Campaign Metadata'!C:C)</f>
        <v>45698</v>
      </c>
      <c r="Q466" s="10" t="str">
        <f>IF(AND(Posts5[[#This Row],[Date]] &gt;=Posts5[[#This Row],[Campaign Start Date]], Posts5[[#This Row],[Date]]&lt;= Posts5[[#This Row],[Campaign end date]]), "During","Before")</f>
        <v>Before</v>
      </c>
    </row>
    <row r="467" spans="1:17" x14ac:dyDescent="0.3">
      <c r="A467" s="10" t="s">
        <v>338</v>
      </c>
      <c r="B467" s="10" t="s">
        <v>7</v>
      </c>
      <c r="C467" s="11">
        <v>45678</v>
      </c>
      <c r="D467" s="10" t="s">
        <v>13</v>
      </c>
      <c r="E467" s="10" t="s">
        <v>39</v>
      </c>
      <c r="F467" s="10">
        <v>4918</v>
      </c>
      <c r="G467" s="10">
        <v>440</v>
      </c>
      <c r="H467" s="10">
        <v>149</v>
      </c>
      <c r="I467" s="10">
        <v>53269</v>
      </c>
      <c r="J467" s="10">
        <v>64370</v>
      </c>
      <c r="K467" s="10">
        <v>269</v>
      </c>
      <c r="L467" s="10" t="s">
        <v>5</v>
      </c>
      <c r="M467" s="10" t="s">
        <v>65</v>
      </c>
      <c r="N467" s="10">
        <f>(Posts5[[#This Row],[Likes]]+Posts5[[#This Row],[Shares]]+Posts5[[#This Row],[Comments]])/Posts5[[#This Row],[Impressions]]</f>
        <v>0.10338095327488783</v>
      </c>
      <c r="O467" s="11">
        <f>_xlfn.XLOOKUP(Posts5[[#This Row],[Campaign_Name]],'[1]Campaign Metadata'!A:A,'[1]Campaign Metadata'!B:B)</f>
        <v>45627</v>
      </c>
      <c r="P467" s="10">
        <f>_xlfn.XLOOKUP(Posts5[[#This Row],[Campaign_Name]],'[1]Campaign Metadata'!A:A,'[1]Campaign Metadata'!C:C)</f>
        <v>45657</v>
      </c>
      <c r="Q467" s="10" t="str">
        <f>IF(AND(Posts5[[#This Row],[Date]] &gt;=Posts5[[#This Row],[Campaign Start Date]], Posts5[[#This Row],[Date]]&lt;= Posts5[[#This Row],[Campaign end date]]), "During","Before")</f>
        <v>Before</v>
      </c>
    </row>
    <row r="468" spans="1:17" x14ac:dyDescent="0.3">
      <c r="A468" s="10" t="s">
        <v>339</v>
      </c>
      <c r="B468" s="10" t="s">
        <v>8</v>
      </c>
      <c r="C468" s="11">
        <v>45517</v>
      </c>
      <c r="D468" s="10" t="s">
        <v>15</v>
      </c>
      <c r="E468" s="10" t="s">
        <v>36</v>
      </c>
      <c r="F468" s="10">
        <v>3418</v>
      </c>
      <c r="G468" s="10">
        <v>107</v>
      </c>
      <c r="H468" s="10">
        <v>221</v>
      </c>
      <c r="I468" s="10">
        <v>23927</v>
      </c>
      <c r="J468" s="10">
        <v>26182</v>
      </c>
      <c r="K468" s="10">
        <v>155</v>
      </c>
      <c r="L468" s="10" t="s">
        <v>12</v>
      </c>
      <c r="M468" s="10" t="s">
        <v>37</v>
      </c>
      <c r="N468" s="10">
        <f>(Posts5[[#This Row],[Likes]]+Posts5[[#This Row],[Shares]]+Posts5[[#This Row],[Comments]])/Posts5[[#This Row],[Impressions]]</f>
        <v>0.1565595352530614</v>
      </c>
      <c r="O468" s="11">
        <f>_xlfn.XLOOKUP(Posts5[[#This Row],[Campaign_Name]],'[1]Campaign Metadata'!A:A,'[1]Campaign Metadata'!B:B)</f>
        <v>45717</v>
      </c>
      <c r="P468" s="10">
        <f>_xlfn.XLOOKUP(Posts5[[#This Row],[Campaign_Name]],'[1]Campaign Metadata'!A:A,'[1]Campaign Metadata'!C:C)</f>
        <v>45747</v>
      </c>
      <c r="Q468" s="10" t="str">
        <f>IF(AND(Posts5[[#This Row],[Date]] &gt;=Posts5[[#This Row],[Campaign Start Date]], Posts5[[#This Row],[Date]]&lt;= Posts5[[#This Row],[Campaign end date]]), "During","Before")</f>
        <v>Before</v>
      </c>
    </row>
    <row r="469" spans="1:17" x14ac:dyDescent="0.3">
      <c r="A469" s="10" t="s">
        <v>340</v>
      </c>
      <c r="B469" s="10" t="s">
        <v>7</v>
      </c>
      <c r="C469" s="11">
        <v>45472</v>
      </c>
      <c r="D469" s="10" t="s">
        <v>15</v>
      </c>
      <c r="E469" s="10" t="s">
        <v>61</v>
      </c>
      <c r="F469" s="10">
        <v>2088</v>
      </c>
      <c r="G469" s="10">
        <v>490</v>
      </c>
      <c r="H469" s="10">
        <v>124</v>
      </c>
      <c r="I469" s="10">
        <v>46544</v>
      </c>
      <c r="J469" s="10">
        <v>69346</v>
      </c>
      <c r="K469" s="10">
        <v>178</v>
      </c>
      <c r="L469" s="10" t="s">
        <v>12</v>
      </c>
      <c r="M469" s="10" t="s">
        <v>34</v>
      </c>
      <c r="N469" s="10">
        <f>(Posts5[[#This Row],[Likes]]+Posts5[[#This Row],[Shares]]+Posts5[[#This Row],[Comments]])/Posts5[[#This Row],[Impressions]]</f>
        <v>5.8052595393606049E-2</v>
      </c>
      <c r="O469" s="11">
        <f>_xlfn.XLOOKUP(Posts5[[#This Row],[Campaign_Name]],'[1]Campaign Metadata'!A:A,'[1]Campaign Metadata'!B:B)</f>
        <v>45667</v>
      </c>
      <c r="P469" s="10">
        <f>_xlfn.XLOOKUP(Posts5[[#This Row],[Campaign_Name]],'[1]Campaign Metadata'!A:A,'[1]Campaign Metadata'!C:C)</f>
        <v>45698</v>
      </c>
      <c r="Q469" s="10" t="str">
        <f>IF(AND(Posts5[[#This Row],[Date]] &gt;=Posts5[[#This Row],[Campaign Start Date]], Posts5[[#This Row],[Date]]&lt;= Posts5[[#This Row],[Campaign end date]]), "During","Before")</f>
        <v>Before</v>
      </c>
    </row>
    <row r="470" spans="1:17" x14ac:dyDescent="0.3">
      <c r="A470" s="10" t="s">
        <v>340</v>
      </c>
      <c r="B470" s="10" t="s">
        <v>7</v>
      </c>
      <c r="C470" s="11">
        <v>45472</v>
      </c>
      <c r="D470" s="10" t="s">
        <v>15</v>
      </c>
      <c r="E470" s="10" t="s">
        <v>61</v>
      </c>
      <c r="F470" s="10">
        <v>2088</v>
      </c>
      <c r="G470" s="10">
        <v>490</v>
      </c>
      <c r="H470" s="10">
        <v>124</v>
      </c>
      <c r="I470" s="10">
        <v>46544</v>
      </c>
      <c r="J470" s="10">
        <v>69346</v>
      </c>
      <c r="K470" s="10">
        <v>178</v>
      </c>
      <c r="L470" s="10" t="s">
        <v>5</v>
      </c>
      <c r="M470" s="10" t="s">
        <v>34</v>
      </c>
      <c r="N470" s="10">
        <f>(Posts5[[#This Row],[Likes]]+Posts5[[#This Row],[Shares]]+Posts5[[#This Row],[Comments]])/Posts5[[#This Row],[Impressions]]</f>
        <v>5.8052595393606049E-2</v>
      </c>
      <c r="O470" s="11">
        <f>_xlfn.XLOOKUP(Posts5[[#This Row],[Campaign_Name]],'[1]Campaign Metadata'!A:A,'[1]Campaign Metadata'!B:B)</f>
        <v>45667</v>
      </c>
      <c r="P470" s="10">
        <f>_xlfn.XLOOKUP(Posts5[[#This Row],[Campaign_Name]],'[1]Campaign Metadata'!A:A,'[1]Campaign Metadata'!C:C)</f>
        <v>45698</v>
      </c>
      <c r="Q470" s="10" t="str">
        <f>IF(AND(Posts5[[#This Row],[Date]] &gt;=Posts5[[#This Row],[Campaign Start Date]], Posts5[[#This Row],[Date]]&lt;= Posts5[[#This Row],[Campaign end date]]), "During","Before")</f>
        <v>Before</v>
      </c>
    </row>
    <row r="471" spans="1:17" x14ac:dyDescent="0.3">
      <c r="A471" s="10" t="s">
        <v>341</v>
      </c>
      <c r="B471" s="10" t="s">
        <v>8</v>
      </c>
      <c r="C471" s="11">
        <v>45599</v>
      </c>
      <c r="D471" s="10" t="s">
        <v>13</v>
      </c>
      <c r="E471" s="10" t="s">
        <v>36</v>
      </c>
      <c r="F471" s="10">
        <v>3061</v>
      </c>
      <c r="G471" s="10">
        <v>320</v>
      </c>
      <c r="H471" s="10">
        <v>76</v>
      </c>
      <c r="I471" s="10">
        <v>26640</v>
      </c>
      <c r="J471" s="10">
        <v>24306</v>
      </c>
      <c r="K471" s="10">
        <v>112</v>
      </c>
      <c r="L471" s="10" t="s">
        <v>14</v>
      </c>
      <c r="M471" s="10" t="s">
        <v>34</v>
      </c>
      <c r="N471" s="10">
        <f>(Posts5[[#This Row],[Likes]]+Posts5[[#This Row],[Shares]]+Posts5[[#This Row],[Comments]])/Posts5[[#This Row],[Impressions]]</f>
        <v>0.12976726726726726</v>
      </c>
      <c r="O471" s="11">
        <f>_xlfn.XLOOKUP(Posts5[[#This Row],[Campaign_Name]],'[1]Campaign Metadata'!A:A,'[1]Campaign Metadata'!B:B)</f>
        <v>45667</v>
      </c>
      <c r="P471" s="10">
        <f>_xlfn.XLOOKUP(Posts5[[#This Row],[Campaign_Name]],'[1]Campaign Metadata'!A:A,'[1]Campaign Metadata'!C:C)</f>
        <v>45698</v>
      </c>
      <c r="Q471" s="10" t="str">
        <f>IF(AND(Posts5[[#This Row],[Date]] &gt;=Posts5[[#This Row],[Campaign Start Date]], Posts5[[#This Row],[Date]]&lt;= Posts5[[#This Row],[Campaign end date]]), "During","Before")</f>
        <v>Before</v>
      </c>
    </row>
    <row r="472" spans="1:17" x14ac:dyDescent="0.3">
      <c r="A472" s="10" t="s">
        <v>341</v>
      </c>
      <c r="B472" s="10" t="s">
        <v>8</v>
      </c>
      <c r="C472" s="11">
        <v>45599</v>
      </c>
      <c r="D472" s="10" t="s">
        <v>13</v>
      </c>
      <c r="E472" s="10" t="s">
        <v>36</v>
      </c>
      <c r="F472" s="10">
        <v>3061</v>
      </c>
      <c r="G472" s="10">
        <v>320</v>
      </c>
      <c r="H472" s="10">
        <v>76</v>
      </c>
      <c r="I472" s="10">
        <v>26640</v>
      </c>
      <c r="J472" s="10">
        <v>24306</v>
      </c>
      <c r="K472" s="10">
        <v>112</v>
      </c>
      <c r="L472" s="10" t="s">
        <v>5</v>
      </c>
      <c r="M472" s="10" t="s">
        <v>34</v>
      </c>
      <c r="N472" s="10">
        <f>(Posts5[[#This Row],[Likes]]+Posts5[[#This Row],[Shares]]+Posts5[[#This Row],[Comments]])/Posts5[[#This Row],[Impressions]]</f>
        <v>0.12976726726726726</v>
      </c>
      <c r="O472" s="11">
        <f>_xlfn.XLOOKUP(Posts5[[#This Row],[Campaign_Name]],'[1]Campaign Metadata'!A:A,'[1]Campaign Metadata'!B:B)</f>
        <v>45667</v>
      </c>
      <c r="P472" s="10">
        <f>_xlfn.XLOOKUP(Posts5[[#This Row],[Campaign_Name]],'[1]Campaign Metadata'!A:A,'[1]Campaign Metadata'!C:C)</f>
        <v>45698</v>
      </c>
      <c r="Q472" s="10" t="str">
        <f>IF(AND(Posts5[[#This Row],[Date]] &gt;=Posts5[[#This Row],[Campaign Start Date]], Posts5[[#This Row],[Date]]&lt;= Posts5[[#This Row],[Campaign end date]]), "During","Before")</f>
        <v>Before</v>
      </c>
    </row>
    <row r="473" spans="1:17" x14ac:dyDescent="0.3">
      <c r="A473" s="10" t="s">
        <v>342</v>
      </c>
      <c r="B473" s="10" t="s">
        <v>9</v>
      </c>
      <c r="C473" s="11">
        <v>45765</v>
      </c>
      <c r="D473" s="10" t="s">
        <v>11</v>
      </c>
      <c r="E473" s="10" t="s">
        <v>61</v>
      </c>
      <c r="F473" s="10">
        <v>1265</v>
      </c>
      <c r="G473" s="10">
        <v>230</v>
      </c>
      <c r="H473" s="10">
        <v>364</v>
      </c>
      <c r="I473" s="10">
        <v>41312</v>
      </c>
      <c r="J473" s="10">
        <v>50382</v>
      </c>
      <c r="K473" s="10">
        <v>106</v>
      </c>
      <c r="L473" s="10" t="s">
        <v>10</v>
      </c>
      <c r="M473" s="10" t="s">
        <v>68</v>
      </c>
      <c r="N473" s="10">
        <f>(Posts5[[#This Row],[Likes]]+Posts5[[#This Row],[Shares]]+Posts5[[#This Row],[Comments]])/Posts5[[#This Row],[Impressions]]</f>
        <v>4.4999031758326875E-2</v>
      </c>
      <c r="O473" s="11">
        <f>_xlfn.XLOOKUP(Posts5[[#This Row],[Campaign_Name]],'[1]Campaign Metadata'!A:A,'[1]Campaign Metadata'!B:B)</f>
        <v>45458</v>
      </c>
      <c r="P473" s="10">
        <f>_xlfn.XLOOKUP(Posts5[[#This Row],[Campaign_Name]],'[1]Campaign Metadata'!A:A,'[1]Campaign Metadata'!C:C)</f>
        <v>45488</v>
      </c>
      <c r="Q473" s="10" t="str">
        <f>IF(AND(Posts5[[#This Row],[Date]] &gt;=Posts5[[#This Row],[Campaign Start Date]], Posts5[[#This Row],[Date]]&lt;= Posts5[[#This Row],[Campaign end date]]), "During","Before")</f>
        <v>Before</v>
      </c>
    </row>
    <row r="474" spans="1:17" x14ac:dyDescent="0.3">
      <c r="A474" s="10" t="s">
        <v>342</v>
      </c>
      <c r="B474" s="10" t="s">
        <v>9</v>
      </c>
      <c r="C474" s="11">
        <v>45765</v>
      </c>
      <c r="D474" s="10" t="s">
        <v>11</v>
      </c>
      <c r="E474" s="10" t="s">
        <v>61</v>
      </c>
      <c r="F474" s="10">
        <v>1265</v>
      </c>
      <c r="G474" s="10">
        <v>230</v>
      </c>
      <c r="H474" s="10">
        <v>364</v>
      </c>
      <c r="I474" s="10">
        <v>41312</v>
      </c>
      <c r="J474" s="10">
        <v>50382</v>
      </c>
      <c r="K474" s="10">
        <v>106</v>
      </c>
      <c r="L474" s="10" t="s">
        <v>12</v>
      </c>
      <c r="M474" s="10" t="s">
        <v>68</v>
      </c>
      <c r="N474" s="10">
        <f>(Posts5[[#This Row],[Likes]]+Posts5[[#This Row],[Shares]]+Posts5[[#This Row],[Comments]])/Posts5[[#This Row],[Impressions]]</f>
        <v>4.4999031758326875E-2</v>
      </c>
      <c r="O474" s="11">
        <f>_xlfn.XLOOKUP(Posts5[[#This Row],[Campaign_Name]],'[1]Campaign Metadata'!A:A,'[1]Campaign Metadata'!B:B)</f>
        <v>45458</v>
      </c>
      <c r="P474" s="10">
        <f>_xlfn.XLOOKUP(Posts5[[#This Row],[Campaign_Name]],'[1]Campaign Metadata'!A:A,'[1]Campaign Metadata'!C:C)</f>
        <v>45488</v>
      </c>
      <c r="Q474" s="10" t="str">
        <f>IF(AND(Posts5[[#This Row],[Date]] &gt;=Posts5[[#This Row],[Campaign Start Date]], Posts5[[#This Row],[Date]]&lt;= Posts5[[#This Row],[Campaign end date]]), "During","Before")</f>
        <v>Before</v>
      </c>
    </row>
    <row r="475" spans="1:17" x14ac:dyDescent="0.3">
      <c r="A475" s="10" t="s">
        <v>343</v>
      </c>
      <c r="B475" s="10" t="s">
        <v>7</v>
      </c>
      <c r="C475" s="11">
        <v>45653</v>
      </c>
      <c r="D475" s="10" t="s">
        <v>15</v>
      </c>
      <c r="E475" s="10" t="s">
        <v>59</v>
      </c>
      <c r="F475" s="10">
        <v>1436</v>
      </c>
      <c r="G475" s="10">
        <v>219</v>
      </c>
      <c r="H475" s="10">
        <v>229</v>
      </c>
      <c r="I475" s="10">
        <v>58488</v>
      </c>
      <c r="J475" s="10">
        <v>24314</v>
      </c>
      <c r="K475" s="10">
        <v>147</v>
      </c>
      <c r="L475" s="10" t="s">
        <v>10</v>
      </c>
      <c r="M475" s="10" t="s">
        <v>37</v>
      </c>
      <c r="N475" s="10">
        <f>(Posts5[[#This Row],[Likes]]+Posts5[[#This Row],[Shares]]+Posts5[[#This Row],[Comments]])/Posts5[[#This Row],[Impressions]]</f>
        <v>3.221173574066475E-2</v>
      </c>
      <c r="O475" s="11">
        <f>_xlfn.XLOOKUP(Posts5[[#This Row],[Campaign_Name]],'[1]Campaign Metadata'!A:A,'[1]Campaign Metadata'!B:B)</f>
        <v>45717</v>
      </c>
      <c r="P475" s="10">
        <f>_xlfn.XLOOKUP(Posts5[[#This Row],[Campaign_Name]],'[1]Campaign Metadata'!A:A,'[1]Campaign Metadata'!C:C)</f>
        <v>45747</v>
      </c>
      <c r="Q475" s="10" t="str">
        <f>IF(AND(Posts5[[#This Row],[Date]] &gt;=Posts5[[#This Row],[Campaign Start Date]], Posts5[[#This Row],[Date]]&lt;= Posts5[[#This Row],[Campaign end date]]), "During","Before")</f>
        <v>Before</v>
      </c>
    </row>
    <row r="476" spans="1:17" x14ac:dyDescent="0.3">
      <c r="A476" s="10" t="s">
        <v>344</v>
      </c>
      <c r="B476" s="10" t="s">
        <v>7</v>
      </c>
      <c r="C476" s="11">
        <v>45724</v>
      </c>
      <c r="D476" s="10" t="s">
        <v>13</v>
      </c>
      <c r="E476" s="10" t="s">
        <v>53</v>
      </c>
      <c r="F476" s="10">
        <v>2244</v>
      </c>
      <c r="G476" s="10">
        <v>392</v>
      </c>
      <c r="H476" s="10">
        <v>231</v>
      </c>
      <c r="I476" s="10">
        <v>25834</v>
      </c>
      <c r="J476" s="10">
        <v>50906</v>
      </c>
      <c r="K476" s="10">
        <v>165</v>
      </c>
      <c r="L476" s="10" t="s">
        <v>5</v>
      </c>
      <c r="M476" s="10" t="s">
        <v>65</v>
      </c>
      <c r="N476" s="10">
        <f>(Posts5[[#This Row],[Likes]]+Posts5[[#This Row],[Shares]]+Posts5[[#This Row],[Comments]])/Posts5[[#This Row],[Impressions]]</f>
        <v>0.1109777812185492</v>
      </c>
      <c r="O476" s="11">
        <f>_xlfn.XLOOKUP(Posts5[[#This Row],[Campaign_Name]],'[1]Campaign Metadata'!A:A,'[1]Campaign Metadata'!B:B)</f>
        <v>45627</v>
      </c>
      <c r="P476" s="10">
        <f>_xlfn.XLOOKUP(Posts5[[#This Row],[Campaign_Name]],'[1]Campaign Metadata'!A:A,'[1]Campaign Metadata'!C:C)</f>
        <v>45657</v>
      </c>
      <c r="Q476" s="10" t="str">
        <f>IF(AND(Posts5[[#This Row],[Date]] &gt;=Posts5[[#This Row],[Campaign Start Date]], Posts5[[#This Row],[Date]]&lt;= Posts5[[#This Row],[Campaign end date]]), "During","Before")</f>
        <v>Before</v>
      </c>
    </row>
    <row r="477" spans="1:17" x14ac:dyDescent="0.3">
      <c r="A477" s="10" t="s">
        <v>345</v>
      </c>
      <c r="B477" s="10" t="s">
        <v>8</v>
      </c>
      <c r="C477" s="11">
        <v>45736</v>
      </c>
      <c r="D477" s="10" t="s">
        <v>13</v>
      </c>
      <c r="E477" s="10" t="s">
        <v>61</v>
      </c>
      <c r="F477" s="10">
        <v>3393</v>
      </c>
      <c r="G477" s="10">
        <v>104</v>
      </c>
      <c r="H477" s="10">
        <v>79</v>
      </c>
      <c r="I477" s="10">
        <v>30025</v>
      </c>
      <c r="J477" s="10">
        <v>21593</v>
      </c>
      <c r="K477" s="10">
        <v>165</v>
      </c>
      <c r="L477" s="10" t="s">
        <v>14</v>
      </c>
      <c r="M477" s="10" t="s">
        <v>34</v>
      </c>
      <c r="N477" s="10">
        <f>(Posts5[[#This Row],[Likes]]+Posts5[[#This Row],[Shares]]+Posts5[[#This Row],[Comments]])/Posts5[[#This Row],[Impressions]]</f>
        <v>0.1191007493755204</v>
      </c>
      <c r="O477" s="11">
        <f>_xlfn.XLOOKUP(Posts5[[#This Row],[Campaign_Name]],'[1]Campaign Metadata'!A:A,'[1]Campaign Metadata'!B:B)</f>
        <v>45667</v>
      </c>
      <c r="P477" s="10">
        <f>_xlfn.XLOOKUP(Posts5[[#This Row],[Campaign_Name]],'[1]Campaign Metadata'!A:A,'[1]Campaign Metadata'!C:C)</f>
        <v>45698</v>
      </c>
      <c r="Q477" s="10" t="str">
        <f>IF(AND(Posts5[[#This Row],[Date]] &gt;=Posts5[[#This Row],[Campaign Start Date]], Posts5[[#This Row],[Date]]&lt;= Posts5[[#This Row],[Campaign end date]]), "During","Before")</f>
        <v>Before</v>
      </c>
    </row>
    <row r="478" spans="1:17" x14ac:dyDescent="0.3">
      <c r="A478" s="10" t="s">
        <v>345</v>
      </c>
      <c r="B478" s="10" t="s">
        <v>8</v>
      </c>
      <c r="C478" s="11">
        <v>45736</v>
      </c>
      <c r="D478" s="10" t="s">
        <v>13</v>
      </c>
      <c r="E478" s="10" t="s">
        <v>61</v>
      </c>
      <c r="F478" s="10">
        <v>3393</v>
      </c>
      <c r="G478" s="10">
        <v>104</v>
      </c>
      <c r="H478" s="10">
        <v>79</v>
      </c>
      <c r="I478" s="10">
        <v>30025</v>
      </c>
      <c r="J478" s="10">
        <v>21593</v>
      </c>
      <c r="K478" s="10">
        <v>165</v>
      </c>
      <c r="L478" s="10" t="s">
        <v>5</v>
      </c>
      <c r="M478" s="10" t="s">
        <v>34</v>
      </c>
      <c r="N478" s="10">
        <f>(Posts5[[#This Row],[Likes]]+Posts5[[#This Row],[Shares]]+Posts5[[#This Row],[Comments]])/Posts5[[#This Row],[Impressions]]</f>
        <v>0.1191007493755204</v>
      </c>
      <c r="O478" s="11">
        <f>_xlfn.XLOOKUP(Posts5[[#This Row],[Campaign_Name]],'[1]Campaign Metadata'!A:A,'[1]Campaign Metadata'!B:B)</f>
        <v>45667</v>
      </c>
      <c r="P478" s="10">
        <f>_xlfn.XLOOKUP(Posts5[[#This Row],[Campaign_Name]],'[1]Campaign Metadata'!A:A,'[1]Campaign Metadata'!C:C)</f>
        <v>45698</v>
      </c>
      <c r="Q478" s="10" t="str">
        <f>IF(AND(Posts5[[#This Row],[Date]] &gt;=Posts5[[#This Row],[Campaign Start Date]], Posts5[[#This Row],[Date]]&lt;= Posts5[[#This Row],[Campaign end date]]), "During","Before")</f>
        <v>Before</v>
      </c>
    </row>
    <row r="479" spans="1:17" x14ac:dyDescent="0.3">
      <c r="A479" s="10" t="s">
        <v>346</v>
      </c>
      <c r="B479" s="10" t="s">
        <v>8</v>
      </c>
      <c r="C479" s="11">
        <v>45612</v>
      </c>
      <c r="D479" s="10" t="s">
        <v>15</v>
      </c>
      <c r="E479" s="10" t="s">
        <v>36</v>
      </c>
      <c r="F479" s="10">
        <v>2901</v>
      </c>
      <c r="G479" s="10">
        <v>108</v>
      </c>
      <c r="H479" s="10">
        <v>86</v>
      </c>
      <c r="I479" s="10">
        <v>51777</v>
      </c>
      <c r="J479" s="10">
        <v>23773</v>
      </c>
      <c r="K479" s="10">
        <v>160</v>
      </c>
      <c r="L479" s="10" t="s">
        <v>12</v>
      </c>
      <c r="M479" s="10" t="s">
        <v>37</v>
      </c>
      <c r="N479" s="10">
        <f>(Posts5[[#This Row],[Likes]]+Posts5[[#This Row],[Shares]]+Posts5[[#This Row],[Comments]])/Posts5[[#This Row],[Impressions]]</f>
        <v>5.9775576027966085E-2</v>
      </c>
      <c r="O479" s="11">
        <f>_xlfn.XLOOKUP(Posts5[[#This Row],[Campaign_Name]],'[1]Campaign Metadata'!A:A,'[1]Campaign Metadata'!B:B)</f>
        <v>45717</v>
      </c>
      <c r="P479" s="10">
        <f>_xlfn.XLOOKUP(Posts5[[#This Row],[Campaign_Name]],'[1]Campaign Metadata'!A:A,'[1]Campaign Metadata'!C:C)</f>
        <v>45747</v>
      </c>
      <c r="Q479" s="10" t="str">
        <f>IF(AND(Posts5[[#This Row],[Date]] &gt;=Posts5[[#This Row],[Campaign Start Date]], Posts5[[#This Row],[Date]]&lt;= Posts5[[#This Row],[Campaign end date]]), "During","Before")</f>
        <v>Before</v>
      </c>
    </row>
    <row r="480" spans="1:17" x14ac:dyDescent="0.3">
      <c r="A480" s="10" t="s">
        <v>347</v>
      </c>
      <c r="B480" s="10" t="s">
        <v>8</v>
      </c>
      <c r="C480" s="11">
        <v>45838</v>
      </c>
      <c r="D480" s="10" t="s">
        <v>15</v>
      </c>
      <c r="E480" s="10" t="s">
        <v>47</v>
      </c>
      <c r="F480" s="10">
        <v>2275</v>
      </c>
      <c r="G480" s="10">
        <v>285</v>
      </c>
      <c r="H480" s="10">
        <v>125</v>
      </c>
      <c r="I480" s="10">
        <v>43970</v>
      </c>
      <c r="J480" s="10">
        <v>74761</v>
      </c>
      <c r="K480" s="10">
        <v>83</v>
      </c>
      <c r="L480" s="10" t="s">
        <v>5</v>
      </c>
      <c r="M480" s="10" t="s">
        <v>34</v>
      </c>
      <c r="N480" s="10">
        <f>(Posts5[[#This Row],[Likes]]+Posts5[[#This Row],[Shares]]+Posts5[[#This Row],[Comments]])/Posts5[[#This Row],[Impressions]]</f>
        <v>6.1064362065044349E-2</v>
      </c>
      <c r="O480" s="11">
        <f>_xlfn.XLOOKUP(Posts5[[#This Row],[Campaign_Name]],'[1]Campaign Metadata'!A:A,'[1]Campaign Metadata'!B:B)</f>
        <v>45667</v>
      </c>
      <c r="P480" s="10">
        <f>_xlfn.XLOOKUP(Posts5[[#This Row],[Campaign_Name]],'[1]Campaign Metadata'!A:A,'[1]Campaign Metadata'!C:C)</f>
        <v>45698</v>
      </c>
      <c r="Q480" s="10" t="str">
        <f>IF(AND(Posts5[[#This Row],[Date]] &gt;=Posts5[[#This Row],[Campaign Start Date]], Posts5[[#This Row],[Date]]&lt;= Posts5[[#This Row],[Campaign end date]]), "During","Before")</f>
        <v>Before</v>
      </c>
    </row>
    <row r="481" spans="1:17" x14ac:dyDescent="0.3">
      <c r="A481" s="10" t="s">
        <v>348</v>
      </c>
      <c r="B481" s="10" t="s">
        <v>8</v>
      </c>
      <c r="C481" s="11">
        <v>45303</v>
      </c>
      <c r="D481" s="10" t="s">
        <v>13</v>
      </c>
      <c r="E481" s="10" t="s">
        <v>42</v>
      </c>
      <c r="F481" s="10">
        <v>2227</v>
      </c>
      <c r="G481" s="10">
        <v>494</v>
      </c>
      <c r="H481" s="10">
        <v>161</v>
      </c>
      <c r="I481" s="10">
        <v>51651</v>
      </c>
      <c r="J481" s="10">
        <v>68074</v>
      </c>
      <c r="K481" s="10">
        <v>240</v>
      </c>
      <c r="L481" s="10" t="s">
        <v>10</v>
      </c>
      <c r="M481" s="10" t="s">
        <v>34</v>
      </c>
      <c r="N481" s="10">
        <f>(Posts5[[#This Row],[Likes]]+Posts5[[#This Row],[Shares]]+Posts5[[#This Row],[Comments]])/Posts5[[#This Row],[Impressions]]</f>
        <v>5.5797564422760453E-2</v>
      </c>
      <c r="O481" s="11">
        <f>_xlfn.XLOOKUP(Posts5[[#This Row],[Campaign_Name]],'[1]Campaign Metadata'!A:A,'[1]Campaign Metadata'!B:B)</f>
        <v>45667</v>
      </c>
      <c r="P481" s="10">
        <f>_xlfn.XLOOKUP(Posts5[[#This Row],[Campaign_Name]],'[1]Campaign Metadata'!A:A,'[1]Campaign Metadata'!C:C)</f>
        <v>45698</v>
      </c>
      <c r="Q481" s="10" t="str">
        <f>IF(AND(Posts5[[#This Row],[Date]] &gt;=Posts5[[#This Row],[Campaign Start Date]], Posts5[[#This Row],[Date]]&lt;= Posts5[[#This Row],[Campaign end date]]), "During","Before")</f>
        <v>Before</v>
      </c>
    </row>
    <row r="482" spans="1:17" x14ac:dyDescent="0.3">
      <c r="A482" s="10" t="s">
        <v>348</v>
      </c>
      <c r="B482" s="10" t="s">
        <v>8</v>
      </c>
      <c r="C482" s="11">
        <v>45303</v>
      </c>
      <c r="D482" s="10" t="s">
        <v>13</v>
      </c>
      <c r="E482" s="10" t="s">
        <v>42</v>
      </c>
      <c r="F482" s="10">
        <v>2227</v>
      </c>
      <c r="G482" s="10">
        <v>494</v>
      </c>
      <c r="H482" s="10">
        <v>161</v>
      </c>
      <c r="I482" s="10">
        <v>51651</v>
      </c>
      <c r="J482" s="10">
        <v>68074</v>
      </c>
      <c r="K482" s="10">
        <v>240</v>
      </c>
      <c r="L482" s="10" t="s">
        <v>14</v>
      </c>
      <c r="M482" s="10" t="s">
        <v>34</v>
      </c>
      <c r="N482" s="10">
        <f>(Posts5[[#This Row],[Likes]]+Posts5[[#This Row],[Shares]]+Posts5[[#This Row],[Comments]])/Posts5[[#This Row],[Impressions]]</f>
        <v>5.5797564422760453E-2</v>
      </c>
      <c r="O482" s="11">
        <f>_xlfn.XLOOKUP(Posts5[[#This Row],[Campaign_Name]],'[1]Campaign Metadata'!A:A,'[1]Campaign Metadata'!B:B)</f>
        <v>45667</v>
      </c>
      <c r="P482" s="10">
        <f>_xlfn.XLOOKUP(Posts5[[#This Row],[Campaign_Name]],'[1]Campaign Metadata'!A:A,'[1]Campaign Metadata'!C:C)</f>
        <v>45698</v>
      </c>
      <c r="Q482" s="10" t="str">
        <f>IF(AND(Posts5[[#This Row],[Date]] &gt;=Posts5[[#This Row],[Campaign Start Date]], Posts5[[#This Row],[Date]]&lt;= Posts5[[#This Row],[Campaign end date]]), "During","Before")</f>
        <v>Before</v>
      </c>
    </row>
    <row r="483" spans="1:17" x14ac:dyDescent="0.3">
      <c r="A483" s="10" t="s">
        <v>349</v>
      </c>
      <c r="B483" s="10" t="s">
        <v>7</v>
      </c>
      <c r="C483" s="11">
        <v>45329</v>
      </c>
      <c r="D483" s="10" t="s">
        <v>15</v>
      </c>
      <c r="E483" s="10" t="s">
        <v>44</v>
      </c>
      <c r="F483" s="10">
        <v>1883</v>
      </c>
      <c r="G483" s="10">
        <v>432</v>
      </c>
      <c r="H483" s="10">
        <v>397</v>
      </c>
      <c r="I483" s="10">
        <v>28759</v>
      </c>
      <c r="J483" s="10">
        <v>18691</v>
      </c>
      <c r="K483" s="10">
        <v>270</v>
      </c>
      <c r="L483" s="10" t="s">
        <v>12</v>
      </c>
      <c r="M483" s="10" t="s">
        <v>34</v>
      </c>
      <c r="N483" s="10">
        <f>(Posts5[[#This Row],[Likes]]+Posts5[[#This Row],[Shares]]+Posts5[[#This Row],[Comments]])/Posts5[[#This Row],[Impressions]]</f>
        <v>9.4300914496331587E-2</v>
      </c>
      <c r="O483" s="11">
        <f>_xlfn.XLOOKUP(Posts5[[#This Row],[Campaign_Name]],'[1]Campaign Metadata'!A:A,'[1]Campaign Metadata'!B:B)</f>
        <v>45667</v>
      </c>
      <c r="P483" s="10">
        <f>_xlfn.XLOOKUP(Posts5[[#This Row],[Campaign_Name]],'[1]Campaign Metadata'!A:A,'[1]Campaign Metadata'!C:C)</f>
        <v>45698</v>
      </c>
      <c r="Q483" s="10" t="str">
        <f>IF(AND(Posts5[[#This Row],[Date]] &gt;=Posts5[[#This Row],[Campaign Start Date]], Posts5[[#This Row],[Date]]&lt;= Posts5[[#This Row],[Campaign end date]]), "During","Before")</f>
        <v>Before</v>
      </c>
    </row>
    <row r="484" spans="1:17" x14ac:dyDescent="0.3">
      <c r="A484" s="10" t="s">
        <v>349</v>
      </c>
      <c r="B484" s="10" t="s">
        <v>7</v>
      </c>
      <c r="C484" s="11">
        <v>45329</v>
      </c>
      <c r="D484" s="10" t="s">
        <v>15</v>
      </c>
      <c r="E484" s="10" t="s">
        <v>44</v>
      </c>
      <c r="F484" s="10">
        <v>1883</v>
      </c>
      <c r="G484" s="10">
        <v>432</v>
      </c>
      <c r="H484" s="10">
        <v>397</v>
      </c>
      <c r="I484" s="10">
        <v>28759</v>
      </c>
      <c r="J484" s="10">
        <v>18691</v>
      </c>
      <c r="K484" s="10">
        <v>270</v>
      </c>
      <c r="L484" s="10" t="s">
        <v>5</v>
      </c>
      <c r="M484" s="10" t="s">
        <v>34</v>
      </c>
      <c r="N484" s="10">
        <f>(Posts5[[#This Row],[Likes]]+Posts5[[#This Row],[Shares]]+Posts5[[#This Row],[Comments]])/Posts5[[#This Row],[Impressions]]</f>
        <v>9.4300914496331587E-2</v>
      </c>
      <c r="O484" s="11">
        <f>_xlfn.XLOOKUP(Posts5[[#This Row],[Campaign_Name]],'[1]Campaign Metadata'!A:A,'[1]Campaign Metadata'!B:B)</f>
        <v>45667</v>
      </c>
      <c r="P484" s="10">
        <f>_xlfn.XLOOKUP(Posts5[[#This Row],[Campaign_Name]],'[1]Campaign Metadata'!A:A,'[1]Campaign Metadata'!C:C)</f>
        <v>45698</v>
      </c>
      <c r="Q484" s="10" t="str">
        <f>IF(AND(Posts5[[#This Row],[Date]] &gt;=Posts5[[#This Row],[Campaign Start Date]], Posts5[[#This Row],[Date]]&lt;= Posts5[[#This Row],[Campaign end date]]), "During","Before")</f>
        <v>Before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4D292-EE0B-45EC-934E-60CC7146D464}">
  <dimension ref="A1:N301"/>
  <sheetViews>
    <sheetView workbookViewId="0">
      <selection activeCell="H17" sqref="H17"/>
    </sheetView>
  </sheetViews>
  <sheetFormatPr defaultRowHeight="14.4" x14ac:dyDescent="0.3"/>
  <cols>
    <col min="1" max="1" width="9.109375" bestFit="1" customWidth="1"/>
    <col min="2" max="2" width="10.5546875" bestFit="1" customWidth="1"/>
    <col min="3" max="3" width="10.33203125" bestFit="1" customWidth="1"/>
    <col min="4" max="4" width="14.5546875" bestFit="1" customWidth="1"/>
    <col min="5" max="5" width="36.77734375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13.21875" bestFit="1" customWidth="1"/>
    <col min="10" max="10" width="8.33203125" bestFit="1" customWidth="1"/>
    <col min="11" max="11" width="7.88671875" bestFit="1" customWidth="1"/>
    <col min="12" max="12" width="32" bestFit="1" customWidth="1"/>
    <col min="13" max="13" width="17.77734375" bestFit="1" customWidth="1"/>
    <col min="14" max="14" width="15.88671875" bestFit="1" customWidth="1"/>
  </cols>
  <sheetData>
    <row r="1" spans="1:14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</row>
    <row r="2" spans="1:14" x14ac:dyDescent="0.3">
      <c r="A2" t="s">
        <v>31</v>
      </c>
      <c r="B2" t="s">
        <v>7</v>
      </c>
      <c r="C2" s="4">
        <v>45781</v>
      </c>
      <c r="D2" t="s">
        <v>15</v>
      </c>
      <c r="E2" t="s">
        <v>32</v>
      </c>
      <c r="F2">
        <v>2414</v>
      </c>
      <c r="G2">
        <v>245</v>
      </c>
      <c r="H2">
        <v>137</v>
      </c>
      <c r="I2">
        <v>21181</v>
      </c>
      <c r="J2">
        <v>45292</v>
      </c>
      <c r="K2">
        <v>133</v>
      </c>
      <c r="L2" t="s">
        <v>33</v>
      </c>
      <c r="M2" t="s">
        <v>34</v>
      </c>
      <c r="N2">
        <f>(  Posts__2[[#This Row],[Likes]]+Posts__2[[#This Row],[Comments]]+Posts__2[[#This Row],[Shares]] ) / Posts__2[[#This Row],[Impressions]]</f>
        <v>0.13200509890939993</v>
      </c>
    </row>
    <row r="3" spans="1:14" x14ac:dyDescent="0.3">
      <c r="A3" t="s">
        <v>35</v>
      </c>
      <c r="B3" t="s">
        <v>7</v>
      </c>
      <c r="C3" s="4">
        <v>45689</v>
      </c>
      <c r="D3" t="s">
        <v>15</v>
      </c>
      <c r="E3" t="s">
        <v>36</v>
      </c>
      <c r="F3">
        <v>1934</v>
      </c>
      <c r="G3">
        <v>210</v>
      </c>
      <c r="H3">
        <v>393</v>
      </c>
      <c r="I3">
        <v>29129</v>
      </c>
      <c r="J3">
        <v>73287</v>
      </c>
      <c r="K3">
        <v>273</v>
      </c>
      <c r="L3" t="s">
        <v>10</v>
      </c>
      <c r="M3" t="s">
        <v>37</v>
      </c>
      <c r="N3">
        <f>(  Posts__2[[#This Row],[Likes]]+Posts__2[[#This Row],[Comments]]+Posts__2[[#This Row],[Shares]] ) / Posts__2[[#This Row],[Impressions]]</f>
        <v>8.7095334546328396E-2</v>
      </c>
    </row>
    <row r="4" spans="1:14" x14ac:dyDescent="0.3">
      <c r="A4" t="s">
        <v>38</v>
      </c>
      <c r="B4" t="s">
        <v>8</v>
      </c>
      <c r="C4" s="4">
        <v>45629</v>
      </c>
      <c r="D4" t="s">
        <v>13</v>
      </c>
      <c r="E4" t="s">
        <v>39</v>
      </c>
      <c r="F4">
        <v>3092</v>
      </c>
      <c r="G4">
        <v>177</v>
      </c>
      <c r="H4">
        <v>81</v>
      </c>
      <c r="I4">
        <v>47533</v>
      </c>
      <c r="J4">
        <v>29220</v>
      </c>
      <c r="K4">
        <v>121</v>
      </c>
      <c r="L4" t="s">
        <v>40</v>
      </c>
      <c r="M4" t="s">
        <v>34</v>
      </c>
      <c r="N4">
        <f>(  Posts__2[[#This Row],[Likes]]+Posts__2[[#This Row],[Comments]]+Posts__2[[#This Row],[Shares]] ) / Posts__2[[#This Row],[Impressions]]</f>
        <v>7.0477352576105018E-2</v>
      </c>
    </row>
    <row r="5" spans="1:14" x14ac:dyDescent="0.3">
      <c r="A5" t="s">
        <v>41</v>
      </c>
      <c r="B5" t="s">
        <v>7</v>
      </c>
      <c r="C5" s="4">
        <v>45629</v>
      </c>
      <c r="D5" t="s">
        <v>15</v>
      </c>
      <c r="E5" t="s">
        <v>42</v>
      </c>
      <c r="F5">
        <v>3173</v>
      </c>
      <c r="G5">
        <v>229</v>
      </c>
      <c r="H5">
        <v>197</v>
      </c>
      <c r="I5">
        <v>29604</v>
      </c>
      <c r="J5">
        <v>21809</v>
      </c>
      <c r="K5">
        <v>272</v>
      </c>
      <c r="L5" t="s">
        <v>33</v>
      </c>
      <c r="M5" t="s">
        <v>34</v>
      </c>
      <c r="N5">
        <f>(  Posts__2[[#This Row],[Likes]]+Posts__2[[#This Row],[Comments]]+Posts__2[[#This Row],[Shares]] ) / Posts__2[[#This Row],[Impressions]]</f>
        <v>0.1215714092690177</v>
      </c>
    </row>
    <row r="6" spans="1:14" x14ac:dyDescent="0.3">
      <c r="A6" t="s">
        <v>43</v>
      </c>
      <c r="B6" t="s">
        <v>9</v>
      </c>
      <c r="C6" s="4">
        <v>45388</v>
      </c>
      <c r="D6" t="s">
        <v>15</v>
      </c>
      <c r="E6" t="s">
        <v>44</v>
      </c>
      <c r="F6">
        <v>2748</v>
      </c>
      <c r="G6">
        <v>145</v>
      </c>
      <c r="H6">
        <v>315</v>
      </c>
      <c r="I6">
        <v>24401</v>
      </c>
      <c r="J6">
        <v>61182</v>
      </c>
      <c r="K6">
        <v>200</v>
      </c>
      <c r="L6" t="s">
        <v>45</v>
      </c>
      <c r="M6" t="s">
        <v>37</v>
      </c>
      <c r="N6">
        <f>(  Posts__2[[#This Row],[Likes]]+Posts__2[[#This Row],[Comments]]+Posts__2[[#This Row],[Shares]] ) / Posts__2[[#This Row],[Impressions]]</f>
        <v>0.1314700217204213</v>
      </c>
    </row>
    <row r="7" spans="1:14" x14ac:dyDescent="0.3">
      <c r="A7" t="s">
        <v>46</v>
      </c>
      <c r="B7" t="s">
        <v>9</v>
      </c>
      <c r="C7" s="4">
        <v>45456</v>
      </c>
      <c r="D7" t="s">
        <v>15</v>
      </c>
      <c r="E7" t="s">
        <v>47</v>
      </c>
      <c r="F7">
        <v>3882</v>
      </c>
      <c r="G7">
        <v>239</v>
      </c>
      <c r="H7">
        <v>275</v>
      </c>
      <c r="I7">
        <v>58748</v>
      </c>
      <c r="J7">
        <v>44646</v>
      </c>
      <c r="K7">
        <v>149</v>
      </c>
      <c r="L7" t="s">
        <v>45</v>
      </c>
      <c r="M7" t="s">
        <v>37</v>
      </c>
      <c r="N7">
        <f>(  Posts__2[[#This Row],[Likes]]+Posts__2[[#This Row],[Comments]]+Posts__2[[#This Row],[Shares]] ) / Posts__2[[#This Row],[Impressions]]</f>
        <v>7.4828079253761837E-2</v>
      </c>
    </row>
    <row r="8" spans="1:14" x14ac:dyDescent="0.3">
      <c r="A8" t="s">
        <v>48</v>
      </c>
      <c r="B8" t="s">
        <v>8</v>
      </c>
      <c r="C8" s="4">
        <v>45645</v>
      </c>
      <c r="D8" t="s">
        <v>13</v>
      </c>
      <c r="E8" t="s">
        <v>49</v>
      </c>
      <c r="F8">
        <v>4674</v>
      </c>
      <c r="G8">
        <v>409</v>
      </c>
      <c r="H8">
        <v>327</v>
      </c>
      <c r="I8">
        <v>20756</v>
      </c>
      <c r="J8">
        <v>63599</v>
      </c>
      <c r="K8">
        <v>212</v>
      </c>
      <c r="L8" t="s">
        <v>33</v>
      </c>
      <c r="M8" t="s">
        <v>34</v>
      </c>
      <c r="N8">
        <f>(  Posts__2[[#This Row],[Likes]]+Posts__2[[#This Row],[Comments]]+Posts__2[[#This Row],[Shares]] ) / Posts__2[[#This Row],[Impressions]]</f>
        <v>0.26064752360763155</v>
      </c>
    </row>
    <row r="9" spans="1:14" x14ac:dyDescent="0.3">
      <c r="A9" t="s">
        <v>50</v>
      </c>
      <c r="B9" t="s">
        <v>8</v>
      </c>
      <c r="C9" s="4">
        <v>45421</v>
      </c>
      <c r="D9" t="s">
        <v>13</v>
      </c>
      <c r="E9" t="s">
        <v>42</v>
      </c>
      <c r="F9">
        <v>1428</v>
      </c>
      <c r="G9">
        <v>347</v>
      </c>
      <c r="H9">
        <v>67</v>
      </c>
      <c r="I9">
        <v>21148</v>
      </c>
      <c r="J9">
        <v>19712</v>
      </c>
      <c r="K9">
        <v>120</v>
      </c>
      <c r="L9" t="s">
        <v>51</v>
      </c>
      <c r="M9" t="s">
        <v>34</v>
      </c>
      <c r="N9">
        <f>(  Posts__2[[#This Row],[Likes]]+Posts__2[[#This Row],[Comments]]+Posts__2[[#This Row],[Shares]] ) / Posts__2[[#This Row],[Impressions]]</f>
        <v>8.7100435029317191E-2</v>
      </c>
    </row>
    <row r="10" spans="1:14" x14ac:dyDescent="0.3">
      <c r="A10" t="s">
        <v>52</v>
      </c>
      <c r="B10" t="s">
        <v>8</v>
      </c>
      <c r="C10" s="4">
        <v>45823</v>
      </c>
      <c r="D10" t="s">
        <v>15</v>
      </c>
      <c r="E10" t="s">
        <v>53</v>
      </c>
      <c r="F10">
        <v>4432</v>
      </c>
      <c r="G10">
        <v>223</v>
      </c>
      <c r="H10">
        <v>299</v>
      </c>
      <c r="I10">
        <v>59016</v>
      </c>
      <c r="J10">
        <v>21742</v>
      </c>
      <c r="K10">
        <v>171</v>
      </c>
      <c r="L10" t="s">
        <v>5</v>
      </c>
      <c r="M10" t="s">
        <v>34</v>
      </c>
      <c r="N10">
        <f>(  Posts__2[[#This Row],[Likes]]+Posts__2[[#This Row],[Comments]]+Posts__2[[#This Row],[Shares]] ) / Posts__2[[#This Row],[Impressions]]</f>
        <v>8.3943337400027115E-2</v>
      </c>
    </row>
    <row r="11" spans="1:14" x14ac:dyDescent="0.3">
      <c r="A11" t="s">
        <v>54</v>
      </c>
      <c r="B11" t="s">
        <v>8</v>
      </c>
      <c r="C11" s="4">
        <v>45630</v>
      </c>
      <c r="D11" t="s">
        <v>15</v>
      </c>
      <c r="E11" t="s">
        <v>42</v>
      </c>
      <c r="F11">
        <v>2357</v>
      </c>
      <c r="G11">
        <v>274</v>
      </c>
      <c r="H11">
        <v>172</v>
      </c>
      <c r="I11">
        <v>21566</v>
      </c>
      <c r="J11">
        <v>66829</v>
      </c>
      <c r="K11">
        <v>284</v>
      </c>
      <c r="L11" t="s">
        <v>5</v>
      </c>
      <c r="M11" t="s">
        <v>34</v>
      </c>
      <c r="N11">
        <f>(  Posts__2[[#This Row],[Likes]]+Posts__2[[#This Row],[Comments]]+Posts__2[[#This Row],[Shares]] ) / Posts__2[[#This Row],[Impressions]]</f>
        <v>0.12997310581470833</v>
      </c>
    </row>
    <row r="12" spans="1:14" x14ac:dyDescent="0.3">
      <c r="A12" t="s">
        <v>55</v>
      </c>
      <c r="B12" t="s">
        <v>8</v>
      </c>
      <c r="C12" s="4">
        <v>45357</v>
      </c>
      <c r="D12" t="s">
        <v>15</v>
      </c>
      <c r="E12" t="s">
        <v>32</v>
      </c>
      <c r="F12">
        <v>1971</v>
      </c>
      <c r="G12">
        <v>370</v>
      </c>
      <c r="H12">
        <v>306</v>
      </c>
      <c r="I12">
        <v>31316</v>
      </c>
      <c r="J12">
        <v>27897</v>
      </c>
      <c r="K12">
        <v>88</v>
      </c>
      <c r="L12" t="s">
        <v>12</v>
      </c>
      <c r="M12" t="s">
        <v>37</v>
      </c>
      <c r="N12">
        <f>(  Posts__2[[#This Row],[Likes]]+Posts__2[[#This Row],[Comments]]+Posts__2[[#This Row],[Shares]] ) / Posts__2[[#This Row],[Impressions]]</f>
        <v>8.4525482181632389E-2</v>
      </c>
    </row>
    <row r="13" spans="1:14" x14ac:dyDescent="0.3">
      <c r="A13" t="s">
        <v>56</v>
      </c>
      <c r="B13" t="s">
        <v>7</v>
      </c>
      <c r="C13" s="4">
        <v>45426</v>
      </c>
      <c r="D13" t="s">
        <v>15</v>
      </c>
      <c r="E13" t="s">
        <v>32</v>
      </c>
      <c r="F13">
        <v>1485</v>
      </c>
      <c r="G13">
        <v>353</v>
      </c>
      <c r="H13">
        <v>244</v>
      </c>
      <c r="I13">
        <v>38419</v>
      </c>
      <c r="J13">
        <v>38556</v>
      </c>
      <c r="K13">
        <v>86</v>
      </c>
      <c r="L13" t="s">
        <v>33</v>
      </c>
      <c r="M13" t="s">
        <v>34</v>
      </c>
      <c r="N13">
        <f>(  Posts__2[[#This Row],[Likes]]+Posts__2[[#This Row],[Comments]]+Posts__2[[#This Row],[Shares]] ) / Posts__2[[#This Row],[Impressions]]</f>
        <v>5.4191936281527367E-2</v>
      </c>
    </row>
    <row r="14" spans="1:14" x14ac:dyDescent="0.3">
      <c r="A14" t="s">
        <v>57</v>
      </c>
      <c r="B14" t="s">
        <v>8</v>
      </c>
      <c r="C14" s="4">
        <v>45826</v>
      </c>
      <c r="D14" t="s">
        <v>13</v>
      </c>
      <c r="E14" t="s">
        <v>32</v>
      </c>
      <c r="F14">
        <v>3956</v>
      </c>
      <c r="G14">
        <v>319</v>
      </c>
      <c r="H14">
        <v>61</v>
      </c>
      <c r="I14">
        <v>58162</v>
      </c>
      <c r="J14">
        <v>28720</v>
      </c>
      <c r="K14">
        <v>213</v>
      </c>
      <c r="L14" t="s">
        <v>40</v>
      </c>
      <c r="M14" t="s">
        <v>34</v>
      </c>
      <c r="N14">
        <f>(  Posts__2[[#This Row],[Likes]]+Posts__2[[#This Row],[Comments]]+Posts__2[[#This Row],[Shares]] ) / Posts__2[[#This Row],[Impressions]]</f>
        <v>7.4550393727863554E-2</v>
      </c>
    </row>
    <row r="15" spans="1:14" x14ac:dyDescent="0.3">
      <c r="A15" t="s">
        <v>58</v>
      </c>
      <c r="B15" t="s">
        <v>8</v>
      </c>
      <c r="C15" s="4">
        <v>45573</v>
      </c>
      <c r="D15" t="s">
        <v>15</v>
      </c>
      <c r="E15" t="s">
        <v>59</v>
      </c>
      <c r="F15">
        <v>2460</v>
      </c>
      <c r="G15">
        <v>409</v>
      </c>
      <c r="H15">
        <v>253</v>
      </c>
      <c r="I15">
        <v>36702</v>
      </c>
      <c r="J15">
        <v>46122</v>
      </c>
      <c r="K15">
        <v>264</v>
      </c>
      <c r="L15" t="s">
        <v>5</v>
      </c>
      <c r="M15" t="s">
        <v>34</v>
      </c>
      <c r="N15">
        <f>(  Posts__2[[#This Row],[Likes]]+Posts__2[[#This Row],[Comments]]+Posts__2[[#This Row],[Shares]] ) / Posts__2[[#This Row],[Impressions]]</f>
        <v>8.5063484278785892E-2</v>
      </c>
    </row>
    <row r="16" spans="1:14" x14ac:dyDescent="0.3">
      <c r="A16" t="s">
        <v>60</v>
      </c>
      <c r="B16" t="s">
        <v>8</v>
      </c>
      <c r="C16" s="4">
        <v>45418</v>
      </c>
      <c r="D16" t="s">
        <v>15</v>
      </c>
      <c r="E16" t="s">
        <v>61</v>
      </c>
      <c r="F16">
        <v>3476</v>
      </c>
      <c r="G16">
        <v>355</v>
      </c>
      <c r="H16">
        <v>396</v>
      </c>
      <c r="I16">
        <v>37492</v>
      </c>
      <c r="J16">
        <v>27285</v>
      </c>
      <c r="K16">
        <v>179</v>
      </c>
      <c r="L16" t="s">
        <v>5</v>
      </c>
      <c r="M16" t="s">
        <v>34</v>
      </c>
      <c r="N16">
        <f>(  Posts__2[[#This Row],[Likes]]+Posts__2[[#This Row],[Comments]]+Posts__2[[#This Row],[Shares]] ) / Posts__2[[#This Row],[Impressions]]</f>
        <v>0.11274405206444041</v>
      </c>
    </row>
    <row r="17" spans="1:14" x14ac:dyDescent="0.3">
      <c r="A17" t="s">
        <v>62</v>
      </c>
      <c r="B17" t="s">
        <v>8</v>
      </c>
      <c r="C17" s="4">
        <v>45655</v>
      </c>
      <c r="D17" t="s">
        <v>13</v>
      </c>
      <c r="E17" t="s">
        <v>39</v>
      </c>
      <c r="F17">
        <v>4049</v>
      </c>
      <c r="G17">
        <v>377</v>
      </c>
      <c r="H17">
        <v>94</v>
      </c>
      <c r="I17">
        <v>48182</v>
      </c>
      <c r="J17">
        <v>42875</v>
      </c>
      <c r="K17">
        <v>172</v>
      </c>
      <c r="L17" t="s">
        <v>40</v>
      </c>
      <c r="M17" t="s">
        <v>34</v>
      </c>
      <c r="N17">
        <f>(  Posts__2[[#This Row],[Likes]]+Posts__2[[#This Row],[Comments]]+Posts__2[[#This Row],[Shares]] ) / Posts__2[[#This Row],[Impressions]]</f>
        <v>9.3810966751068869E-2</v>
      </c>
    </row>
    <row r="18" spans="1:14" x14ac:dyDescent="0.3">
      <c r="A18" t="s">
        <v>63</v>
      </c>
      <c r="B18" t="s">
        <v>8</v>
      </c>
      <c r="C18" s="4">
        <v>45453</v>
      </c>
      <c r="D18" t="s">
        <v>15</v>
      </c>
      <c r="E18" t="s">
        <v>47</v>
      </c>
      <c r="F18">
        <v>1514</v>
      </c>
      <c r="G18">
        <v>164</v>
      </c>
      <c r="H18">
        <v>275</v>
      </c>
      <c r="I18">
        <v>41364</v>
      </c>
      <c r="J18">
        <v>44389</v>
      </c>
      <c r="K18">
        <v>83</v>
      </c>
      <c r="L18" t="s">
        <v>5</v>
      </c>
      <c r="M18" t="s">
        <v>34</v>
      </c>
      <c r="N18">
        <f>(  Posts__2[[#This Row],[Likes]]+Posts__2[[#This Row],[Comments]]+Posts__2[[#This Row],[Shares]] ) / Posts__2[[#This Row],[Impressions]]</f>
        <v>4.7214969538729328E-2</v>
      </c>
    </row>
    <row r="19" spans="1:14" x14ac:dyDescent="0.3">
      <c r="A19" t="s">
        <v>64</v>
      </c>
      <c r="B19" t="s">
        <v>7</v>
      </c>
      <c r="C19" s="4">
        <v>45325</v>
      </c>
      <c r="D19" t="s">
        <v>13</v>
      </c>
      <c r="E19" t="s">
        <v>44</v>
      </c>
      <c r="F19">
        <v>4281</v>
      </c>
      <c r="G19">
        <v>101</v>
      </c>
      <c r="H19">
        <v>163</v>
      </c>
      <c r="I19">
        <v>32278</v>
      </c>
      <c r="J19">
        <v>53382</v>
      </c>
      <c r="K19">
        <v>235</v>
      </c>
      <c r="L19" t="s">
        <v>5</v>
      </c>
      <c r="M19" t="s">
        <v>65</v>
      </c>
      <c r="N19">
        <f>(  Posts__2[[#This Row],[Likes]]+Posts__2[[#This Row],[Comments]]+Posts__2[[#This Row],[Shares]] ) / Posts__2[[#This Row],[Impressions]]</f>
        <v>0.1408079806679472</v>
      </c>
    </row>
    <row r="20" spans="1:14" x14ac:dyDescent="0.3">
      <c r="A20" t="s">
        <v>66</v>
      </c>
      <c r="B20" t="s">
        <v>9</v>
      </c>
      <c r="C20" s="4">
        <v>45458</v>
      </c>
      <c r="D20" t="s">
        <v>11</v>
      </c>
      <c r="E20" t="s">
        <v>49</v>
      </c>
      <c r="F20">
        <v>1751</v>
      </c>
      <c r="G20">
        <v>143</v>
      </c>
      <c r="H20">
        <v>151</v>
      </c>
      <c r="I20">
        <v>31826</v>
      </c>
      <c r="J20">
        <v>47729</v>
      </c>
      <c r="K20">
        <v>95</v>
      </c>
      <c r="L20" t="s">
        <v>67</v>
      </c>
      <c r="M20" t="s">
        <v>68</v>
      </c>
      <c r="N20">
        <f>(  Posts__2[[#This Row],[Likes]]+Posts__2[[#This Row],[Comments]]+Posts__2[[#This Row],[Shares]] ) / Posts__2[[#This Row],[Impressions]]</f>
        <v>6.4255640042732362E-2</v>
      </c>
    </row>
    <row r="21" spans="1:14" x14ac:dyDescent="0.3">
      <c r="A21" t="s">
        <v>69</v>
      </c>
      <c r="B21" t="s">
        <v>7</v>
      </c>
      <c r="C21" s="4">
        <v>45478</v>
      </c>
      <c r="D21" t="s">
        <v>15</v>
      </c>
      <c r="E21" t="s">
        <v>61</v>
      </c>
      <c r="F21">
        <v>3753</v>
      </c>
      <c r="G21">
        <v>411</v>
      </c>
      <c r="H21">
        <v>308</v>
      </c>
      <c r="I21">
        <v>29138</v>
      </c>
      <c r="J21">
        <v>27678</v>
      </c>
      <c r="K21">
        <v>90</v>
      </c>
      <c r="L21" t="s">
        <v>10</v>
      </c>
      <c r="M21" t="s">
        <v>37</v>
      </c>
      <c r="N21">
        <f>(  Posts__2[[#This Row],[Likes]]+Posts__2[[#This Row],[Comments]]+Posts__2[[#This Row],[Shares]] ) / Posts__2[[#This Row],[Impressions]]</f>
        <v>0.15347655981879332</v>
      </c>
    </row>
    <row r="22" spans="1:14" x14ac:dyDescent="0.3">
      <c r="A22" t="s">
        <v>70</v>
      </c>
      <c r="B22" t="s">
        <v>7</v>
      </c>
      <c r="C22" s="4">
        <v>45603</v>
      </c>
      <c r="D22" t="s">
        <v>13</v>
      </c>
      <c r="E22" t="s">
        <v>42</v>
      </c>
      <c r="F22">
        <v>1678</v>
      </c>
      <c r="G22">
        <v>423</v>
      </c>
      <c r="H22">
        <v>323</v>
      </c>
      <c r="I22">
        <v>55668</v>
      </c>
      <c r="J22">
        <v>37945</v>
      </c>
      <c r="K22">
        <v>230</v>
      </c>
      <c r="L22" t="s">
        <v>5</v>
      </c>
      <c r="M22" t="s">
        <v>65</v>
      </c>
      <c r="N22">
        <f>(  Posts__2[[#This Row],[Likes]]+Posts__2[[#This Row],[Comments]]+Posts__2[[#This Row],[Shares]] ) / Posts__2[[#This Row],[Impressions]]</f>
        <v>4.3543867212761371E-2</v>
      </c>
    </row>
    <row r="23" spans="1:14" x14ac:dyDescent="0.3">
      <c r="A23" t="s">
        <v>71</v>
      </c>
      <c r="B23" t="s">
        <v>7</v>
      </c>
      <c r="C23" s="4">
        <v>45823</v>
      </c>
      <c r="D23" t="s">
        <v>15</v>
      </c>
      <c r="E23" t="s">
        <v>47</v>
      </c>
      <c r="F23">
        <v>4896</v>
      </c>
      <c r="G23">
        <v>466</v>
      </c>
      <c r="H23">
        <v>233</v>
      </c>
      <c r="I23">
        <v>28621</v>
      </c>
      <c r="J23">
        <v>34270</v>
      </c>
      <c r="K23">
        <v>84</v>
      </c>
      <c r="L23" t="s">
        <v>33</v>
      </c>
      <c r="M23" t="s">
        <v>34</v>
      </c>
      <c r="N23">
        <f>(  Posts__2[[#This Row],[Likes]]+Posts__2[[#This Row],[Comments]]+Posts__2[[#This Row],[Shares]] ) / Posts__2[[#This Row],[Impressions]]</f>
        <v>0.19548583208133888</v>
      </c>
    </row>
    <row r="24" spans="1:14" x14ac:dyDescent="0.3">
      <c r="A24" t="s">
        <v>72</v>
      </c>
      <c r="B24" t="s">
        <v>9</v>
      </c>
      <c r="C24" s="4">
        <v>45452</v>
      </c>
      <c r="D24" t="s">
        <v>11</v>
      </c>
      <c r="E24" s="5" t="s">
        <v>59</v>
      </c>
      <c r="F24">
        <v>2786</v>
      </c>
      <c r="G24">
        <v>368</v>
      </c>
      <c r="H24">
        <v>208</v>
      </c>
      <c r="I24">
        <v>42000</v>
      </c>
      <c r="J24">
        <v>39967</v>
      </c>
      <c r="K24">
        <v>103</v>
      </c>
      <c r="L24" t="s">
        <v>67</v>
      </c>
      <c r="M24" t="s">
        <v>68</v>
      </c>
      <c r="N24">
        <f>(  Posts__2[[#This Row],[Likes]]+Posts__2[[#This Row],[Comments]]+Posts__2[[#This Row],[Shares]] ) / Posts__2[[#This Row],[Impressions]]</f>
        <v>8.0047619047619048E-2</v>
      </c>
    </row>
    <row r="25" spans="1:14" x14ac:dyDescent="0.3">
      <c r="A25" t="s">
        <v>73</v>
      </c>
      <c r="B25" t="s">
        <v>8</v>
      </c>
      <c r="C25" s="4">
        <v>45583</v>
      </c>
      <c r="D25" t="s">
        <v>15</v>
      </c>
      <c r="E25" t="s">
        <v>39</v>
      </c>
      <c r="F25">
        <v>2607</v>
      </c>
      <c r="G25">
        <v>379</v>
      </c>
      <c r="H25">
        <v>180</v>
      </c>
      <c r="I25">
        <v>28712</v>
      </c>
      <c r="J25">
        <v>61620</v>
      </c>
      <c r="K25">
        <v>174</v>
      </c>
      <c r="L25" t="s">
        <v>12</v>
      </c>
      <c r="M25" t="s">
        <v>37</v>
      </c>
      <c r="N25">
        <f>(  Posts__2[[#This Row],[Likes]]+Posts__2[[#This Row],[Comments]]+Posts__2[[#This Row],[Shares]] ) / Posts__2[[#This Row],[Impressions]]</f>
        <v>0.11026748397882419</v>
      </c>
    </row>
    <row r="26" spans="1:14" x14ac:dyDescent="0.3">
      <c r="A26" t="s">
        <v>74</v>
      </c>
      <c r="B26" t="s">
        <v>9</v>
      </c>
      <c r="C26" s="4">
        <v>45575</v>
      </c>
      <c r="D26" t="s">
        <v>11</v>
      </c>
      <c r="E26" t="s">
        <v>59</v>
      </c>
      <c r="F26">
        <v>4013</v>
      </c>
      <c r="G26">
        <v>320</v>
      </c>
      <c r="H26">
        <v>92</v>
      </c>
      <c r="I26">
        <v>54605</v>
      </c>
      <c r="J26">
        <v>60169</v>
      </c>
      <c r="K26">
        <v>232</v>
      </c>
      <c r="L26" t="s">
        <v>67</v>
      </c>
      <c r="M26" t="s">
        <v>68</v>
      </c>
      <c r="N26">
        <f>(  Posts__2[[#This Row],[Likes]]+Posts__2[[#This Row],[Comments]]+Posts__2[[#This Row],[Shares]] ) / Posts__2[[#This Row],[Impressions]]</f>
        <v>8.1036535115831879E-2</v>
      </c>
    </row>
    <row r="27" spans="1:14" x14ac:dyDescent="0.3">
      <c r="A27" t="s">
        <v>75</v>
      </c>
      <c r="B27" t="s">
        <v>8</v>
      </c>
      <c r="C27" s="4">
        <v>45791</v>
      </c>
      <c r="D27" t="s">
        <v>13</v>
      </c>
      <c r="E27" t="s">
        <v>59</v>
      </c>
      <c r="F27">
        <v>2707</v>
      </c>
      <c r="G27">
        <v>103</v>
      </c>
      <c r="H27">
        <v>51</v>
      </c>
      <c r="I27">
        <v>55302</v>
      </c>
      <c r="J27">
        <v>18801</v>
      </c>
      <c r="K27">
        <v>147</v>
      </c>
      <c r="L27" t="s">
        <v>51</v>
      </c>
      <c r="M27" t="s">
        <v>34</v>
      </c>
      <c r="N27">
        <f>(  Posts__2[[#This Row],[Likes]]+Posts__2[[#This Row],[Comments]]+Posts__2[[#This Row],[Shares]] ) / Posts__2[[#This Row],[Impressions]]</f>
        <v>5.173411449857148E-2</v>
      </c>
    </row>
    <row r="28" spans="1:14" x14ac:dyDescent="0.3">
      <c r="A28" t="s">
        <v>76</v>
      </c>
      <c r="B28" t="s">
        <v>7</v>
      </c>
      <c r="C28" s="4">
        <v>45625</v>
      </c>
      <c r="D28" t="s">
        <v>15</v>
      </c>
      <c r="E28" t="s">
        <v>47</v>
      </c>
      <c r="F28">
        <v>2824</v>
      </c>
      <c r="G28">
        <v>425</v>
      </c>
      <c r="H28">
        <v>274</v>
      </c>
      <c r="I28">
        <v>31004</v>
      </c>
      <c r="J28">
        <v>53488</v>
      </c>
      <c r="K28">
        <v>268</v>
      </c>
      <c r="L28" t="s">
        <v>33</v>
      </c>
      <c r="M28" t="s">
        <v>34</v>
      </c>
      <c r="N28">
        <f>(  Posts__2[[#This Row],[Likes]]+Posts__2[[#This Row],[Comments]]+Posts__2[[#This Row],[Shares]] ) / Posts__2[[#This Row],[Impressions]]</f>
        <v>0.11363049929041415</v>
      </c>
    </row>
    <row r="29" spans="1:14" x14ac:dyDescent="0.3">
      <c r="A29" t="s">
        <v>77</v>
      </c>
      <c r="B29" t="s">
        <v>9</v>
      </c>
      <c r="C29" s="4">
        <v>45356</v>
      </c>
      <c r="D29" t="s">
        <v>11</v>
      </c>
      <c r="E29" t="s">
        <v>36</v>
      </c>
      <c r="F29">
        <v>3558</v>
      </c>
      <c r="G29">
        <v>314</v>
      </c>
      <c r="H29">
        <v>199</v>
      </c>
      <c r="I29">
        <v>49612</v>
      </c>
      <c r="J29">
        <v>53929</v>
      </c>
      <c r="K29">
        <v>206</v>
      </c>
      <c r="L29" t="s">
        <v>67</v>
      </c>
      <c r="M29" t="s">
        <v>68</v>
      </c>
      <c r="N29">
        <f>(  Posts__2[[#This Row],[Likes]]+Posts__2[[#This Row],[Comments]]+Posts__2[[#This Row],[Shares]] ) / Posts__2[[#This Row],[Impressions]]</f>
        <v>8.205676046117874E-2</v>
      </c>
    </row>
    <row r="30" spans="1:14" x14ac:dyDescent="0.3">
      <c r="A30" t="s">
        <v>78</v>
      </c>
      <c r="B30" t="s">
        <v>8</v>
      </c>
      <c r="C30" s="4">
        <v>45734</v>
      </c>
      <c r="D30" t="s">
        <v>13</v>
      </c>
      <c r="E30" t="s">
        <v>36</v>
      </c>
      <c r="F30">
        <v>3418</v>
      </c>
      <c r="G30">
        <v>188</v>
      </c>
      <c r="H30">
        <v>387</v>
      </c>
      <c r="I30">
        <v>57431</v>
      </c>
      <c r="J30">
        <v>36933</v>
      </c>
      <c r="K30">
        <v>202</v>
      </c>
      <c r="L30" t="s">
        <v>40</v>
      </c>
      <c r="M30" t="s">
        <v>34</v>
      </c>
      <c r="N30">
        <f>(  Posts__2[[#This Row],[Likes]]+Posts__2[[#This Row],[Comments]]+Posts__2[[#This Row],[Shares]] ) / Posts__2[[#This Row],[Impressions]]</f>
        <v>6.9526910553533799E-2</v>
      </c>
    </row>
    <row r="31" spans="1:14" x14ac:dyDescent="0.3">
      <c r="A31" t="s">
        <v>79</v>
      </c>
      <c r="B31" t="s">
        <v>8</v>
      </c>
      <c r="C31" s="4">
        <v>45773</v>
      </c>
      <c r="D31" t="s">
        <v>15</v>
      </c>
      <c r="E31" t="s">
        <v>32</v>
      </c>
      <c r="F31">
        <v>2411</v>
      </c>
      <c r="G31">
        <v>194</v>
      </c>
      <c r="H31">
        <v>168</v>
      </c>
      <c r="I31">
        <v>26665</v>
      </c>
      <c r="J31">
        <v>71699</v>
      </c>
      <c r="K31">
        <v>197</v>
      </c>
      <c r="L31" t="s">
        <v>5</v>
      </c>
      <c r="M31" t="s">
        <v>34</v>
      </c>
      <c r="N31">
        <f>(  Posts__2[[#This Row],[Likes]]+Posts__2[[#This Row],[Comments]]+Posts__2[[#This Row],[Shares]] ) / Posts__2[[#This Row],[Impressions]]</f>
        <v>0.10399399962497656</v>
      </c>
    </row>
    <row r="32" spans="1:14" x14ac:dyDescent="0.3">
      <c r="A32" t="s">
        <v>80</v>
      </c>
      <c r="B32" t="s">
        <v>7</v>
      </c>
      <c r="C32" s="4">
        <v>45658</v>
      </c>
      <c r="D32" t="s">
        <v>15</v>
      </c>
      <c r="E32" t="s">
        <v>39</v>
      </c>
      <c r="F32">
        <v>4036</v>
      </c>
      <c r="G32">
        <v>112</v>
      </c>
      <c r="H32">
        <v>382</v>
      </c>
      <c r="I32">
        <v>56284</v>
      </c>
      <c r="J32">
        <v>29440</v>
      </c>
      <c r="K32">
        <v>279</v>
      </c>
      <c r="L32" t="s">
        <v>33</v>
      </c>
      <c r="M32" t="s">
        <v>34</v>
      </c>
      <c r="N32">
        <f>(  Posts__2[[#This Row],[Likes]]+Posts__2[[#This Row],[Comments]]+Posts__2[[#This Row],[Shares]] ) / Posts__2[[#This Row],[Impressions]]</f>
        <v>8.0484684812735408E-2</v>
      </c>
    </row>
    <row r="33" spans="1:14" x14ac:dyDescent="0.3">
      <c r="A33" t="s">
        <v>81</v>
      </c>
      <c r="B33" t="s">
        <v>8</v>
      </c>
      <c r="C33" s="4">
        <v>45419</v>
      </c>
      <c r="D33" t="s">
        <v>13</v>
      </c>
      <c r="E33" t="s">
        <v>36</v>
      </c>
      <c r="F33">
        <v>2776</v>
      </c>
      <c r="G33">
        <v>307</v>
      </c>
      <c r="H33">
        <v>178</v>
      </c>
      <c r="I33">
        <v>43365</v>
      </c>
      <c r="J33">
        <v>48408</v>
      </c>
      <c r="K33">
        <v>138</v>
      </c>
      <c r="L33" t="s">
        <v>33</v>
      </c>
      <c r="M33" t="s">
        <v>34</v>
      </c>
      <c r="N33">
        <f>(  Posts__2[[#This Row],[Likes]]+Posts__2[[#This Row],[Comments]]+Posts__2[[#This Row],[Shares]] ) / Posts__2[[#This Row],[Impressions]]</f>
        <v>7.519889311656866E-2</v>
      </c>
    </row>
    <row r="34" spans="1:14" x14ac:dyDescent="0.3">
      <c r="A34" t="s">
        <v>82</v>
      </c>
      <c r="B34" t="s">
        <v>8</v>
      </c>
      <c r="C34" s="4">
        <v>45574</v>
      </c>
      <c r="D34" t="s">
        <v>13</v>
      </c>
      <c r="E34" t="s">
        <v>32</v>
      </c>
      <c r="F34">
        <v>4929</v>
      </c>
      <c r="G34">
        <v>182</v>
      </c>
      <c r="H34">
        <v>95</v>
      </c>
      <c r="I34">
        <v>32181</v>
      </c>
      <c r="J34">
        <v>31084</v>
      </c>
      <c r="K34">
        <v>289</v>
      </c>
      <c r="L34" t="s">
        <v>51</v>
      </c>
      <c r="M34" t="s">
        <v>34</v>
      </c>
      <c r="N34">
        <f>(  Posts__2[[#This Row],[Likes]]+Posts__2[[#This Row],[Comments]]+Posts__2[[#This Row],[Shares]] ) / Posts__2[[#This Row],[Impressions]]</f>
        <v>0.16177247444144061</v>
      </c>
    </row>
    <row r="35" spans="1:14" x14ac:dyDescent="0.3">
      <c r="A35" t="s">
        <v>83</v>
      </c>
      <c r="B35" t="s">
        <v>7</v>
      </c>
      <c r="C35" s="4">
        <v>45666</v>
      </c>
      <c r="D35" t="s">
        <v>15</v>
      </c>
      <c r="E35" t="s">
        <v>39</v>
      </c>
      <c r="F35">
        <v>1015</v>
      </c>
      <c r="G35">
        <v>366</v>
      </c>
      <c r="H35">
        <v>308</v>
      </c>
      <c r="I35">
        <v>38127</v>
      </c>
      <c r="J35">
        <v>63790</v>
      </c>
      <c r="K35">
        <v>287</v>
      </c>
      <c r="L35" t="s">
        <v>33</v>
      </c>
      <c r="M35" t="s">
        <v>34</v>
      </c>
      <c r="N35">
        <f>(  Posts__2[[#This Row],[Likes]]+Posts__2[[#This Row],[Comments]]+Posts__2[[#This Row],[Shares]] ) / Posts__2[[#This Row],[Impressions]]</f>
        <v>4.4299315445747112E-2</v>
      </c>
    </row>
    <row r="36" spans="1:14" x14ac:dyDescent="0.3">
      <c r="A36" t="s">
        <v>84</v>
      </c>
      <c r="B36" t="s">
        <v>8</v>
      </c>
      <c r="C36" s="4">
        <v>45785</v>
      </c>
      <c r="D36" t="s">
        <v>13</v>
      </c>
      <c r="E36" t="s">
        <v>61</v>
      </c>
      <c r="F36">
        <v>3316</v>
      </c>
      <c r="G36">
        <v>332</v>
      </c>
      <c r="H36">
        <v>268</v>
      </c>
      <c r="I36">
        <v>40095</v>
      </c>
      <c r="J36">
        <v>36913</v>
      </c>
      <c r="K36">
        <v>265</v>
      </c>
      <c r="L36" t="s">
        <v>40</v>
      </c>
      <c r="M36" t="s">
        <v>34</v>
      </c>
      <c r="N36">
        <f>(  Posts__2[[#This Row],[Likes]]+Posts__2[[#This Row],[Comments]]+Posts__2[[#This Row],[Shares]] ) / Posts__2[[#This Row],[Impressions]]</f>
        <v>9.7668038408779148E-2</v>
      </c>
    </row>
    <row r="37" spans="1:14" x14ac:dyDescent="0.3">
      <c r="A37" t="s">
        <v>85</v>
      </c>
      <c r="B37" t="s">
        <v>7</v>
      </c>
      <c r="C37" s="4">
        <v>45416</v>
      </c>
      <c r="D37" t="s">
        <v>15</v>
      </c>
      <c r="E37" t="s">
        <v>42</v>
      </c>
      <c r="F37">
        <v>2274</v>
      </c>
      <c r="G37">
        <v>243</v>
      </c>
      <c r="H37">
        <v>222</v>
      </c>
      <c r="I37">
        <v>43066</v>
      </c>
      <c r="J37">
        <v>59174</v>
      </c>
      <c r="K37">
        <v>80</v>
      </c>
      <c r="L37" t="s">
        <v>10</v>
      </c>
      <c r="M37" t="s">
        <v>37</v>
      </c>
      <c r="N37">
        <f>(  Posts__2[[#This Row],[Likes]]+Posts__2[[#This Row],[Comments]]+Posts__2[[#This Row],[Shares]] ) / Posts__2[[#This Row],[Impressions]]</f>
        <v>6.3600055728416843E-2</v>
      </c>
    </row>
    <row r="38" spans="1:14" x14ac:dyDescent="0.3">
      <c r="A38" t="s">
        <v>86</v>
      </c>
      <c r="B38" t="s">
        <v>8</v>
      </c>
      <c r="C38" s="4">
        <v>45804</v>
      </c>
      <c r="D38" t="s">
        <v>13</v>
      </c>
      <c r="E38" t="s">
        <v>36</v>
      </c>
      <c r="F38">
        <v>4095</v>
      </c>
      <c r="G38">
        <v>385</v>
      </c>
      <c r="H38">
        <v>400</v>
      </c>
      <c r="I38">
        <v>45300</v>
      </c>
      <c r="J38">
        <v>31795</v>
      </c>
      <c r="K38">
        <v>80</v>
      </c>
      <c r="L38" t="s">
        <v>40</v>
      </c>
      <c r="M38" t="s">
        <v>34</v>
      </c>
      <c r="N38">
        <f>(  Posts__2[[#This Row],[Likes]]+Posts__2[[#This Row],[Comments]]+Posts__2[[#This Row],[Shares]] ) / Posts__2[[#This Row],[Impressions]]</f>
        <v>0.10772626931567329</v>
      </c>
    </row>
    <row r="39" spans="1:14" x14ac:dyDescent="0.3">
      <c r="A39" t="s">
        <v>87</v>
      </c>
      <c r="B39" t="s">
        <v>7</v>
      </c>
      <c r="C39" s="4">
        <v>45545</v>
      </c>
      <c r="D39" t="s">
        <v>13</v>
      </c>
      <c r="E39" t="s">
        <v>39</v>
      </c>
      <c r="F39">
        <v>1230</v>
      </c>
      <c r="G39">
        <v>309</v>
      </c>
      <c r="H39">
        <v>207</v>
      </c>
      <c r="I39">
        <v>44629</v>
      </c>
      <c r="J39">
        <v>40699</v>
      </c>
      <c r="K39">
        <v>195</v>
      </c>
      <c r="L39" t="s">
        <v>5</v>
      </c>
      <c r="M39" t="s">
        <v>65</v>
      </c>
      <c r="N39">
        <f>(  Posts__2[[#This Row],[Likes]]+Posts__2[[#This Row],[Comments]]+Posts__2[[#This Row],[Shares]] ) / Posts__2[[#This Row],[Impressions]]</f>
        <v>3.9122543637545096E-2</v>
      </c>
    </row>
    <row r="40" spans="1:14" x14ac:dyDescent="0.3">
      <c r="A40" t="s">
        <v>88</v>
      </c>
      <c r="B40" t="s">
        <v>7</v>
      </c>
      <c r="C40" s="4">
        <v>45621</v>
      </c>
      <c r="D40" t="s">
        <v>15</v>
      </c>
      <c r="E40" t="s">
        <v>59</v>
      </c>
      <c r="F40">
        <v>1341</v>
      </c>
      <c r="G40">
        <v>472</v>
      </c>
      <c r="H40">
        <v>238</v>
      </c>
      <c r="I40">
        <v>51386</v>
      </c>
      <c r="J40">
        <v>51706</v>
      </c>
      <c r="K40">
        <v>133</v>
      </c>
      <c r="L40" t="s">
        <v>10</v>
      </c>
      <c r="M40" t="s">
        <v>37</v>
      </c>
      <c r="N40">
        <f>(  Posts__2[[#This Row],[Likes]]+Posts__2[[#This Row],[Comments]]+Posts__2[[#This Row],[Shares]] ) / Posts__2[[#This Row],[Impressions]]</f>
        <v>3.9913595142645857E-2</v>
      </c>
    </row>
    <row r="41" spans="1:14" x14ac:dyDescent="0.3">
      <c r="A41" t="s">
        <v>89</v>
      </c>
      <c r="B41" t="s">
        <v>8</v>
      </c>
      <c r="C41" s="4">
        <v>45818</v>
      </c>
      <c r="D41" t="s">
        <v>15</v>
      </c>
      <c r="E41" t="s">
        <v>36</v>
      </c>
      <c r="F41">
        <v>3615</v>
      </c>
      <c r="G41">
        <v>192</v>
      </c>
      <c r="H41">
        <v>162</v>
      </c>
      <c r="I41">
        <v>27492</v>
      </c>
      <c r="J41">
        <v>35341</v>
      </c>
      <c r="K41">
        <v>125</v>
      </c>
      <c r="L41" t="s">
        <v>5</v>
      </c>
      <c r="M41" t="s">
        <v>34</v>
      </c>
      <c r="N41">
        <f>(  Posts__2[[#This Row],[Likes]]+Posts__2[[#This Row],[Comments]]+Posts__2[[#This Row],[Shares]] ) / Posts__2[[#This Row],[Impressions]]</f>
        <v>0.14436927106067218</v>
      </c>
    </row>
    <row r="42" spans="1:14" x14ac:dyDescent="0.3">
      <c r="A42" t="s">
        <v>90</v>
      </c>
      <c r="B42" t="s">
        <v>7</v>
      </c>
      <c r="C42" s="4">
        <v>45401</v>
      </c>
      <c r="D42" t="s">
        <v>15</v>
      </c>
      <c r="E42" t="s">
        <v>39</v>
      </c>
      <c r="F42">
        <v>4001</v>
      </c>
      <c r="G42">
        <v>353</v>
      </c>
      <c r="H42">
        <v>129</v>
      </c>
      <c r="I42">
        <v>41265</v>
      </c>
      <c r="J42">
        <v>37279</v>
      </c>
      <c r="K42">
        <v>275</v>
      </c>
      <c r="L42" t="s">
        <v>33</v>
      </c>
      <c r="M42" t="s">
        <v>34</v>
      </c>
      <c r="N42">
        <f>(  Posts__2[[#This Row],[Likes]]+Posts__2[[#This Row],[Comments]]+Posts__2[[#This Row],[Shares]] ) / Posts__2[[#This Row],[Impressions]]</f>
        <v>0.10863928268508422</v>
      </c>
    </row>
    <row r="43" spans="1:14" x14ac:dyDescent="0.3">
      <c r="A43" t="s">
        <v>91</v>
      </c>
      <c r="B43" t="s">
        <v>7</v>
      </c>
      <c r="C43" s="4">
        <v>45683</v>
      </c>
      <c r="D43" t="s">
        <v>13</v>
      </c>
      <c r="E43" t="s">
        <v>47</v>
      </c>
      <c r="F43">
        <v>3451</v>
      </c>
      <c r="G43">
        <v>363</v>
      </c>
      <c r="H43">
        <v>393</v>
      </c>
      <c r="I43">
        <v>44853</v>
      </c>
      <c r="J43">
        <v>69032</v>
      </c>
      <c r="K43">
        <v>211</v>
      </c>
      <c r="L43" t="s">
        <v>5</v>
      </c>
      <c r="M43" t="s">
        <v>65</v>
      </c>
      <c r="N43">
        <f>(  Posts__2[[#This Row],[Likes]]+Posts__2[[#This Row],[Comments]]+Posts__2[[#This Row],[Shares]] ) / Posts__2[[#This Row],[Impressions]]</f>
        <v>9.379528682585335E-2</v>
      </c>
    </row>
    <row r="44" spans="1:14" x14ac:dyDescent="0.3">
      <c r="A44" t="s">
        <v>92</v>
      </c>
      <c r="B44" t="s">
        <v>7</v>
      </c>
      <c r="C44" s="4">
        <v>45702</v>
      </c>
      <c r="D44" t="s">
        <v>15</v>
      </c>
      <c r="E44" t="s">
        <v>53</v>
      </c>
      <c r="F44">
        <v>4891</v>
      </c>
      <c r="G44">
        <v>450</v>
      </c>
      <c r="H44">
        <v>387</v>
      </c>
      <c r="I44">
        <v>48746</v>
      </c>
      <c r="J44">
        <v>37312</v>
      </c>
      <c r="K44">
        <v>154</v>
      </c>
      <c r="L44" t="s">
        <v>33</v>
      </c>
      <c r="M44" t="s">
        <v>34</v>
      </c>
      <c r="N44">
        <f>(  Posts__2[[#This Row],[Likes]]+Posts__2[[#This Row],[Comments]]+Posts__2[[#This Row],[Shares]] ) / Posts__2[[#This Row],[Impressions]]</f>
        <v>0.11750707750379519</v>
      </c>
    </row>
    <row r="45" spans="1:14" x14ac:dyDescent="0.3">
      <c r="A45" t="s">
        <v>93</v>
      </c>
      <c r="B45" t="s">
        <v>7</v>
      </c>
      <c r="C45" s="4">
        <v>45541</v>
      </c>
      <c r="D45" t="s">
        <v>15</v>
      </c>
      <c r="E45" t="s">
        <v>39</v>
      </c>
      <c r="F45">
        <v>1452</v>
      </c>
      <c r="G45">
        <v>281</v>
      </c>
      <c r="H45">
        <v>326</v>
      </c>
      <c r="I45">
        <v>51556</v>
      </c>
      <c r="J45">
        <v>62599</v>
      </c>
      <c r="K45">
        <v>290</v>
      </c>
      <c r="L45" t="s">
        <v>10</v>
      </c>
      <c r="M45" t="s">
        <v>37</v>
      </c>
      <c r="N45">
        <f>(  Posts__2[[#This Row],[Likes]]+Posts__2[[#This Row],[Comments]]+Posts__2[[#This Row],[Shares]] ) / Posts__2[[#This Row],[Impressions]]</f>
        <v>3.9937155714174881E-2</v>
      </c>
    </row>
    <row r="46" spans="1:14" x14ac:dyDescent="0.3">
      <c r="A46" t="s">
        <v>94</v>
      </c>
      <c r="B46" t="s">
        <v>9</v>
      </c>
      <c r="C46" s="4">
        <v>45487</v>
      </c>
      <c r="D46" t="s">
        <v>15</v>
      </c>
      <c r="E46" t="s">
        <v>61</v>
      </c>
      <c r="F46">
        <v>3806</v>
      </c>
      <c r="G46">
        <v>114</v>
      </c>
      <c r="H46">
        <v>278</v>
      </c>
      <c r="I46">
        <v>36148</v>
      </c>
      <c r="J46">
        <v>24209</v>
      </c>
      <c r="K46">
        <v>201</v>
      </c>
      <c r="L46" t="s">
        <v>45</v>
      </c>
      <c r="M46" t="s">
        <v>37</v>
      </c>
      <c r="N46">
        <f>(  Posts__2[[#This Row],[Likes]]+Posts__2[[#This Row],[Comments]]+Posts__2[[#This Row],[Shares]] ) / Posts__2[[#This Row],[Impressions]]</f>
        <v>0.11613367267898639</v>
      </c>
    </row>
    <row r="47" spans="1:14" x14ac:dyDescent="0.3">
      <c r="A47" t="s">
        <v>95</v>
      </c>
      <c r="B47" t="s">
        <v>7</v>
      </c>
      <c r="C47" s="4">
        <v>45334</v>
      </c>
      <c r="D47" t="s">
        <v>15</v>
      </c>
      <c r="E47" t="s">
        <v>36</v>
      </c>
      <c r="F47">
        <v>2923</v>
      </c>
      <c r="G47">
        <v>330</v>
      </c>
      <c r="H47">
        <v>250</v>
      </c>
      <c r="I47">
        <v>23993</v>
      </c>
      <c r="J47">
        <v>74590</v>
      </c>
      <c r="K47">
        <v>92</v>
      </c>
      <c r="L47" t="s">
        <v>10</v>
      </c>
      <c r="M47" t="s">
        <v>37</v>
      </c>
      <c r="N47">
        <f>(  Posts__2[[#This Row],[Likes]]+Posts__2[[#This Row],[Comments]]+Posts__2[[#This Row],[Shares]] ) / Posts__2[[#This Row],[Impressions]]</f>
        <v>0.14600091693410577</v>
      </c>
    </row>
    <row r="48" spans="1:14" x14ac:dyDescent="0.3">
      <c r="A48" t="s">
        <v>96</v>
      </c>
      <c r="B48" t="s">
        <v>9</v>
      </c>
      <c r="C48" s="4">
        <v>45365</v>
      </c>
      <c r="D48" t="s">
        <v>11</v>
      </c>
      <c r="E48" t="s">
        <v>59</v>
      </c>
      <c r="F48">
        <v>3361</v>
      </c>
      <c r="G48">
        <v>188</v>
      </c>
      <c r="H48">
        <v>358</v>
      </c>
      <c r="I48">
        <v>39838</v>
      </c>
      <c r="J48">
        <v>24536</v>
      </c>
      <c r="K48">
        <v>120</v>
      </c>
      <c r="L48" t="s">
        <v>67</v>
      </c>
      <c r="M48" t="s">
        <v>68</v>
      </c>
      <c r="N48">
        <f>(  Posts__2[[#This Row],[Likes]]+Posts__2[[#This Row],[Comments]]+Posts__2[[#This Row],[Shares]] ) / Posts__2[[#This Row],[Impressions]]</f>
        <v>9.8072192379135503E-2</v>
      </c>
    </row>
    <row r="49" spans="1:14" x14ac:dyDescent="0.3">
      <c r="A49" t="s">
        <v>97</v>
      </c>
      <c r="B49" t="s">
        <v>7</v>
      </c>
      <c r="C49" s="4">
        <v>45693</v>
      </c>
      <c r="D49" t="s">
        <v>13</v>
      </c>
      <c r="E49" t="s">
        <v>44</v>
      </c>
      <c r="F49">
        <v>3074</v>
      </c>
      <c r="G49">
        <v>371</v>
      </c>
      <c r="H49">
        <v>348</v>
      </c>
      <c r="I49">
        <v>24104</v>
      </c>
      <c r="J49">
        <v>57803</v>
      </c>
      <c r="K49">
        <v>213</v>
      </c>
      <c r="L49" t="s">
        <v>5</v>
      </c>
      <c r="M49" t="s">
        <v>65</v>
      </c>
      <c r="N49">
        <f>(  Posts__2[[#This Row],[Likes]]+Posts__2[[#This Row],[Comments]]+Posts__2[[#This Row],[Shares]] ) / Posts__2[[#This Row],[Impressions]]</f>
        <v>0.15735977431131762</v>
      </c>
    </row>
    <row r="50" spans="1:14" x14ac:dyDescent="0.3">
      <c r="A50" t="s">
        <v>98</v>
      </c>
      <c r="B50" t="s">
        <v>8</v>
      </c>
      <c r="C50" s="4">
        <v>45533</v>
      </c>
      <c r="D50" t="s">
        <v>13</v>
      </c>
      <c r="E50" t="s">
        <v>49</v>
      </c>
      <c r="F50">
        <v>4276</v>
      </c>
      <c r="G50">
        <v>227</v>
      </c>
      <c r="H50">
        <v>223</v>
      </c>
      <c r="I50">
        <v>43443</v>
      </c>
      <c r="J50">
        <v>41005</v>
      </c>
      <c r="K50">
        <v>191</v>
      </c>
      <c r="L50" t="s">
        <v>51</v>
      </c>
      <c r="M50" t="s">
        <v>34</v>
      </c>
      <c r="N50">
        <f>(  Posts__2[[#This Row],[Likes]]+Posts__2[[#This Row],[Comments]]+Posts__2[[#This Row],[Shares]] ) / Posts__2[[#This Row],[Impressions]]</f>
        <v>0.1087862256289851</v>
      </c>
    </row>
    <row r="51" spans="1:14" x14ac:dyDescent="0.3">
      <c r="A51" t="s">
        <v>99</v>
      </c>
      <c r="B51" t="s">
        <v>8</v>
      </c>
      <c r="C51" s="4">
        <v>45769</v>
      </c>
      <c r="D51" t="s">
        <v>15</v>
      </c>
      <c r="E51" t="s">
        <v>32</v>
      </c>
      <c r="F51">
        <v>4401</v>
      </c>
      <c r="G51">
        <v>421</v>
      </c>
      <c r="H51">
        <v>216</v>
      </c>
      <c r="I51">
        <v>24890</v>
      </c>
      <c r="J51">
        <v>54361</v>
      </c>
      <c r="K51">
        <v>148</v>
      </c>
      <c r="L51" t="s">
        <v>5</v>
      </c>
      <c r="M51" t="s">
        <v>34</v>
      </c>
      <c r="N51">
        <f>(  Posts__2[[#This Row],[Likes]]+Posts__2[[#This Row],[Comments]]+Posts__2[[#This Row],[Shares]] ) / Posts__2[[#This Row],[Impressions]]</f>
        <v>0.20241060666934513</v>
      </c>
    </row>
    <row r="52" spans="1:14" x14ac:dyDescent="0.3">
      <c r="A52" t="s">
        <v>100</v>
      </c>
      <c r="B52" t="s">
        <v>9</v>
      </c>
      <c r="C52" s="4">
        <v>45425</v>
      </c>
      <c r="D52" t="s">
        <v>11</v>
      </c>
      <c r="E52" t="s">
        <v>36</v>
      </c>
      <c r="F52">
        <v>4161</v>
      </c>
      <c r="G52">
        <v>481</v>
      </c>
      <c r="H52">
        <v>61</v>
      </c>
      <c r="I52">
        <v>45884</v>
      </c>
      <c r="J52">
        <v>48955</v>
      </c>
      <c r="K52">
        <v>215</v>
      </c>
      <c r="L52" t="s">
        <v>67</v>
      </c>
      <c r="M52" t="s">
        <v>68</v>
      </c>
      <c r="N52">
        <f>(  Posts__2[[#This Row],[Likes]]+Posts__2[[#This Row],[Comments]]+Posts__2[[#This Row],[Shares]] ) / Posts__2[[#This Row],[Impressions]]</f>
        <v>0.10249760265016128</v>
      </c>
    </row>
    <row r="53" spans="1:14" x14ac:dyDescent="0.3">
      <c r="A53" t="s">
        <v>101</v>
      </c>
      <c r="B53" t="s">
        <v>8</v>
      </c>
      <c r="C53" s="4">
        <v>45539</v>
      </c>
      <c r="D53" t="s">
        <v>13</v>
      </c>
      <c r="E53" t="s">
        <v>39</v>
      </c>
      <c r="F53">
        <v>2613</v>
      </c>
      <c r="G53">
        <v>455</v>
      </c>
      <c r="H53">
        <v>228</v>
      </c>
      <c r="I53">
        <v>21645</v>
      </c>
      <c r="J53">
        <v>61334</v>
      </c>
      <c r="K53">
        <v>261</v>
      </c>
      <c r="L53" t="s">
        <v>51</v>
      </c>
      <c r="M53" t="s">
        <v>34</v>
      </c>
      <c r="N53">
        <f>(  Posts__2[[#This Row],[Likes]]+Posts__2[[#This Row],[Comments]]+Posts__2[[#This Row],[Shares]] ) / Posts__2[[#This Row],[Impressions]]</f>
        <v>0.15227535227535227</v>
      </c>
    </row>
    <row r="54" spans="1:14" x14ac:dyDescent="0.3">
      <c r="A54" t="s">
        <v>102</v>
      </c>
      <c r="B54" t="s">
        <v>8</v>
      </c>
      <c r="C54" s="4">
        <v>45516</v>
      </c>
      <c r="D54" t="s">
        <v>13</v>
      </c>
      <c r="E54" t="s">
        <v>47</v>
      </c>
      <c r="F54">
        <v>2842</v>
      </c>
      <c r="G54">
        <v>213</v>
      </c>
      <c r="H54">
        <v>331</v>
      </c>
      <c r="I54">
        <v>57660</v>
      </c>
      <c r="J54">
        <v>68606</v>
      </c>
      <c r="K54">
        <v>87</v>
      </c>
      <c r="L54" t="s">
        <v>40</v>
      </c>
      <c r="M54" t="s">
        <v>34</v>
      </c>
      <c r="N54">
        <f>(  Posts__2[[#This Row],[Likes]]+Posts__2[[#This Row],[Comments]]+Posts__2[[#This Row],[Shares]] ) / Posts__2[[#This Row],[Impressions]]</f>
        <v>5.8723551855705859E-2</v>
      </c>
    </row>
    <row r="55" spans="1:14" x14ac:dyDescent="0.3">
      <c r="A55" t="s">
        <v>103</v>
      </c>
      <c r="B55" t="s">
        <v>7</v>
      </c>
      <c r="C55" s="4">
        <v>45722</v>
      </c>
      <c r="D55" t="s">
        <v>15</v>
      </c>
      <c r="E55" t="s">
        <v>49</v>
      </c>
      <c r="F55">
        <v>4851</v>
      </c>
      <c r="G55">
        <v>460</v>
      </c>
      <c r="H55">
        <v>212</v>
      </c>
      <c r="I55">
        <v>58075</v>
      </c>
      <c r="J55">
        <v>59574</v>
      </c>
      <c r="K55">
        <v>239</v>
      </c>
      <c r="L55" t="s">
        <v>10</v>
      </c>
      <c r="M55" t="s">
        <v>37</v>
      </c>
      <c r="N55">
        <f>(  Posts__2[[#This Row],[Likes]]+Posts__2[[#This Row],[Comments]]+Posts__2[[#This Row],[Shares]] ) / Posts__2[[#This Row],[Impressions]]</f>
        <v>9.5101162290142052E-2</v>
      </c>
    </row>
    <row r="56" spans="1:14" x14ac:dyDescent="0.3">
      <c r="A56" t="s">
        <v>104</v>
      </c>
      <c r="B56" t="s">
        <v>8</v>
      </c>
      <c r="C56" s="4">
        <v>45420</v>
      </c>
      <c r="D56" t="s">
        <v>15</v>
      </c>
      <c r="E56" t="s">
        <v>36</v>
      </c>
      <c r="F56">
        <v>1828</v>
      </c>
      <c r="G56">
        <v>450</v>
      </c>
      <c r="H56">
        <v>214</v>
      </c>
      <c r="I56">
        <v>52115</v>
      </c>
      <c r="J56">
        <v>19166</v>
      </c>
      <c r="K56">
        <v>190</v>
      </c>
      <c r="L56" t="s">
        <v>5</v>
      </c>
      <c r="M56" t="s">
        <v>34</v>
      </c>
      <c r="N56">
        <f>(  Posts__2[[#This Row],[Likes]]+Posts__2[[#This Row],[Comments]]+Posts__2[[#This Row],[Shares]] ) / Posts__2[[#This Row],[Impressions]]</f>
        <v>4.781732706514439E-2</v>
      </c>
    </row>
    <row r="57" spans="1:14" x14ac:dyDescent="0.3">
      <c r="A57" t="s">
        <v>105</v>
      </c>
      <c r="B57" t="s">
        <v>7</v>
      </c>
      <c r="C57" s="4">
        <v>45707</v>
      </c>
      <c r="D57" t="s">
        <v>13</v>
      </c>
      <c r="E57" t="s">
        <v>59</v>
      </c>
      <c r="F57">
        <v>2422</v>
      </c>
      <c r="G57">
        <v>455</v>
      </c>
      <c r="H57">
        <v>376</v>
      </c>
      <c r="I57">
        <v>23428</v>
      </c>
      <c r="J57">
        <v>46775</v>
      </c>
      <c r="K57">
        <v>259</v>
      </c>
      <c r="L57" t="s">
        <v>5</v>
      </c>
      <c r="M57" t="s">
        <v>65</v>
      </c>
      <c r="N57">
        <f>(  Posts__2[[#This Row],[Likes]]+Posts__2[[#This Row],[Comments]]+Posts__2[[#This Row],[Shares]] ) / Posts__2[[#This Row],[Impressions]]</f>
        <v>0.13885094758408742</v>
      </c>
    </row>
    <row r="58" spans="1:14" x14ac:dyDescent="0.3">
      <c r="A58" t="s">
        <v>106</v>
      </c>
      <c r="B58" t="s">
        <v>7</v>
      </c>
      <c r="C58" s="4">
        <v>45299</v>
      </c>
      <c r="D58" t="s">
        <v>15</v>
      </c>
      <c r="E58" t="s">
        <v>53</v>
      </c>
      <c r="F58">
        <v>2683</v>
      </c>
      <c r="G58">
        <v>405</v>
      </c>
      <c r="H58">
        <v>223</v>
      </c>
      <c r="I58">
        <v>31233</v>
      </c>
      <c r="J58">
        <v>58106</v>
      </c>
      <c r="K58">
        <v>291</v>
      </c>
      <c r="L58" t="s">
        <v>10</v>
      </c>
      <c r="M58" t="s">
        <v>37</v>
      </c>
      <c r="N58">
        <f>(  Posts__2[[#This Row],[Likes]]+Posts__2[[#This Row],[Comments]]+Posts__2[[#This Row],[Shares]] ) / Posts__2[[#This Row],[Impressions]]</f>
        <v>0.10600966926007749</v>
      </c>
    </row>
    <row r="59" spans="1:14" x14ac:dyDescent="0.3">
      <c r="A59" t="s">
        <v>107</v>
      </c>
      <c r="B59" t="s">
        <v>9</v>
      </c>
      <c r="C59" s="4">
        <v>45490</v>
      </c>
      <c r="D59" t="s">
        <v>15</v>
      </c>
      <c r="E59" t="s">
        <v>53</v>
      </c>
      <c r="F59">
        <v>3135</v>
      </c>
      <c r="G59">
        <v>110</v>
      </c>
      <c r="H59">
        <v>215</v>
      </c>
      <c r="I59">
        <v>39192</v>
      </c>
      <c r="J59">
        <v>24744</v>
      </c>
      <c r="K59">
        <v>177</v>
      </c>
      <c r="L59" t="s">
        <v>45</v>
      </c>
      <c r="M59" t="s">
        <v>37</v>
      </c>
      <c r="N59">
        <f>(  Posts__2[[#This Row],[Likes]]+Posts__2[[#This Row],[Comments]]+Posts__2[[#This Row],[Shares]] ) / Posts__2[[#This Row],[Impressions]]</f>
        <v>8.8283323127168814E-2</v>
      </c>
    </row>
    <row r="60" spans="1:14" x14ac:dyDescent="0.3">
      <c r="A60" t="s">
        <v>108</v>
      </c>
      <c r="B60" t="s">
        <v>9</v>
      </c>
      <c r="C60" s="4">
        <v>45514</v>
      </c>
      <c r="D60" t="s">
        <v>15</v>
      </c>
      <c r="E60" t="s">
        <v>59</v>
      </c>
      <c r="F60">
        <v>1105</v>
      </c>
      <c r="G60">
        <v>181</v>
      </c>
      <c r="H60">
        <v>55</v>
      </c>
      <c r="I60">
        <v>53581</v>
      </c>
      <c r="J60">
        <v>74048</v>
      </c>
      <c r="K60">
        <v>220</v>
      </c>
      <c r="L60" t="s">
        <v>45</v>
      </c>
      <c r="M60" t="s">
        <v>37</v>
      </c>
      <c r="N60">
        <f>(  Posts__2[[#This Row],[Likes]]+Posts__2[[#This Row],[Comments]]+Posts__2[[#This Row],[Shares]] ) / Posts__2[[#This Row],[Impressions]]</f>
        <v>2.50275284149232E-2</v>
      </c>
    </row>
    <row r="61" spans="1:14" x14ac:dyDescent="0.3">
      <c r="A61" t="s">
        <v>109</v>
      </c>
      <c r="B61" t="s">
        <v>9</v>
      </c>
      <c r="C61" s="4">
        <v>45398</v>
      </c>
      <c r="D61" t="s">
        <v>15</v>
      </c>
      <c r="E61" t="s">
        <v>32</v>
      </c>
      <c r="F61">
        <v>4674</v>
      </c>
      <c r="G61">
        <v>326</v>
      </c>
      <c r="H61">
        <v>62</v>
      </c>
      <c r="I61">
        <v>45503</v>
      </c>
      <c r="J61">
        <v>46814</v>
      </c>
      <c r="K61">
        <v>116</v>
      </c>
      <c r="L61" t="s">
        <v>45</v>
      </c>
      <c r="M61" t="s">
        <v>37</v>
      </c>
      <c r="N61">
        <f>(  Posts__2[[#This Row],[Likes]]+Posts__2[[#This Row],[Comments]]+Posts__2[[#This Row],[Shares]] ) / Posts__2[[#This Row],[Impressions]]</f>
        <v>0.11124541239039185</v>
      </c>
    </row>
    <row r="62" spans="1:14" x14ac:dyDescent="0.3">
      <c r="A62" t="s">
        <v>110</v>
      </c>
      <c r="B62" t="s">
        <v>9</v>
      </c>
      <c r="C62" s="4">
        <v>45292</v>
      </c>
      <c r="D62" t="s">
        <v>11</v>
      </c>
      <c r="E62" t="s">
        <v>36</v>
      </c>
      <c r="F62">
        <v>3437</v>
      </c>
      <c r="G62">
        <v>129</v>
      </c>
      <c r="H62">
        <v>359</v>
      </c>
      <c r="I62">
        <v>44558</v>
      </c>
      <c r="J62">
        <v>30854</v>
      </c>
      <c r="K62">
        <v>171</v>
      </c>
      <c r="L62" t="s">
        <v>67</v>
      </c>
      <c r="M62" t="s">
        <v>68</v>
      </c>
      <c r="N62">
        <f>(  Posts__2[[#This Row],[Likes]]+Posts__2[[#This Row],[Comments]]+Posts__2[[#This Row],[Shares]] ) / Posts__2[[#This Row],[Impressions]]</f>
        <v>8.8087436599488311E-2</v>
      </c>
    </row>
    <row r="63" spans="1:14" x14ac:dyDescent="0.3">
      <c r="A63" t="s">
        <v>111</v>
      </c>
      <c r="B63" t="s">
        <v>8</v>
      </c>
      <c r="C63" s="4">
        <v>45599</v>
      </c>
      <c r="D63" t="s">
        <v>13</v>
      </c>
      <c r="E63" t="s">
        <v>42</v>
      </c>
      <c r="F63">
        <v>1959</v>
      </c>
      <c r="G63">
        <v>316</v>
      </c>
      <c r="H63">
        <v>82</v>
      </c>
      <c r="I63">
        <v>54036</v>
      </c>
      <c r="J63">
        <v>69015</v>
      </c>
      <c r="K63">
        <v>182</v>
      </c>
      <c r="L63" t="s">
        <v>40</v>
      </c>
      <c r="M63" t="s">
        <v>34</v>
      </c>
      <c r="N63">
        <f>(  Posts__2[[#This Row],[Likes]]+Posts__2[[#This Row],[Comments]]+Posts__2[[#This Row],[Shares]] ) / Posts__2[[#This Row],[Impressions]]</f>
        <v>4.3619068768968837E-2</v>
      </c>
    </row>
    <row r="64" spans="1:14" x14ac:dyDescent="0.3">
      <c r="A64" t="s">
        <v>112</v>
      </c>
      <c r="B64" t="s">
        <v>8</v>
      </c>
      <c r="C64" s="4">
        <v>45480</v>
      </c>
      <c r="D64" t="s">
        <v>15</v>
      </c>
      <c r="E64" t="s">
        <v>39</v>
      </c>
      <c r="F64">
        <v>1035</v>
      </c>
      <c r="G64">
        <v>137</v>
      </c>
      <c r="H64">
        <v>184</v>
      </c>
      <c r="I64">
        <v>37302</v>
      </c>
      <c r="J64">
        <v>68953</v>
      </c>
      <c r="K64">
        <v>237</v>
      </c>
      <c r="L64" t="s">
        <v>12</v>
      </c>
      <c r="M64" t="s">
        <v>37</v>
      </c>
      <c r="N64">
        <f>(  Posts__2[[#This Row],[Likes]]+Posts__2[[#This Row],[Comments]]+Posts__2[[#This Row],[Shares]] ) / Posts__2[[#This Row],[Impressions]]</f>
        <v>3.6351938233874857E-2</v>
      </c>
    </row>
    <row r="65" spans="1:14" x14ac:dyDescent="0.3">
      <c r="A65" t="s">
        <v>113</v>
      </c>
      <c r="B65" t="s">
        <v>8</v>
      </c>
      <c r="C65" s="4">
        <v>45679</v>
      </c>
      <c r="D65" t="s">
        <v>13</v>
      </c>
      <c r="E65" t="s">
        <v>39</v>
      </c>
      <c r="F65">
        <v>4478</v>
      </c>
      <c r="G65">
        <v>101</v>
      </c>
      <c r="H65">
        <v>121</v>
      </c>
      <c r="I65">
        <v>51035</v>
      </c>
      <c r="J65">
        <v>58207</v>
      </c>
      <c r="K65">
        <v>205</v>
      </c>
      <c r="L65" t="s">
        <v>40</v>
      </c>
      <c r="M65" t="s">
        <v>34</v>
      </c>
      <c r="N65">
        <f>(  Posts__2[[#This Row],[Likes]]+Posts__2[[#This Row],[Comments]]+Posts__2[[#This Row],[Shares]] ) / Posts__2[[#This Row],[Impressions]]</f>
        <v>9.2093661212893113E-2</v>
      </c>
    </row>
    <row r="66" spans="1:14" x14ac:dyDescent="0.3">
      <c r="A66" t="s">
        <v>114</v>
      </c>
      <c r="B66" t="s">
        <v>9</v>
      </c>
      <c r="C66" s="4">
        <v>45438</v>
      </c>
      <c r="D66" t="s">
        <v>15</v>
      </c>
      <c r="E66" t="s">
        <v>59</v>
      </c>
      <c r="F66">
        <v>1488</v>
      </c>
      <c r="G66">
        <v>327</v>
      </c>
      <c r="H66">
        <v>110</v>
      </c>
      <c r="I66">
        <v>53805</v>
      </c>
      <c r="J66">
        <v>30239</v>
      </c>
      <c r="K66">
        <v>109</v>
      </c>
      <c r="L66" t="s">
        <v>45</v>
      </c>
      <c r="M66" t="s">
        <v>37</v>
      </c>
      <c r="N66">
        <f>(  Posts__2[[#This Row],[Likes]]+Posts__2[[#This Row],[Comments]]+Posts__2[[#This Row],[Shares]] ) / Posts__2[[#This Row],[Impressions]]</f>
        <v>3.5777344113000653E-2</v>
      </c>
    </row>
    <row r="67" spans="1:14" x14ac:dyDescent="0.3">
      <c r="A67" t="s">
        <v>115</v>
      </c>
      <c r="B67" t="s">
        <v>7</v>
      </c>
      <c r="C67" s="4">
        <v>45763</v>
      </c>
      <c r="D67" t="s">
        <v>15</v>
      </c>
      <c r="E67" t="s">
        <v>42</v>
      </c>
      <c r="F67">
        <v>4836</v>
      </c>
      <c r="G67">
        <v>331</v>
      </c>
      <c r="H67">
        <v>140</v>
      </c>
      <c r="I67">
        <v>58792</v>
      </c>
      <c r="J67">
        <v>47711</v>
      </c>
      <c r="K67">
        <v>227</v>
      </c>
      <c r="L67" t="s">
        <v>33</v>
      </c>
      <c r="M67" t="s">
        <v>34</v>
      </c>
      <c r="N67">
        <f>(  Posts__2[[#This Row],[Likes]]+Posts__2[[#This Row],[Comments]]+Posts__2[[#This Row],[Shares]] ) / Posts__2[[#This Row],[Impressions]]</f>
        <v>9.0267383317458164E-2</v>
      </c>
    </row>
    <row r="68" spans="1:14" x14ac:dyDescent="0.3">
      <c r="A68" t="s">
        <v>116</v>
      </c>
      <c r="B68" t="s">
        <v>9</v>
      </c>
      <c r="C68" s="4">
        <v>45384</v>
      </c>
      <c r="D68" t="s">
        <v>11</v>
      </c>
      <c r="E68" t="s">
        <v>61</v>
      </c>
      <c r="F68">
        <v>4563</v>
      </c>
      <c r="G68">
        <v>488</v>
      </c>
      <c r="H68">
        <v>356</v>
      </c>
      <c r="I68">
        <v>30619</v>
      </c>
      <c r="J68">
        <v>23328</v>
      </c>
      <c r="K68">
        <v>267</v>
      </c>
      <c r="L68" t="s">
        <v>67</v>
      </c>
      <c r="M68" t="s">
        <v>68</v>
      </c>
      <c r="N68">
        <f>(  Posts__2[[#This Row],[Likes]]+Posts__2[[#This Row],[Comments]]+Posts__2[[#This Row],[Shares]] ) / Posts__2[[#This Row],[Impressions]]</f>
        <v>0.17658969920637513</v>
      </c>
    </row>
    <row r="69" spans="1:14" x14ac:dyDescent="0.3">
      <c r="A69" t="s">
        <v>117</v>
      </c>
      <c r="B69" t="s">
        <v>8</v>
      </c>
      <c r="C69" s="4">
        <v>45379</v>
      </c>
      <c r="D69" t="s">
        <v>15</v>
      </c>
      <c r="E69" t="s">
        <v>44</v>
      </c>
      <c r="F69">
        <v>3276</v>
      </c>
      <c r="G69">
        <v>421</v>
      </c>
      <c r="H69">
        <v>114</v>
      </c>
      <c r="I69">
        <v>20580</v>
      </c>
      <c r="J69">
        <v>30324</v>
      </c>
      <c r="K69">
        <v>221</v>
      </c>
      <c r="L69" t="s">
        <v>12</v>
      </c>
      <c r="M69" t="s">
        <v>37</v>
      </c>
      <c r="N69">
        <f>(  Posts__2[[#This Row],[Likes]]+Posts__2[[#This Row],[Comments]]+Posts__2[[#This Row],[Shares]] ) / Posts__2[[#This Row],[Impressions]]</f>
        <v>0.18517978620019437</v>
      </c>
    </row>
    <row r="70" spans="1:14" x14ac:dyDescent="0.3">
      <c r="A70" t="s">
        <v>118</v>
      </c>
      <c r="B70" t="s">
        <v>8</v>
      </c>
      <c r="C70" s="4">
        <v>45643</v>
      </c>
      <c r="D70" t="s">
        <v>13</v>
      </c>
      <c r="E70" t="s">
        <v>44</v>
      </c>
      <c r="F70">
        <v>1316</v>
      </c>
      <c r="G70">
        <v>472</v>
      </c>
      <c r="H70">
        <v>286</v>
      </c>
      <c r="I70">
        <v>44692</v>
      </c>
      <c r="J70">
        <v>53343</v>
      </c>
      <c r="K70">
        <v>227</v>
      </c>
      <c r="L70" t="s">
        <v>51</v>
      </c>
      <c r="M70" t="s">
        <v>34</v>
      </c>
      <c r="N70">
        <f>(  Posts__2[[#This Row],[Likes]]+Posts__2[[#This Row],[Comments]]+Posts__2[[#This Row],[Shares]] ) / Posts__2[[#This Row],[Impressions]]</f>
        <v>4.6406515707509172E-2</v>
      </c>
    </row>
    <row r="71" spans="1:14" x14ac:dyDescent="0.3">
      <c r="A71" t="s">
        <v>119</v>
      </c>
      <c r="B71" t="s">
        <v>8</v>
      </c>
      <c r="C71" s="4">
        <v>45662</v>
      </c>
      <c r="D71" t="s">
        <v>15</v>
      </c>
      <c r="E71" t="s">
        <v>42</v>
      </c>
      <c r="F71">
        <v>4811</v>
      </c>
      <c r="G71">
        <v>473</v>
      </c>
      <c r="H71">
        <v>254</v>
      </c>
      <c r="I71">
        <v>51964</v>
      </c>
      <c r="J71">
        <v>68795</v>
      </c>
      <c r="K71">
        <v>107</v>
      </c>
      <c r="L71" t="s">
        <v>5</v>
      </c>
      <c r="M71" t="s">
        <v>34</v>
      </c>
      <c r="N71">
        <f>(  Posts__2[[#This Row],[Likes]]+Posts__2[[#This Row],[Comments]]+Posts__2[[#This Row],[Shares]] ) / Posts__2[[#This Row],[Impressions]]</f>
        <v>0.10657378184897237</v>
      </c>
    </row>
    <row r="72" spans="1:14" x14ac:dyDescent="0.3">
      <c r="A72" t="s">
        <v>120</v>
      </c>
      <c r="B72" t="s">
        <v>8</v>
      </c>
      <c r="C72" s="4">
        <v>45302</v>
      </c>
      <c r="D72" t="s">
        <v>15</v>
      </c>
      <c r="E72" t="s">
        <v>47</v>
      </c>
      <c r="F72">
        <v>4218</v>
      </c>
      <c r="G72">
        <v>247</v>
      </c>
      <c r="H72">
        <v>183</v>
      </c>
      <c r="I72">
        <v>28914</v>
      </c>
      <c r="J72">
        <v>18310</v>
      </c>
      <c r="K72">
        <v>135</v>
      </c>
      <c r="L72" t="s">
        <v>12</v>
      </c>
      <c r="M72" t="s">
        <v>37</v>
      </c>
      <c r="N72">
        <f>(  Posts__2[[#This Row],[Likes]]+Posts__2[[#This Row],[Comments]]+Posts__2[[#This Row],[Shares]] ) / Posts__2[[#This Row],[Impressions]]</f>
        <v>0.1607525766064882</v>
      </c>
    </row>
    <row r="73" spans="1:14" x14ac:dyDescent="0.3">
      <c r="A73" t="s">
        <v>121</v>
      </c>
      <c r="B73" t="s">
        <v>7</v>
      </c>
      <c r="C73" s="4">
        <v>45576</v>
      </c>
      <c r="D73" t="s">
        <v>15</v>
      </c>
      <c r="E73" t="s">
        <v>59</v>
      </c>
      <c r="F73">
        <v>1360</v>
      </c>
      <c r="G73">
        <v>249</v>
      </c>
      <c r="H73">
        <v>52</v>
      </c>
      <c r="I73">
        <v>20368</v>
      </c>
      <c r="J73">
        <v>42152</v>
      </c>
      <c r="K73">
        <v>193</v>
      </c>
      <c r="L73" t="s">
        <v>10</v>
      </c>
      <c r="M73" t="s">
        <v>37</v>
      </c>
      <c r="N73">
        <f>(  Posts__2[[#This Row],[Likes]]+Posts__2[[#This Row],[Comments]]+Posts__2[[#This Row],[Shares]] ) / Posts__2[[#This Row],[Impressions]]</f>
        <v>8.1549489395129612E-2</v>
      </c>
    </row>
    <row r="74" spans="1:14" x14ac:dyDescent="0.3">
      <c r="A74" t="s">
        <v>122</v>
      </c>
      <c r="B74" t="s">
        <v>9</v>
      </c>
      <c r="C74" s="4">
        <v>45783</v>
      </c>
      <c r="D74" t="s">
        <v>11</v>
      </c>
      <c r="E74" t="s">
        <v>32</v>
      </c>
      <c r="F74">
        <v>1085</v>
      </c>
      <c r="G74">
        <v>496</v>
      </c>
      <c r="H74">
        <v>320</v>
      </c>
      <c r="I74">
        <v>36528</v>
      </c>
      <c r="J74">
        <v>38599</v>
      </c>
      <c r="K74">
        <v>270</v>
      </c>
      <c r="L74" t="s">
        <v>67</v>
      </c>
      <c r="M74" t="s">
        <v>68</v>
      </c>
      <c r="N74">
        <f>(  Posts__2[[#This Row],[Likes]]+Posts__2[[#This Row],[Comments]]+Posts__2[[#This Row],[Shares]] ) / Posts__2[[#This Row],[Impressions]]</f>
        <v>5.2042268944371438E-2</v>
      </c>
    </row>
    <row r="75" spans="1:14" x14ac:dyDescent="0.3">
      <c r="A75" t="s">
        <v>123</v>
      </c>
      <c r="B75" t="s">
        <v>8</v>
      </c>
      <c r="C75" s="4">
        <v>45431</v>
      </c>
      <c r="D75" t="s">
        <v>13</v>
      </c>
      <c r="E75" t="s">
        <v>49</v>
      </c>
      <c r="F75">
        <v>1763</v>
      </c>
      <c r="G75">
        <v>206</v>
      </c>
      <c r="H75">
        <v>187</v>
      </c>
      <c r="I75">
        <v>53342</v>
      </c>
      <c r="J75">
        <v>25095</v>
      </c>
      <c r="K75">
        <v>88</v>
      </c>
      <c r="L75" t="s">
        <v>51</v>
      </c>
      <c r="M75" t="s">
        <v>34</v>
      </c>
      <c r="N75">
        <f>(  Posts__2[[#This Row],[Likes]]+Posts__2[[#This Row],[Comments]]+Posts__2[[#This Row],[Shares]] ) / Posts__2[[#This Row],[Impressions]]</f>
        <v>4.0418432004799221E-2</v>
      </c>
    </row>
    <row r="76" spans="1:14" x14ac:dyDescent="0.3">
      <c r="A76" t="s">
        <v>124</v>
      </c>
      <c r="B76" t="s">
        <v>8</v>
      </c>
      <c r="C76" s="4">
        <v>45313</v>
      </c>
      <c r="D76" t="s">
        <v>13</v>
      </c>
      <c r="E76" t="s">
        <v>59</v>
      </c>
      <c r="F76">
        <v>1554</v>
      </c>
      <c r="G76">
        <v>455</v>
      </c>
      <c r="H76">
        <v>158</v>
      </c>
      <c r="I76">
        <v>41947</v>
      </c>
      <c r="J76">
        <v>48578</v>
      </c>
      <c r="K76">
        <v>101</v>
      </c>
      <c r="L76" t="s">
        <v>33</v>
      </c>
      <c r="M76" t="s">
        <v>34</v>
      </c>
      <c r="N76">
        <f>(  Posts__2[[#This Row],[Likes]]+Posts__2[[#This Row],[Comments]]+Posts__2[[#This Row],[Shares]] ) / Posts__2[[#This Row],[Impressions]]</f>
        <v>5.1660428636136076E-2</v>
      </c>
    </row>
    <row r="77" spans="1:14" x14ac:dyDescent="0.3">
      <c r="A77" t="s">
        <v>125</v>
      </c>
      <c r="B77" t="s">
        <v>7</v>
      </c>
      <c r="C77" s="4">
        <v>45487</v>
      </c>
      <c r="D77" t="s">
        <v>15</v>
      </c>
      <c r="E77" t="s">
        <v>42</v>
      </c>
      <c r="F77">
        <v>2464</v>
      </c>
      <c r="G77">
        <v>401</v>
      </c>
      <c r="H77">
        <v>78</v>
      </c>
      <c r="I77">
        <v>38665</v>
      </c>
      <c r="J77">
        <v>73593</v>
      </c>
      <c r="K77">
        <v>207</v>
      </c>
      <c r="L77" t="s">
        <v>10</v>
      </c>
      <c r="M77" t="s">
        <v>37</v>
      </c>
      <c r="N77">
        <f>(  Posts__2[[#This Row],[Likes]]+Posts__2[[#This Row],[Comments]]+Posts__2[[#This Row],[Shares]] ) / Posts__2[[#This Row],[Impressions]]</f>
        <v>7.611534979956032E-2</v>
      </c>
    </row>
    <row r="78" spans="1:14" x14ac:dyDescent="0.3">
      <c r="A78" t="s">
        <v>126</v>
      </c>
      <c r="B78" t="s">
        <v>8</v>
      </c>
      <c r="C78" s="4">
        <v>45805</v>
      </c>
      <c r="D78" t="s">
        <v>15</v>
      </c>
      <c r="E78" t="s">
        <v>59</v>
      </c>
      <c r="F78">
        <v>2418</v>
      </c>
      <c r="G78">
        <v>161</v>
      </c>
      <c r="H78">
        <v>360</v>
      </c>
      <c r="I78">
        <v>30589</v>
      </c>
      <c r="J78">
        <v>41383</v>
      </c>
      <c r="K78">
        <v>88</v>
      </c>
      <c r="L78" t="s">
        <v>5</v>
      </c>
      <c r="M78" t="s">
        <v>34</v>
      </c>
      <c r="N78">
        <f>(  Posts__2[[#This Row],[Likes]]+Posts__2[[#This Row],[Comments]]+Posts__2[[#This Row],[Shares]] ) / Posts__2[[#This Row],[Impressions]]</f>
        <v>9.6080290300434801E-2</v>
      </c>
    </row>
    <row r="79" spans="1:14" x14ac:dyDescent="0.3">
      <c r="A79" t="s">
        <v>127</v>
      </c>
      <c r="B79" t="s">
        <v>8</v>
      </c>
      <c r="C79" s="4">
        <v>45678</v>
      </c>
      <c r="D79" t="s">
        <v>13</v>
      </c>
      <c r="E79" t="s">
        <v>32</v>
      </c>
      <c r="F79">
        <v>2494</v>
      </c>
      <c r="G79">
        <v>494</v>
      </c>
      <c r="H79">
        <v>55</v>
      </c>
      <c r="I79">
        <v>22580</v>
      </c>
      <c r="J79">
        <v>22214</v>
      </c>
      <c r="K79">
        <v>109</v>
      </c>
      <c r="L79" t="s">
        <v>40</v>
      </c>
      <c r="M79" t="s">
        <v>34</v>
      </c>
      <c r="N79">
        <f>(  Posts__2[[#This Row],[Likes]]+Posts__2[[#This Row],[Comments]]+Posts__2[[#This Row],[Shares]] ) / Posts__2[[#This Row],[Impressions]]</f>
        <v>0.13476527900797167</v>
      </c>
    </row>
    <row r="80" spans="1:14" x14ac:dyDescent="0.3">
      <c r="A80" t="s">
        <v>128</v>
      </c>
      <c r="B80" t="s">
        <v>9</v>
      </c>
      <c r="C80" s="4">
        <v>45304</v>
      </c>
      <c r="D80" t="s">
        <v>11</v>
      </c>
      <c r="E80" t="s">
        <v>39</v>
      </c>
      <c r="F80">
        <v>4781</v>
      </c>
      <c r="G80">
        <v>191</v>
      </c>
      <c r="H80">
        <v>122</v>
      </c>
      <c r="I80">
        <v>35535</v>
      </c>
      <c r="J80">
        <v>50777</v>
      </c>
      <c r="K80">
        <v>128</v>
      </c>
      <c r="L80" t="s">
        <v>67</v>
      </c>
      <c r="M80" t="s">
        <v>68</v>
      </c>
      <c r="N80">
        <f>(  Posts__2[[#This Row],[Likes]]+Posts__2[[#This Row],[Comments]]+Posts__2[[#This Row],[Shares]] ) / Posts__2[[#This Row],[Impressions]]</f>
        <v>0.14335162515829464</v>
      </c>
    </row>
    <row r="81" spans="1:14" x14ac:dyDescent="0.3">
      <c r="A81" t="s">
        <v>129</v>
      </c>
      <c r="B81" t="s">
        <v>7</v>
      </c>
      <c r="C81" s="4">
        <v>45825</v>
      </c>
      <c r="D81" t="s">
        <v>15</v>
      </c>
      <c r="E81" t="s">
        <v>44</v>
      </c>
      <c r="F81">
        <v>2284</v>
      </c>
      <c r="G81">
        <v>187</v>
      </c>
      <c r="H81">
        <v>260</v>
      </c>
      <c r="I81">
        <v>37400</v>
      </c>
      <c r="J81">
        <v>65014</v>
      </c>
      <c r="K81">
        <v>157</v>
      </c>
      <c r="L81" t="s">
        <v>33</v>
      </c>
      <c r="M81" t="s">
        <v>34</v>
      </c>
      <c r="N81">
        <f>(  Posts__2[[#This Row],[Likes]]+Posts__2[[#This Row],[Comments]]+Posts__2[[#This Row],[Shares]] ) / Posts__2[[#This Row],[Impressions]]</f>
        <v>7.3021390374331557E-2</v>
      </c>
    </row>
    <row r="82" spans="1:14" x14ac:dyDescent="0.3">
      <c r="A82" t="s">
        <v>130</v>
      </c>
      <c r="B82" t="s">
        <v>8</v>
      </c>
      <c r="C82" s="4">
        <v>45723</v>
      </c>
      <c r="D82" t="s">
        <v>15</v>
      </c>
      <c r="E82" t="s">
        <v>49</v>
      </c>
      <c r="F82">
        <v>4234</v>
      </c>
      <c r="G82">
        <v>486</v>
      </c>
      <c r="H82">
        <v>276</v>
      </c>
      <c r="I82">
        <v>56623</v>
      </c>
      <c r="J82">
        <v>41343</v>
      </c>
      <c r="K82">
        <v>184</v>
      </c>
      <c r="L82" t="s">
        <v>12</v>
      </c>
      <c r="M82" t="s">
        <v>37</v>
      </c>
      <c r="N82">
        <f>(  Posts__2[[#This Row],[Likes]]+Posts__2[[#This Row],[Comments]]+Posts__2[[#This Row],[Shares]] ) / Posts__2[[#This Row],[Impressions]]</f>
        <v>8.8232696960599044E-2</v>
      </c>
    </row>
    <row r="83" spans="1:14" x14ac:dyDescent="0.3">
      <c r="A83" t="s">
        <v>131</v>
      </c>
      <c r="B83" t="s">
        <v>7</v>
      </c>
      <c r="C83" s="4">
        <v>45530</v>
      </c>
      <c r="D83" t="s">
        <v>15</v>
      </c>
      <c r="E83" t="s">
        <v>61</v>
      </c>
      <c r="F83">
        <v>2102</v>
      </c>
      <c r="G83">
        <v>181</v>
      </c>
      <c r="H83">
        <v>306</v>
      </c>
      <c r="I83">
        <v>43650</v>
      </c>
      <c r="J83">
        <v>50079</v>
      </c>
      <c r="K83">
        <v>182</v>
      </c>
      <c r="L83" t="s">
        <v>10</v>
      </c>
      <c r="M83" t="s">
        <v>37</v>
      </c>
      <c r="N83">
        <f>(  Posts__2[[#This Row],[Likes]]+Posts__2[[#This Row],[Comments]]+Posts__2[[#This Row],[Shares]] ) / Posts__2[[#This Row],[Impressions]]</f>
        <v>5.9312714776632303E-2</v>
      </c>
    </row>
    <row r="84" spans="1:14" x14ac:dyDescent="0.3">
      <c r="A84" t="s">
        <v>132</v>
      </c>
      <c r="B84" t="s">
        <v>8</v>
      </c>
      <c r="C84" s="4">
        <v>45660</v>
      </c>
      <c r="D84" t="s">
        <v>13</v>
      </c>
      <c r="E84" t="s">
        <v>49</v>
      </c>
      <c r="F84">
        <v>4845</v>
      </c>
      <c r="G84">
        <v>158</v>
      </c>
      <c r="H84">
        <v>84</v>
      </c>
      <c r="I84">
        <v>34578</v>
      </c>
      <c r="J84">
        <v>51480</v>
      </c>
      <c r="K84">
        <v>180</v>
      </c>
      <c r="L84" t="s">
        <v>33</v>
      </c>
      <c r="M84" t="s">
        <v>34</v>
      </c>
      <c r="N84">
        <f>(  Posts__2[[#This Row],[Likes]]+Posts__2[[#This Row],[Comments]]+Posts__2[[#This Row],[Shares]] ) / Posts__2[[#This Row],[Impressions]]</f>
        <v>0.1471166637746544</v>
      </c>
    </row>
    <row r="85" spans="1:14" x14ac:dyDescent="0.3">
      <c r="A85" t="s">
        <v>133</v>
      </c>
      <c r="B85" t="s">
        <v>8</v>
      </c>
      <c r="C85" s="4">
        <v>45507</v>
      </c>
      <c r="D85" t="s">
        <v>15</v>
      </c>
      <c r="E85" t="s">
        <v>61</v>
      </c>
      <c r="F85">
        <v>4247</v>
      </c>
      <c r="G85">
        <v>390</v>
      </c>
      <c r="H85">
        <v>213</v>
      </c>
      <c r="I85">
        <v>29785</v>
      </c>
      <c r="J85">
        <v>57768</v>
      </c>
      <c r="K85">
        <v>122</v>
      </c>
      <c r="L85" t="s">
        <v>5</v>
      </c>
      <c r="M85" t="s">
        <v>34</v>
      </c>
      <c r="N85">
        <f>(  Posts__2[[#This Row],[Likes]]+Posts__2[[#This Row],[Comments]]+Posts__2[[#This Row],[Shares]] ) / Posts__2[[#This Row],[Impressions]]</f>
        <v>0.16283364109451065</v>
      </c>
    </row>
    <row r="86" spans="1:14" x14ac:dyDescent="0.3">
      <c r="A86" t="s">
        <v>134</v>
      </c>
      <c r="B86" t="s">
        <v>7</v>
      </c>
      <c r="C86" s="4">
        <v>45522</v>
      </c>
      <c r="D86" t="s">
        <v>15</v>
      </c>
      <c r="E86" t="s">
        <v>36</v>
      </c>
      <c r="F86">
        <v>2965</v>
      </c>
      <c r="G86">
        <v>328</v>
      </c>
      <c r="H86">
        <v>171</v>
      </c>
      <c r="I86">
        <v>57685</v>
      </c>
      <c r="J86">
        <v>67536</v>
      </c>
      <c r="K86">
        <v>264</v>
      </c>
      <c r="L86" t="s">
        <v>33</v>
      </c>
      <c r="M86" t="s">
        <v>34</v>
      </c>
      <c r="N86">
        <f>(  Posts__2[[#This Row],[Likes]]+Posts__2[[#This Row],[Comments]]+Posts__2[[#This Row],[Shares]] ) / Posts__2[[#This Row],[Impressions]]</f>
        <v>6.0050273034584378E-2</v>
      </c>
    </row>
    <row r="87" spans="1:14" x14ac:dyDescent="0.3">
      <c r="A87" t="s">
        <v>135</v>
      </c>
      <c r="B87" t="s">
        <v>8</v>
      </c>
      <c r="C87" s="4">
        <v>45791</v>
      </c>
      <c r="D87" t="s">
        <v>13</v>
      </c>
      <c r="E87" t="s">
        <v>42</v>
      </c>
      <c r="F87">
        <v>1371</v>
      </c>
      <c r="G87">
        <v>139</v>
      </c>
      <c r="H87">
        <v>96</v>
      </c>
      <c r="I87">
        <v>36140</v>
      </c>
      <c r="J87">
        <v>39395</v>
      </c>
      <c r="K87">
        <v>169</v>
      </c>
      <c r="L87" t="s">
        <v>33</v>
      </c>
      <c r="M87" t="s">
        <v>34</v>
      </c>
      <c r="N87">
        <f>(  Posts__2[[#This Row],[Likes]]+Posts__2[[#This Row],[Comments]]+Posts__2[[#This Row],[Shares]] ) / Posts__2[[#This Row],[Impressions]]</f>
        <v>4.4438295517432211E-2</v>
      </c>
    </row>
    <row r="88" spans="1:14" x14ac:dyDescent="0.3">
      <c r="A88" t="s">
        <v>136</v>
      </c>
      <c r="B88" t="s">
        <v>8</v>
      </c>
      <c r="C88" s="4">
        <v>45405</v>
      </c>
      <c r="D88" t="s">
        <v>13</v>
      </c>
      <c r="E88" t="s">
        <v>32</v>
      </c>
      <c r="F88">
        <v>2683</v>
      </c>
      <c r="G88">
        <v>496</v>
      </c>
      <c r="H88">
        <v>89</v>
      </c>
      <c r="I88">
        <v>53435</v>
      </c>
      <c r="J88">
        <v>30334</v>
      </c>
      <c r="K88">
        <v>160</v>
      </c>
      <c r="L88" t="s">
        <v>33</v>
      </c>
      <c r="M88" t="s">
        <v>34</v>
      </c>
      <c r="N88">
        <f>(  Posts__2[[#This Row],[Likes]]+Posts__2[[#This Row],[Comments]]+Posts__2[[#This Row],[Shares]] ) / Posts__2[[#This Row],[Impressions]]</f>
        <v>6.1158416768035934E-2</v>
      </c>
    </row>
    <row r="89" spans="1:14" x14ac:dyDescent="0.3">
      <c r="A89" t="s">
        <v>137</v>
      </c>
      <c r="B89" t="s">
        <v>8</v>
      </c>
      <c r="C89" s="4">
        <v>45705</v>
      </c>
      <c r="D89" t="s">
        <v>13</v>
      </c>
      <c r="E89" t="s">
        <v>47</v>
      </c>
      <c r="F89">
        <v>4796</v>
      </c>
      <c r="G89">
        <v>427</v>
      </c>
      <c r="H89">
        <v>339</v>
      </c>
      <c r="I89">
        <v>30752</v>
      </c>
      <c r="J89">
        <v>33870</v>
      </c>
      <c r="K89">
        <v>298</v>
      </c>
      <c r="L89" t="s">
        <v>33</v>
      </c>
      <c r="M89" t="s">
        <v>34</v>
      </c>
      <c r="N89">
        <f>(  Posts__2[[#This Row],[Likes]]+Posts__2[[#This Row],[Comments]]+Posts__2[[#This Row],[Shares]] ) / Posts__2[[#This Row],[Impressions]]</f>
        <v>0.18086628511966701</v>
      </c>
    </row>
    <row r="90" spans="1:14" x14ac:dyDescent="0.3">
      <c r="A90" t="s">
        <v>138</v>
      </c>
      <c r="B90" t="s">
        <v>7</v>
      </c>
      <c r="C90" s="4">
        <v>45630</v>
      </c>
      <c r="D90" t="s">
        <v>15</v>
      </c>
      <c r="E90" t="s">
        <v>42</v>
      </c>
      <c r="F90">
        <v>2601</v>
      </c>
      <c r="G90">
        <v>336</v>
      </c>
      <c r="H90">
        <v>260</v>
      </c>
      <c r="I90">
        <v>32368</v>
      </c>
      <c r="J90">
        <v>49028</v>
      </c>
      <c r="K90">
        <v>120</v>
      </c>
      <c r="L90" t="s">
        <v>33</v>
      </c>
      <c r="M90" t="s">
        <v>34</v>
      </c>
      <c r="N90">
        <f>(  Posts__2[[#This Row],[Likes]]+Posts__2[[#This Row],[Comments]]+Posts__2[[#This Row],[Shares]] ) / Posts__2[[#This Row],[Impressions]]</f>
        <v>9.8770390509144837E-2</v>
      </c>
    </row>
    <row r="91" spans="1:14" x14ac:dyDescent="0.3">
      <c r="A91" t="s">
        <v>139</v>
      </c>
      <c r="B91" t="s">
        <v>8</v>
      </c>
      <c r="C91" s="4">
        <v>45495</v>
      </c>
      <c r="D91" t="s">
        <v>13</v>
      </c>
      <c r="E91" t="s">
        <v>42</v>
      </c>
      <c r="F91">
        <v>3336</v>
      </c>
      <c r="G91">
        <v>229</v>
      </c>
      <c r="H91">
        <v>337</v>
      </c>
      <c r="I91">
        <v>22117</v>
      </c>
      <c r="J91">
        <v>26205</v>
      </c>
      <c r="K91">
        <v>160</v>
      </c>
      <c r="L91" t="s">
        <v>40</v>
      </c>
      <c r="M91" t="s">
        <v>34</v>
      </c>
      <c r="N91">
        <f>(  Posts__2[[#This Row],[Likes]]+Posts__2[[#This Row],[Comments]]+Posts__2[[#This Row],[Shares]] ) / Posts__2[[#This Row],[Impressions]]</f>
        <v>0.17642537414658407</v>
      </c>
    </row>
    <row r="92" spans="1:14" x14ac:dyDescent="0.3">
      <c r="A92" t="s">
        <v>140</v>
      </c>
      <c r="B92" t="s">
        <v>8</v>
      </c>
      <c r="C92" s="4">
        <v>45774</v>
      </c>
      <c r="D92" t="s">
        <v>15</v>
      </c>
      <c r="E92" t="s">
        <v>36</v>
      </c>
      <c r="F92">
        <v>1165</v>
      </c>
      <c r="G92">
        <v>294</v>
      </c>
      <c r="H92">
        <v>163</v>
      </c>
      <c r="I92">
        <v>20659</v>
      </c>
      <c r="J92">
        <v>45926</v>
      </c>
      <c r="K92">
        <v>111</v>
      </c>
      <c r="L92" t="s">
        <v>12</v>
      </c>
      <c r="M92" t="s">
        <v>37</v>
      </c>
      <c r="N92">
        <f>(  Posts__2[[#This Row],[Likes]]+Posts__2[[#This Row],[Comments]]+Posts__2[[#This Row],[Shares]] ) / Posts__2[[#This Row],[Impressions]]</f>
        <v>7.8512996756861422E-2</v>
      </c>
    </row>
    <row r="93" spans="1:14" x14ac:dyDescent="0.3">
      <c r="A93" t="s">
        <v>141</v>
      </c>
      <c r="B93" t="s">
        <v>9</v>
      </c>
      <c r="C93" s="4">
        <v>45376</v>
      </c>
      <c r="D93" t="s">
        <v>11</v>
      </c>
      <c r="E93" t="s">
        <v>36</v>
      </c>
      <c r="F93">
        <v>1948</v>
      </c>
      <c r="G93">
        <v>155</v>
      </c>
      <c r="H93">
        <v>315</v>
      </c>
      <c r="I93">
        <v>30321</v>
      </c>
      <c r="J93">
        <v>57121</v>
      </c>
      <c r="K93">
        <v>82</v>
      </c>
      <c r="L93" t="s">
        <v>67</v>
      </c>
      <c r="M93" t="s">
        <v>68</v>
      </c>
      <c r="N93">
        <f>(  Posts__2[[#This Row],[Likes]]+Posts__2[[#This Row],[Comments]]+Posts__2[[#This Row],[Shares]] ) / Posts__2[[#This Row],[Impressions]]</f>
        <v>7.974671020085089E-2</v>
      </c>
    </row>
    <row r="94" spans="1:14" x14ac:dyDescent="0.3">
      <c r="A94" t="s">
        <v>142</v>
      </c>
      <c r="B94" t="s">
        <v>7</v>
      </c>
      <c r="C94" s="4">
        <v>45351</v>
      </c>
      <c r="D94" t="s">
        <v>15</v>
      </c>
      <c r="E94" t="s">
        <v>59</v>
      </c>
      <c r="F94">
        <v>1100</v>
      </c>
      <c r="G94">
        <v>229</v>
      </c>
      <c r="H94">
        <v>312</v>
      </c>
      <c r="I94">
        <v>25641</v>
      </c>
      <c r="J94">
        <v>34601</v>
      </c>
      <c r="K94">
        <v>169</v>
      </c>
      <c r="L94" t="s">
        <v>10</v>
      </c>
      <c r="M94" t="s">
        <v>37</v>
      </c>
      <c r="N94">
        <f>(  Posts__2[[#This Row],[Likes]]+Posts__2[[#This Row],[Comments]]+Posts__2[[#This Row],[Shares]] ) / Posts__2[[#This Row],[Impressions]]</f>
        <v>6.3999063999063993E-2</v>
      </c>
    </row>
    <row r="95" spans="1:14" x14ac:dyDescent="0.3">
      <c r="A95" t="s">
        <v>143</v>
      </c>
      <c r="B95" t="s">
        <v>8</v>
      </c>
      <c r="C95" s="4">
        <v>45609</v>
      </c>
      <c r="D95" t="s">
        <v>13</v>
      </c>
      <c r="E95" t="s">
        <v>53</v>
      </c>
      <c r="F95">
        <v>4628</v>
      </c>
      <c r="G95">
        <v>257</v>
      </c>
      <c r="H95">
        <v>397</v>
      </c>
      <c r="I95">
        <v>36686</v>
      </c>
      <c r="J95">
        <v>54683</v>
      </c>
      <c r="K95">
        <v>98</v>
      </c>
      <c r="L95" t="s">
        <v>33</v>
      </c>
      <c r="M95" t="s">
        <v>34</v>
      </c>
      <c r="N95">
        <f>(  Posts__2[[#This Row],[Likes]]+Posts__2[[#This Row],[Comments]]+Posts__2[[#This Row],[Shares]] ) / Posts__2[[#This Row],[Impressions]]</f>
        <v>0.1439786294499264</v>
      </c>
    </row>
    <row r="96" spans="1:14" x14ac:dyDescent="0.3">
      <c r="A96" t="s">
        <v>144</v>
      </c>
      <c r="B96" t="s">
        <v>7</v>
      </c>
      <c r="C96" s="4">
        <v>45373</v>
      </c>
      <c r="D96" t="s">
        <v>13</v>
      </c>
      <c r="E96" t="s">
        <v>32</v>
      </c>
      <c r="F96">
        <v>2319</v>
      </c>
      <c r="G96">
        <v>484</v>
      </c>
      <c r="H96">
        <v>193</v>
      </c>
      <c r="I96">
        <v>21202</v>
      </c>
      <c r="J96">
        <v>18091</v>
      </c>
      <c r="K96">
        <v>241</v>
      </c>
      <c r="L96" t="s">
        <v>5</v>
      </c>
      <c r="M96" t="s">
        <v>65</v>
      </c>
      <c r="N96">
        <f>(  Posts__2[[#This Row],[Likes]]+Posts__2[[#This Row],[Comments]]+Posts__2[[#This Row],[Shares]] ) / Posts__2[[#This Row],[Impressions]]</f>
        <v>0.14130742382794076</v>
      </c>
    </row>
    <row r="97" spans="1:14" x14ac:dyDescent="0.3">
      <c r="A97" t="s">
        <v>145</v>
      </c>
      <c r="B97" t="s">
        <v>8</v>
      </c>
      <c r="C97" s="4">
        <v>45367</v>
      </c>
      <c r="D97" t="s">
        <v>13</v>
      </c>
      <c r="E97" t="s">
        <v>42</v>
      </c>
      <c r="F97">
        <v>2895</v>
      </c>
      <c r="G97">
        <v>292</v>
      </c>
      <c r="H97">
        <v>90</v>
      </c>
      <c r="I97">
        <v>24223</v>
      </c>
      <c r="J97">
        <v>54626</v>
      </c>
      <c r="K97">
        <v>114</v>
      </c>
      <c r="L97" t="s">
        <v>33</v>
      </c>
      <c r="M97" t="s">
        <v>34</v>
      </c>
      <c r="N97">
        <f>(  Posts__2[[#This Row],[Likes]]+Posts__2[[#This Row],[Comments]]+Posts__2[[#This Row],[Shares]] ) / Posts__2[[#This Row],[Impressions]]</f>
        <v>0.13528464682326713</v>
      </c>
    </row>
    <row r="98" spans="1:14" x14ac:dyDescent="0.3">
      <c r="A98" t="s">
        <v>146</v>
      </c>
      <c r="B98" t="s">
        <v>7</v>
      </c>
      <c r="C98" s="4">
        <v>45317</v>
      </c>
      <c r="D98" t="s">
        <v>15</v>
      </c>
      <c r="E98" t="s">
        <v>47</v>
      </c>
      <c r="F98">
        <v>3878</v>
      </c>
      <c r="G98">
        <v>431</v>
      </c>
      <c r="H98">
        <v>97</v>
      </c>
      <c r="I98">
        <v>41763</v>
      </c>
      <c r="J98">
        <v>29729</v>
      </c>
      <c r="K98">
        <v>191</v>
      </c>
      <c r="L98" t="s">
        <v>10</v>
      </c>
      <c r="M98" t="s">
        <v>37</v>
      </c>
      <c r="N98">
        <f>(  Posts__2[[#This Row],[Likes]]+Posts__2[[#This Row],[Comments]]+Posts__2[[#This Row],[Shares]] ) / Posts__2[[#This Row],[Impressions]]</f>
        <v>0.10550008380623997</v>
      </c>
    </row>
    <row r="99" spans="1:14" x14ac:dyDescent="0.3">
      <c r="A99" t="s">
        <v>147</v>
      </c>
      <c r="B99" t="s">
        <v>8</v>
      </c>
      <c r="C99" s="4">
        <v>45366</v>
      </c>
      <c r="D99" t="s">
        <v>13</v>
      </c>
      <c r="E99" t="s">
        <v>49</v>
      </c>
      <c r="F99">
        <v>4969</v>
      </c>
      <c r="G99">
        <v>433</v>
      </c>
      <c r="H99">
        <v>237</v>
      </c>
      <c r="I99">
        <v>59552</v>
      </c>
      <c r="J99">
        <v>23885</v>
      </c>
      <c r="K99">
        <v>157</v>
      </c>
      <c r="L99" t="s">
        <v>51</v>
      </c>
      <c r="M99" t="s">
        <v>34</v>
      </c>
      <c r="N99">
        <f>(  Posts__2[[#This Row],[Likes]]+Posts__2[[#This Row],[Comments]]+Posts__2[[#This Row],[Shares]] ) / Posts__2[[#This Row],[Impressions]]</f>
        <v>9.4690354648038683E-2</v>
      </c>
    </row>
    <row r="100" spans="1:14" x14ac:dyDescent="0.3">
      <c r="A100" t="s">
        <v>148</v>
      </c>
      <c r="B100" t="s">
        <v>8</v>
      </c>
      <c r="C100" s="4">
        <v>45580</v>
      </c>
      <c r="D100" t="s">
        <v>15</v>
      </c>
      <c r="E100" t="s">
        <v>42</v>
      </c>
      <c r="F100">
        <v>1984</v>
      </c>
      <c r="G100">
        <v>481</v>
      </c>
      <c r="H100">
        <v>356</v>
      </c>
      <c r="I100">
        <v>40681</v>
      </c>
      <c r="J100">
        <v>63111</v>
      </c>
      <c r="K100">
        <v>258</v>
      </c>
      <c r="L100" t="s">
        <v>5</v>
      </c>
      <c r="M100" t="s">
        <v>34</v>
      </c>
      <c r="N100">
        <f>(  Posts__2[[#This Row],[Likes]]+Posts__2[[#This Row],[Comments]]+Posts__2[[#This Row],[Shares]] ) / Posts__2[[#This Row],[Impressions]]</f>
        <v>6.934441139598338E-2</v>
      </c>
    </row>
    <row r="101" spans="1:14" x14ac:dyDescent="0.3">
      <c r="A101" t="s">
        <v>149</v>
      </c>
      <c r="B101" t="s">
        <v>7</v>
      </c>
      <c r="C101" s="4">
        <v>45494</v>
      </c>
      <c r="D101" t="s">
        <v>15</v>
      </c>
      <c r="E101" t="s">
        <v>32</v>
      </c>
      <c r="F101">
        <v>3004</v>
      </c>
      <c r="G101">
        <v>415</v>
      </c>
      <c r="H101">
        <v>218</v>
      </c>
      <c r="I101">
        <v>36090</v>
      </c>
      <c r="J101">
        <v>37073</v>
      </c>
      <c r="K101">
        <v>181</v>
      </c>
      <c r="L101" t="s">
        <v>10</v>
      </c>
      <c r="M101" t="s">
        <v>37</v>
      </c>
      <c r="N101">
        <f>(  Posts__2[[#This Row],[Likes]]+Posts__2[[#This Row],[Comments]]+Posts__2[[#This Row],[Shares]] ) / Posts__2[[#This Row],[Impressions]]</f>
        <v>0.10077583818232197</v>
      </c>
    </row>
    <row r="102" spans="1:14" x14ac:dyDescent="0.3">
      <c r="A102" t="s">
        <v>150</v>
      </c>
      <c r="B102" t="s">
        <v>8</v>
      </c>
      <c r="C102" s="4">
        <v>45577</v>
      </c>
      <c r="D102" t="s">
        <v>15</v>
      </c>
      <c r="E102" t="s">
        <v>49</v>
      </c>
      <c r="F102">
        <v>3169</v>
      </c>
      <c r="G102">
        <v>386</v>
      </c>
      <c r="H102">
        <v>175</v>
      </c>
      <c r="I102">
        <v>45012</v>
      </c>
      <c r="J102">
        <v>38508</v>
      </c>
      <c r="K102">
        <v>218</v>
      </c>
      <c r="L102" t="s">
        <v>5</v>
      </c>
      <c r="M102" t="s">
        <v>34</v>
      </c>
      <c r="N102">
        <f>(  Posts__2[[#This Row],[Likes]]+Posts__2[[#This Row],[Comments]]+Posts__2[[#This Row],[Shares]] ) / Posts__2[[#This Row],[Impressions]]</f>
        <v>8.2866791077934779E-2</v>
      </c>
    </row>
    <row r="103" spans="1:14" x14ac:dyDescent="0.3">
      <c r="A103" t="s">
        <v>151</v>
      </c>
      <c r="B103" t="s">
        <v>8</v>
      </c>
      <c r="C103" s="4">
        <v>45591</v>
      </c>
      <c r="D103" t="s">
        <v>15</v>
      </c>
      <c r="E103" t="s">
        <v>32</v>
      </c>
      <c r="F103">
        <v>3036</v>
      </c>
      <c r="G103">
        <v>293</v>
      </c>
      <c r="H103">
        <v>115</v>
      </c>
      <c r="I103">
        <v>23776</v>
      </c>
      <c r="J103">
        <v>46386</v>
      </c>
      <c r="K103">
        <v>282</v>
      </c>
      <c r="L103" t="s">
        <v>5</v>
      </c>
      <c r="M103" t="s">
        <v>34</v>
      </c>
      <c r="N103">
        <f>(  Posts__2[[#This Row],[Likes]]+Posts__2[[#This Row],[Comments]]+Posts__2[[#This Row],[Shares]] ) / Posts__2[[#This Row],[Impressions]]</f>
        <v>0.14485195154777927</v>
      </c>
    </row>
    <row r="104" spans="1:14" x14ac:dyDescent="0.3">
      <c r="A104" t="s">
        <v>152</v>
      </c>
      <c r="B104" t="s">
        <v>7</v>
      </c>
      <c r="C104" s="4">
        <v>45336</v>
      </c>
      <c r="D104" t="s">
        <v>15</v>
      </c>
      <c r="E104" t="s">
        <v>44</v>
      </c>
      <c r="F104">
        <v>1830</v>
      </c>
      <c r="G104">
        <v>112</v>
      </c>
      <c r="H104">
        <v>181</v>
      </c>
      <c r="I104">
        <v>31870</v>
      </c>
      <c r="J104">
        <v>55742</v>
      </c>
      <c r="K104">
        <v>263</v>
      </c>
      <c r="L104" t="s">
        <v>33</v>
      </c>
      <c r="M104" t="s">
        <v>34</v>
      </c>
      <c r="N104">
        <f>(  Posts__2[[#This Row],[Likes]]+Posts__2[[#This Row],[Comments]]+Posts__2[[#This Row],[Shares]] ) / Posts__2[[#This Row],[Impressions]]</f>
        <v>6.6614370881706936E-2</v>
      </c>
    </row>
    <row r="105" spans="1:14" x14ac:dyDescent="0.3">
      <c r="A105" t="s">
        <v>153</v>
      </c>
      <c r="B105" t="s">
        <v>8</v>
      </c>
      <c r="C105" s="4">
        <v>45413</v>
      </c>
      <c r="D105" t="s">
        <v>13</v>
      </c>
      <c r="E105" t="s">
        <v>47</v>
      </c>
      <c r="F105">
        <v>2587</v>
      </c>
      <c r="G105">
        <v>447</v>
      </c>
      <c r="H105">
        <v>183</v>
      </c>
      <c r="I105">
        <v>36266</v>
      </c>
      <c r="J105">
        <v>32877</v>
      </c>
      <c r="K105">
        <v>132</v>
      </c>
      <c r="L105" t="s">
        <v>51</v>
      </c>
      <c r="M105" t="s">
        <v>34</v>
      </c>
      <c r="N105">
        <f>(  Posts__2[[#This Row],[Likes]]+Posts__2[[#This Row],[Comments]]+Posts__2[[#This Row],[Shares]] ) / Posts__2[[#This Row],[Impressions]]</f>
        <v>8.8705674736667947E-2</v>
      </c>
    </row>
    <row r="106" spans="1:14" x14ac:dyDescent="0.3">
      <c r="A106" t="s">
        <v>154</v>
      </c>
      <c r="B106" t="s">
        <v>8</v>
      </c>
      <c r="C106" s="4">
        <v>45553</v>
      </c>
      <c r="D106" t="s">
        <v>15</v>
      </c>
      <c r="E106" t="s">
        <v>32</v>
      </c>
      <c r="F106">
        <v>2878</v>
      </c>
      <c r="G106">
        <v>265</v>
      </c>
      <c r="H106">
        <v>91</v>
      </c>
      <c r="I106">
        <v>52090</v>
      </c>
      <c r="J106">
        <v>28924</v>
      </c>
      <c r="K106">
        <v>133</v>
      </c>
      <c r="L106" t="s">
        <v>5</v>
      </c>
      <c r="M106" t="s">
        <v>34</v>
      </c>
      <c r="N106">
        <f>(  Posts__2[[#This Row],[Likes]]+Posts__2[[#This Row],[Comments]]+Posts__2[[#This Row],[Shares]] ) / Posts__2[[#This Row],[Impressions]]</f>
        <v>6.2084853138798232E-2</v>
      </c>
    </row>
    <row r="107" spans="1:14" x14ac:dyDescent="0.3">
      <c r="A107" t="s">
        <v>155</v>
      </c>
      <c r="B107" t="s">
        <v>8</v>
      </c>
      <c r="C107" s="4">
        <v>45677</v>
      </c>
      <c r="D107" t="s">
        <v>13</v>
      </c>
      <c r="E107" t="s">
        <v>39</v>
      </c>
      <c r="F107">
        <v>4619</v>
      </c>
      <c r="G107">
        <v>272</v>
      </c>
      <c r="H107">
        <v>57</v>
      </c>
      <c r="I107">
        <v>21334</v>
      </c>
      <c r="J107">
        <v>46292</v>
      </c>
      <c r="K107">
        <v>91</v>
      </c>
      <c r="L107" t="s">
        <v>33</v>
      </c>
      <c r="M107" t="s">
        <v>34</v>
      </c>
      <c r="N107">
        <f>(  Posts__2[[#This Row],[Likes]]+Posts__2[[#This Row],[Comments]]+Posts__2[[#This Row],[Shares]] ) / Posts__2[[#This Row],[Impressions]]</f>
        <v>0.23193025217961938</v>
      </c>
    </row>
    <row r="108" spans="1:14" x14ac:dyDescent="0.3">
      <c r="A108" t="s">
        <v>156</v>
      </c>
      <c r="B108" t="s">
        <v>8</v>
      </c>
      <c r="C108" s="4">
        <v>45670</v>
      </c>
      <c r="D108" t="s">
        <v>15</v>
      </c>
      <c r="E108" t="s">
        <v>44</v>
      </c>
      <c r="F108">
        <v>4090</v>
      </c>
      <c r="G108">
        <v>209</v>
      </c>
      <c r="H108">
        <v>278</v>
      </c>
      <c r="I108">
        <v>52853</v>
      </c>
      <c r="J108">
        <v>57084</v>
      </c>
      <c r="K108">
        <v>102</v>
      </c>
      <c r="L108" t="s">
        <v>12</v>
      </c>
      <c r="M108" t="s">
        <v>37</v>
      </c>
      <c r="N108">
        <f>(  Posts__2[[#This Row],[Likes]]+Posts__2[[#This Row],[Comments]]+Posts__2[[#This Row],[Shares]] ) / Posts__2[[#This Row],[Impressions]]</f>
        <v>8.6598679355949518E-2</v>
      </c>
    </row>
    <row r="109" spans="1:14" x14ac:dyDescent="0.3">
      <c r="A109" t="s">
        <v>157</v>
      </c>
      <c r="B109" t="s">
        <v>9</v>
      </c>
      <c r="C109" s="4">
        <v>45542</v>
      </c>
      <c r="D109" t="s">
        <v>11</v>
      </c>
      <c r="E109" t="s">
        <v>44</v>
      </c>
      <c r="F109">
        <v>3882</v>
      </c>
      <c r="G109">
        <v>342</v>
      </c>
      <c r="H109">
        <v>374</v>
      </c>
      <c r="I109">
        <v>41991</v>
      </c>
      <c r="J109">
        <v>48554</v>
      </c>
      <c r="K109">
        <v>118</v>
      </c>
      <c r="L109" t="s">
        <v>67</v>
      </c>
      <c r="M109" t="s">
        <v>68</v>
      </c>
      <c r="N109">
        <f>(  Posts__2[[#This Row],[Likes]]+Posts__2[[#This Row],[Comments]]+Posts__2[[#This Row],[Shares]] ) / Posts__2[[#This Row],[Impressions]]</f>
        <v>0.10949965468790931</v>
      </c>
    </row>
    <row r="110" spans="1:14" x14ac:dyDescent="0.3">
      <c r="A110" t="s">
        <v>158</v>
      </c>
      <c r="B110" t="s">
        <v>7</v>
      </c>
      <c r="C110" s="4">
        <v>45617</v>
      </c>
      <c r="D110" t="s">
        <v>15</v>
      </c>
      <c r="E110" t="s">
        <v>44</v>
      </c>
      <c r="F110">
        <v>4581</v>
      </c>
      <c r="G110">
        <v>181</v>
      </c>
      <c r="H110">
        <v>112</v>
      </c>
      <c r="I110">
        <v>35221</v>
      </c>
      <c r="J110">
        <v>28797</v>
      </c>
      <c r="K110">
        <v>164</v>
      </c>
      <c r="L110" t="s">
        <v>33</v>
      </c>
      <c r="M110" t="s">
        <v>34</v>
      </c>
      <c r="N110">
        <f>(  Posts__2[[#This Row],[Likes]]+Posts__2[[#This Row],[Comments]]+Posts__2[[#This Row],[Shares]] ) / Posts__2[[#This Row],[Impressions]]</f>
        <v>0.13838335084182732</v>
      </c>
    </row>
    <row r="111" spans="1:14" x14ac:dyDescent="0.3">
      <c r="A111" t="s">
        <v>159</v>
      </c>
      <c r="B111" t="s">
        <v>7</v>
      </c>
      <c r="C111" s="4">
        <v>45469</v>
      </c>
      <c r="D111" t="s">
        <v>15</v>
      </c>
      <c r="E111" t="s">
        <v>39</v>
      </c>
      <c r="F111">
        <v>3253</v>
      </c>
      <c r="G111">
        <v>483</v>
      </c>
      <c r="H111">
        <v>336</v>
      </c>
      <c r="I111">
        <v>25397</v>
      </c>
      <c r="J111">
        <v>51485</v>
      </c>
      <c r="K111">
        <v>131</v>
      </c>
      <c r="L111" t="s">
        <v>10</v>
      </c>
      <c r="M111" t="s">
        <v>37</v>
      </c>
      <c r="N111">
        <f>(  Posts__2[[#This Row],[Likes]]+Posts__2[[#This Row],[Comments]]+Posts__2[[#This Row],[Shares]] ) / Posts__2[[#This Row],[Impressions]]</f>
        <v>0.16033389770445328</v>
      </c>
    </row>
    <row r="112" spans="1:14" x14ac:dyDescent="0.3">
      <c r="A112" t="s">
        <v>160</v>
      </c>
      <c r="B112" t="s">
        <v>9</v>
      </c>
      <c r="C112" s="4">
        <v>45493</v>
      </c>
      <c r="D112" t="s">
        <v>11</v>
      </c>
      <c r="E112" t="s">
        <v>44</v>
      </c>
      <c r="F112">
        <v>4955</v>
      </c>
      <c r="G112">
        <v>299</v>
      </c>
      <c r="H112">
        <v>345</v>
      </c>
      <c r="I112">
        <v>33644</v>
      </c>
      <c r="J112">
        <v>43547</v>
      </c>
      <c r="K112">
        <v>194</v>
      </c>
      <c r="L112" t="s">
        <v>67</v>
      </c>
      <c r="M112" t="s">
        <v>68</v>
      </c>
      <c r="N112">
        <f>(  Posts__2[[#This Row],[Likes]]+Posts__2[[#This Row],[Comments]]+Posts__2[[#This Row],[Shares]] ) / Posts__2[[#This Row],[Impressions]]</f>
        <v>0.16641897515158721</v>
      </c>
    </row>
    <row r="113" spans="1:14" x14ac:dyDescent="0.3">
      <c r="A113" t="s">
        <v>161</v>
      </c>
      <c r="B113" t="s">
        <v>7</v>
      </c>
      <c r="C113" s="4">
        <v>45704</v>
      </c>
      <c r="D113" t="s">
        <v>15</v>
      </c>
      <c r="E113" t="s">
        <v>61</v>
      </c>
      <c r="F113">
        <v>1333</v>
      </c>
      <c r="G113">
        <v>286</v>
      </c>
      <c r="H113">
        <v>298</v>
      </c>
      <c r="I113">
        <v>36174</v>
      </c>
      <c r="J113">
        <v>34517</v>
      </c>
      <c r="K113">
        <v>170</v>
      </c>
      <c r="L113" t="s">
        <v>33</v>
      </c>
      <c r="M113" t="s">
        <v>34</v>
      </c>
      <c r="N113">
        <f>(  Posts__2[[#This Row],[Likes]]+Posts__2[[#This Row],[Comments]]+Posts__2[[#This Row],[Shares]] ) / Posts__2[[#This Row],[Impressions]]</f>
        <v>5.2993862995521647E-2</v>
      </c>
    </row>
    <row r="114" spans="1:14" x14ac:dyDescent="0.3">
      <c r="A114" t="s">
        <v>162</v>
      </c>
      <c r="B114" t="s">
        <v>7</v>
      </c>
      <c r="C114" s="4">
        <v>45544</v>
      </c>
      <c r="D114" t="s">
        <v>15</v>
      </c>
      <c r="E114" t="s">
        <v>39</v>
      </c>
      <c r="F114">
        <v>1616</v>
      </c>
      <c r="G114">
        <v>360</v>
      </c>
      <c r="H114">
        <v>180</v>
      </c>
      <c r="I114">
        <v>54342</v>
      </c>
      <c r="J114">
        <v>18796</v>
      </c>
      <c r="K114">
        <v>282</v>
      </c>
      <c r="L114" t="s">
        <v>33</v>
      </c>
      <c r="M114" t="s">
        <v>34</v>
      </c>
      <c r="N114">
        <f>(  Posts__2[[#This Row],[Likes]]+Posts__2[[#This Row],[Comments]]+Posts__2[[#This Row],[Shares]] ) / Posts__2[[#This Row],[Impressions]]</f>
        <v>3.9674653122814763E-2</v>
      </c>
    </row>
    <row r="115" spans="1:14" x14ac:dyDescent="0.3">
      <c r="A115" t="s">
        <v>163</v>
      </c>
      <c r="B115" t="s">
        <v>8</v>
      </c>
      <c r="C115" s="4">
        <v>45489</v>
      </c>
      <c r="D115" t="s">
        <v>15</v>
      </c>
      <c r="E115" t="s">
        <v>53</v>
      </c>
      <c r="F115">
        <v>1803</v>
      </c>
      <c r="G115">
        <v>273</v>
      </c>
      <c r="H115">
        <v>287</v>
      </c>
      <c r="I115">
        <v>46176</v>
      </c>
      <c r="J115">
        <v>25488</v>
      </c>
      <c r="K115">
        <v>141</v>
      </c>
      <c r="L115" t="s">
        <v>5</v>
      </c>
      <c r="M115" t="s">
        <v>34</v>
      </c>
      <c r="N115">
        <f>(  Posts__2[[#This Row],[Likes]]+Posts__2[[#This Row],[Comments]]+Posts__2[[#This Row],[Shares]] ) / Posts__2[[#This Row],[Impressions]]</f>
        <v>5.1173769923769923E-2</v>
      </c>
    </row>
    <row r="116" spans="1:14" x14ac:dyDescent="0.3">
      <c r="A116" t="s">
        <v>164</v>
      </c>
      <c r="B116" t="s">
        <v>7</v>
      </c>
      <c r="C116" s="4">
        <v>45762</v>
      </c>
      <c r="D116" t="s">
        <v>15</v>
      </c>
      <c r="E116" t="s">
        <v>36</v>
      </c>
      <c r="F116">
        <v>4177</v>
      </c>
      <c r="G116">
        <v>489</v>
      </c>
      <c r="H116">
        <v>331</v>
      </c>
      <c r="I116">
        <v>57451</v>
      </c>
      <c r="J116">
        <v>73793</v>
      </c>
      <c r="K116">
        <v>251</v>
      </c>
      <c r="L116" t="s">
        <v>10</v>
      </c>
      <c r="M116" t="s">
        <v>37</v>
      </c>
      <c r="N116">
        <f>(  Posts__2[[#This Row],[Likes]]+Posts__2[[#This Row],[Comments]]+Posts__2[[#This Row],[Shares]] ) / Posts__2[[#This Row],[Impressions]]</f>
        <v>8.6978468608031198E-2</v>
      </c>
    </row>
    <row r="117" spans="1:14" x14ac:dyDescent="0.3">
      <c r="A117" t="s">
        <v>165</v>
      </c>
      <c r="B117" t="s">
        <v>7</v>
      </c>
      <c r="C117" s="4">
        <v>45781</v>
      </c>
      <c r="D117" t="s">
        <v>13</v>
      </c>
      <c r="E117" t="s">
        <v>39</v>
      </c>
      <c r="F117">
        <v>1311</v>
      </c>
      <c r="G117">
        <v>181</v>
      </c>
      <c r="H117">
        <v>361</v>
      </c>
      <c r="I117">
        <v>37148</v>
      </c>
      <c r="J117">
        <v>44875</v>
      </c>
      <c r="K117">
        <v>245</v>
      </c>
      <c r="L117" t="s">
        <v>5</v>
      </c>
      <c r="M117" t="s">
        <v>65</v>
      </c>
      <c r="N117">
        <f>(  Posts__2[[#This Row],[Likes]]+Posts__2[[#This Row],[Comments]]+Posts__2[[#This Row],[Shares]] ) / Posts__2[[#This Row],[Impressions]]</f>
        <v>4.9881554861634543E-2</v>
      </c>
    </row>
    <row r="118" spans="1:14" x14ac:dyDescent="0.3">
      <c r="A118" t="s">
        <v>166</v>
      </c>
      <c r="B118" t="s">
        <v>7</v>
      </c>
      <c r="C118" s="4">
        <v>45340</v>
      </c>
      <c r="D118" t="s">
        <v>13</v>
      </c>
      <c r="E118" t="s">
        <v>59</v>
      </c>
      <c r="F118">
        <v>1516</v>
      </c>
      <c r="G118">
        <v>215</v>
      </c>
      <c r="H118">
        <v>332</v>
      </c>
      <c r="I118">
        <v>58981</v>
      </c>
      <c r="J118">
        <v>36118</v>
      </c>
      <c r="K118">
        <v>211</v>
      </c>
      <c r="L118" t="s">
        <v>5</v>
      </c>
      <c r="M118" t="s">
        <v>65</v>
      </c>
      <c r="N118">
        <f>(  Posts__2[[#This Row],[Likes]]+Posts__2[[#This Row],[Comments]]+Posts__2[[#This Row],[Shares]] ) / Posts__2[[#This Row],[Impressions]]</f>
        <v>3.4977365592309385E-2</v>
      </c>
    </row>
    <row r="119" spans="1:14" x14ac:dyDescent="0.3">
      <c r="A119" t="s">
        <v>167</v>
      </c>
      <c r="B119" t="s">
        <v>8</v>
      </c>
      <c r="C119" s="4">
        <v>45428</v>
      </c>
      <c r="D119" t="s">
        <v>13</v>
      </c>
      <c r="E119" t="s">
        <v>44</v>
      </c>
      <c r="F119">
        <v>2023</v>
      </c>
      <c r="G119">
        <v>124</v>
      </c>
      <c r="H119">
        <v>99</v>
      </c>
      <c r="I119">
        <v>54524</v>
      </c>
      <c r="J119">
        <v>34790</v>
      </c>
      <c r="K119">
        <v>195</v>
      </c>
      <c r="L119" t="s">
        <v>51</v>
      </c>
      <c r="M119" t="s">
        <v>34</v>
      </c>
      <c r="N119">
        <f>(  Posts__2[[#This Row],[Likes]]+Posts__2[[#This Row],[Comments]]+Posts__2[[#This Row],[Shares]] ) / Posts__2[[#This Row],[Impressions]]</f>
        <v>4.1192869195216787E-2</v>
      </c>
    </row>
    <row r="120" spans="1:14" x14ac:dyDescent="0.3">
      <c r="A120" t="s">
        <v>168</v>
      </c>
      <c r="B120" t="s">
        <v>8</v>
      </c>
      <c r="C120" s="4">
        <v>45806</v>
      </c>
      <c r="D120" t="s">
        <v>13</v>
      </c>
      <c r="E120" t="s">
        <v>44</v>
      </c>
      <c r="F120">
        <v>2134</v>
      </c>
      <c r="G120">
        <v>322</v>
      </c>
      <c r="H120">
        <v>114</v>
      </c>
      <c r="I120">
        <v>44338</v>
      </c>
      <c r="J120">
        <v>52165</v>
      </c>
      <c r="K120">
        <v>176</v>
      </c>
      <c r="L120" t="s">
        <v>40</v>
      </c>
      <c r="M120" t="s">
        <v>34</v>
      </c>
      <c r="N120">
        <f>(  Posts__2[[#This Row],[Likes]]+Posts__2[[#This Row],[Comments]]+Posts__2[[#This Row],[Shares]] ) / Posts__2[[#This Row],[Impressions]]</f>
        <v>5.7963823356939871E-2</v>
      </c>
    </row>
    <row r="121" spans="1:14" x14ac:dyDescent="0.3">
      <c r="A121" t="s">
        <v>169</v>
      </c>
      <c r="B121" t="s">
        <v>7</v>
      </c>
      <c r="C121" s="4">
        <v>45674</v>
      </c>
      <c r="D121" t="s">
        <v>15</v>
      </c>
      <c r="E121" t="s">
        <v>53</v>
      </c>
      <c r="F121">
        <v>2266</v>
      </c>
      <c r="G121">
        <v>126</v>
      </c>
      <c r="H121">
        <v>140</v>
      </c>
      <c r="I121">
        <v>53759</v>
      </c>
      <c r="J121">
        <v>46834</v>
      </c>
      <c r="K121">
        <v>277</v>
      </c>
      <c r="L121" t="s">
        <v>10</v>
      </c>
      <c r="M121" t="s">
        <v>37</v>
      </c>
      <c r="N121">
        <f>(  Posts__2[[#This Row],[Likes]]+Posts__2[[#This Row],[Comments]]+Posts__2[[#This Row],[Shares]] ) / Posts__2[[#This Row],[Impressions]]</f>
        <v>4.7099090384865788E-2</v>
      </c>
    </row>
    <row r="122" spans="1:14" x14ac:dyDescent="0.3">
      <c r="A122" t="s">
        <v>170</v>
      </c>
      <c r="B122" t="s">
        <v>7</v>
      </c>
      <c r="C122" s="4">
        <v>45777</v>
      </c>
      <c r="D122" t="s">
        <v>13</v>
      </c>
      <c r="E122" t="s">
        <v>39</v>
      </c>
      <c r="F122">
        <v>3916</v>
      </c>
      <c r="G122">
        <v>459</v>
      </c>
      <c r="H122">
        <v>229</v>
      </c>
      <c r="I122">
        <v>48989</v>
      </c>
      <c r="J122">
        <v>39768</v>
      </c>
      <c r="K122">
        <v>200</v>
      </c>
      <c r="L122" t="s">
        <v>5</v>
      </c>
      <c r="M122" t="s">
        <v>65</v>
      </c>
      <c r="N122">
        <f>(  Posts__2[[#This Row],[Likes]]+Posts__2[[#This Row],[Comments]]+Posts__2[[#This Row],[Shares]] ) / Posts__2[[#This Row],[Impressions]]</f>
        <v>9.3980281287635997E-2</v>
      </c>
    </row>
    <row r="123" spans="1:14" x14ac:dyDescent="0.3">
      <c r="A123" t="s">
        <v>171</v>
      </c>
      <c r="B123" t="s">
        <v>8</v>
      </c>
      <c r="C123" s="4">
        <v>45346</v>
      </c>
      <c r="D123" t="s">
        <v>13</v>
      </c>
      <c r="E123" t="s">
        <v>44</v>
      </c>
      <c r="F123">
        <v>1022</v>
      </c>
      <c r="G123">
        <v>463</v>
      </c>
      <c r="H123">
        <v>360</v>
      </c>
      <c r="I123">
        <v>51468</v>
      </c>
      <c r="J123">
        <v>24279</v>
      </c>
      <c r="K123">
        <v>230</v>
      </c>
      <c r="L123" t="s">
        <v>51</v>
      </c>
      <c r="M123" t="s">
        <v>34</v>
      </c>
      <c r="N123">
        <f>(  Posts__2[[#This Row],[Likes]]+Posts__2[[#This Row],[Comments]]+Posts__2[[#This Row],[Shares]] ) / Posts__2[[#This Row],[Impressions]]</f>
        <v>3.5847516903707161E-2</v>
      </c>
    </row>
    <row r="124" spans="1:14" x14ac:dyDescent="0.3">
      <c r="A124" t="s">
        <v>172</v>
      </c>
      <c r="B124" t="s">
        <v>9</v>
      </c>
      <c r="C124" s="4">
        <v>45424</v>
      </c>
      <c r="D124" t="s">
        <v>15</v>
      </c>
      <c r="E124" t="s">
        <v>59</v>
      </c>
      <c r="F124">
        <v>2911</v>
      </c>
      <c r="G124">
        <v>467</v>
      </c>
      <c r="H124">
        <v>94</v>
      </c>
      <c r="I124">
        <v>59083</v>
      </c>
      <c r="J124">
        <v>49762</v>
      </c>
      <c r="K124">
        <v>236</v>
      </c>
      <c r="L124" t="s">
        <v>45</v>
      </c>
      <c r="M124" t="s">
        <v>37</v>
      </c>
      <c r="N124">
        <f>(  Posts__2[[#This Row],[Likes]]+Posts__2[[#This Row],[Comments]]+Posts__2[[#This Row],[Shares]] ) / Posts__2[[#This Row],[Impressions]]</f>
        <v>5.8764788517847777E-2</v>
      </c>
    </row>
    <row r="125" spans="1:14" x14ac:dyDescent="0.3">
      <c r="A125" t="s">
        <v>173</v>
      </c>
      <c r="B125" t="s">
        <v>8</v>
      </c>
      <c r="C125" s="4">
        <v>45421</v>
      </c>
      <c r="D125" t="s">
        <v>13</v>
      </c>
      <c r="E125" t="s">
        <v>39</v>
      </c>
      <c r="F125">
        <v>3277</v>
      </c>
      <c r="G125">
        <v>423</v>
      </c>
      <c r="H125">
        <v>259</v>
      </c>
      <c r="I125">
        <v>46328</v>
      </c>
      <c r="J125">
        <v>44293</v>
      </c>
      <c r="K125">
        <v>299</v>
      </c>
      <c r="L125" t="s">
        <v>33</v>
      </c>
      <c r="M125" t="s">
        <v>34</v>
      </c>
      <c r="N125">
        <f>(  Posts__2[[#This Row],[Likes]]+Posts__2[[#This Row],[Comments]]+Posts__2[[#This Row],[Shares]] ) / Posts__2[[#This Row],[Impressions]]</f>
        <v>8.5455879813503707E-2</v>
      </c>
    </row>
    <row r="126" spans="1:14" x14ac:dyDescent="0.3">
      <c r="A126" t="s">
        <v>174</v>
      </c>
      <c r="B126" t="s">
        <v>8</v>
      </c>
      <c r="C126" s="4">
        <v>45602</v>
      </c>
      <c r="D126" t="s">
        <v>15</v>
      </c>
      <c r="E126" t="s">
        <v>59</v>
      </c>
      <c r="F126">
        <v>2956</v>
      </c>
      <c r="G126">
        <v>381</v>
      </c>
      <c r="H126">
        <v>345</v>
      </c>
      <c r="I126">
        <v>33347</v>
      </c>
      <c r="J126">
        <v>22558</v>
      </c>
      <c r="K126">
        <v>173</v>
      </c>
      <c r="L126" t="s">
        <v>5</v>
      </c>
      <c r="M126" t="s">
        <v>34</v>
      </c>
      <c r="N126">
        <f>(  Posts__2[[#This Row],[Likes]]+Posts__2[[#This Row],[Comments]]+Posts__2[[#This Row],[Shares]] ) / Posts__2[[#This Row],[Impressions]]</f>
        <v>0.11041472996071611</v>
      </c>
    </row>
    <row r="127" spans="1:14" x14ac:dyDescent="0.3">
      <c r="A127" t="s">
        <v>175</v>
      </c>
      <c r="B127" t="s">
        <v>8</v>
      </c>
      <c r="C127" s="4">
        <v>45295</v>
      </c>
      <c r="D127" t="s">
        <v>13</v>
      </c>
      <c r="E127" t="s">
        <v>47</v>
      </c>
      <c r="F127">
        <v>3208</v>
      </c>
      <c r="G127">
        <v>476</v>
      </c>
      <c r="H127">
        <v>277</v>
      </c>
      <c r="I127">
        <v>56072</v>
      </c>
      <c r="J127">
        <v>21061</v>
      </c>
      <c r="K127">
        <v>113</v>
      </c>
      <c r="L127" t="s">
        <v>40</v>
      </c>
      <c r="M127" t="s">
        <v>34</v>
      </c>
      <c r="N127">
        <f>(  Posts__2[[#This Row],[Likes]]+Posts__2[[#This Row],[Comments]]+Posts__2[[#This Row],[Shares]] ) / Posts__2[[#This Row],[Impressions]]</f>
        <v>7.064131830503638E-2</v>
      </c>
    </row>
    <row r="128" spans="1:14" x14ac:dyDescent="0.3">
      <c r="A128" t="s">
        <v>176</v>
      </c>
      <c r="B128" t="s">
        <v>8</v>
      </c>
      <c r="C128" s="4">
        <v>45319</v>
      </c>
      <c r="D128" t="s">
        <v>15</v>
      </c>
      <c r="E128" t="s">
        <v>44</v>
      </c>
      <c r="F128">
        <v>1456</v>
      </c>
      <c r="G128">
        <v>265</v>
      </c>
      <c r="H128">
        <v>137</v>
      </c>
      <c r="I128">
        <v>53485</v>
      </c>
      <c r="J128">
        <v>59729</v>
      </c>
      <c r="K128">
        <v>145</v>
      </c>
      <c r="L128" t="s">
        <v>12</v>
      </c>
      <c r="M128" t="s">
        <v>37</v>
      </c>
      <c r="N128">
        <f>(  Posts__2[[#This Row],[Likes]]+Posts__2[[#This Row],[Comments]]+Posts__2[[#This Row],[Shares]] ) / Posts__2[[#This Row],[Impressions]]</f>
        <v>3.4738711788351875E-2</v>
      </c>
    </row>
    <row r="129" spans="1:14" x14ac:dyDescent="0.3">
      <c r="A129" t="s">
        <v>177</v>
      </c>
      <c r="B129" t="s">
        <v>7</v>
      </c>
      <c r="C129" s="4">
        <v>45344</v>
      </c>
      <c r="D129" t="s">
        <v>15</v>
      </c>
      <c r="E129" t="s">
        <v>39</v>
      </c>
      <c r="F129">
        <v>1902</v>
      </c>
      <c r="G129">
        <v>394</v>
      </c>
      <c r="H129">
        <v>279</v>
      </c>
      <c r="I129">
        <v>24615</v>
      </c>
      <c r="J129">
        <v>51330</v>
      </c>
      <c r="K129">
        <v>176</v>
      </c>
      <c r="L129" t="s">
        <v>33</v>
      </c>
      <c r="M129" t="s">
        <v>34</v>
      </c>
      <c r="N129">
        <f>(  Posts__2[[#This Row],[Likes]]+Posts__2[[#This Row],[Comments]]+Posts__2[[#This Row],[Shares]] ) / Posts__2[[#This Row],[Impressions]]</f>
        <v>0.10461100954702417</v>
      </c>
    </row>
    <row r="130" spans="1:14" x14ac:dyDescent="0.3">
      <c r="A130" t="s">
        <v>178</v>
      </c>
      <c r="B130" t="s">
        <v>8</v>
      </c>
      <c r="C130" s="4">
        <v>45839</v>
      </c>
      <c r="D130" t="s">
        <v>13</v>
      </c>
      <c r="E130" t="s">
        <v>36</v>
      </c>
      <c r="F130">
        <v>3219</v>
      </c>
      <c r="G130">
        <v>424</v>
      </c>
      <c r="H130">
        <v>267</v>
      </c>
      <c r="I130">
        <v>48879</v>
      </c>
      <c r="J130">
        <v>37691</v>
      </c>
      <c r="K130">
        <v>224</v>
      </c>
      <c r="L130" t="s">
        <v>51</v>
      </c>
      <c r="M130" t="s">
        <v>34</v>
      </c>
      <c r="N130">
        <f>(  Posts__2[[#This Row],[Likes]]+Posts__2[[#This Row],[Comments]]+Posts__2[[#This Row],[Shares]] ) / Posts__2[[#This Row],[Impressions]]</f>
        <v>7.9993453221219743E-2</v>
      </c>
    </row>
    <row r="131" spans="1:14" x14ac:dyDescent="0.3">
      <c r="A131" t="s">
        <v>179</v>
      </c>
      <c r="B131" t="s">
        <v>9</v>
      </c>
      <c r="C131" s="4">
        <v>45301</v>
      </c>
      <c r="D131" t="s">
        <v>15</v>
      </c>
      <c r="E131" t="s">
        <v>36</v>
      </c>
      <c r="F131">
        <v>1261</v>
      </c>
      <c r="G131">
        <v>190</v>
      </c>
      <c r="H131">
        <v>233</v>
      </c>
      <c r="I131">
        <v>59888</v>
      </c>
      <c r="J131">
        <v>51449</v>
      </c>
      <c r="K131">
        <v>205</v>
      </c>
      <c r="L131" t="s">
        <v>45</v>
      </c>
      <c r="M131" t="s">
        <v>37</v>
      </c>
      <c r="N131">
        <f>(  Posts__2[[#This Row],[Likes]]+Posts__2[[#This Row],[Comments]]+Posts__2[[#This Row],[Shares]] ) / Posts__2[[#This Row],[Impressions]]</f>
        <v>2.811915575741384E-2</v>
      </c>
    </row>
    <row r="132" spans="1:14" x14ac:dyDescent="0.3">
      <c r="A132" t="s">
        <v>180</v>
      </c>
      <c r="B132" t="s">
        <v>8</v>
      </c>
      <c r="C132" s="4">
        <v>45736</v>
      </c>
      <c r="D132" t="s">
        <v>15</v>
      </c>
      <c r="E132" t="s">
        <v>61</v>
      </c>
      <c r="F132">
        <v>1564</v>
      </c>
      <c r="G132">
        <v>362</v>
      </c>
      <c r="H132">
        <v>371</v>
      </c>
      <c r="I132">
        <v>42075</v>
      </c>
      <c r="J132">
        <v>66659</v>
      </c>
      <c r="K132">
        <v>205</v>
      </c>
      <c r="L132" t="s">
        <v>12</v>
      </c>
      <c r="M132" t="s">
        <v>37</v>
      </c>
      <c r="N132">
        <f>(  Posts__2[[#This Row],[Likes]]+Posts__2[[#This Row],[Comments]]+Posts__2[[#This Row],[Shares]] ) / Posts__2[[#This Row],[Impressions]]</f>
        <v>5.4592988710635768E-2</v>
      </c>
    </row>
    <row r="133" spans="1:14" x14ac:dyDescent="0.3">
      <c r="A133" t="s">
        <v>181</v>
      </c>
      <c r="B133" t="s">
        <v>8</v>
      </c>
      <c r="C133" s="4">
        <v>45563</v>
      </c>
      <c r="D133" t="s">
        <v>15</v>
      </c>
      <c r="E133" t="s">
        <v>47</v>
      </c>
      <c r="F133">
        <v>4006</v>
      </c>
      <c r="G133">
        <v>420</v>
      </c>
      <c r="H133">
        <v>194</v>
      </c>
      <c r="I133">
        <v>49964</v>
      </c>
      <c r="J133">
        <v>20685</v>
      </c>
      <c r="K133">
        <v>148</v>
      </c>
      <c r="L133" t="s">
        <v>5</v>
      </c>
      <c r="M133" t="s">
        <v>34</v>
      </c>
      <c r="N133">
        <f>(  Posts__2[[#This Row],[Likes]]+Posts__2[[#This Row],[Comments]]+Posts__2[[#This Row],[Shares]] ) / Posts__2[[#This Row],[Impressions]]</f>
        <v>9.2466575934672959E-2</v>
      </c>
    </row>
    <row r="134" spans="1:14" x14ac:dyDescent="0.3">
      <c r="A134" t="s">
        <v>182</v>
      </c>
      <c r="B134" t="s">
        <v>9</v>
      </c>
      <c r="C134" s="4">
        <v>45318</v>
      </c>
      <c r="D134" t="s">
        <v>15</v>
      </c>
      <c r="E134" t="s">
        <v>61</v>
      </c>
      <c r="F134">
        <v>1976</v>
      </c>
      <c r="G134">
        <v>262</v>
      </c>
      <c r="H134">
        <v>218</v>
      </c>
      <c r="I134">
        <v>51696</v>
      </c>
      <c r="J134">
        <v>44846</v>
      </c>
      <c r="K134">
        <v>139</v>
      </c>
      <c r="L134" t="s">
        <v>45</v>
      </c>
      <c r="M134" t="s">
        <v>37</v>
      </c>
      <c r="N134">
        <f>(  Posts__2[[#This Row],[Likes]]+Posts__2[[#This Row],[Comments]]+Posts__2[[#This Row],[Shares]] ) / Posts__2[[#This Row],[Impressions]]</f>
        <v>4.7508511296812134E-2</v>
      </c>
    </row>
    <row r="135" spans="1:14" x14ac:dyDescent="0.3">
      <c r="A135" t="s">
        <v>183</v>
      </c>
      <c r="B135" t="s">
        <v>8</v>
      </c>
      <c r="C135" s="4">
        <v>45792</v>
      </c>
      <c r="D135" t="s">
        <v>15</v>
      </c>
      <c r="E135" t="s">
        <v>39</v>
      </c>
      <c r="F135">
        <v>1583</v>
      </c>
      <c r="G135">
        <v>433</v>
      </c>
      <c r="H135">
        <v>249</v>
      </c>
      <c r="I135">
        <v>30256</v>
      </c>
      <c r="J135">
        <v>47066</v>
      </c>
      <c r="K135">
        <v>196</v>
      </c>
      <c r="L135" t="s">
        <v>5</v>
      </c>
      <c r="M135" t="s">
        <v>34</v>
      </c>
      <c r="N135">
        <f>(  Posts__2[[#This Row],[Likes]]+Posts__2[[#This Row],[Comments]]+Posts__2[[#This Row],[Shares]] ) / Posts__2[[#This Row],[Impressions]]</f>
        <v>7.4861184558434685E-2</v>
      </c>
    </row>
    <row r="136" spans="1:14" x14ac:dyDescent="0.3">
      <c r="A136" t="s">
        <v>184</v>
      </c>
      <c r="B136" t="s">
        <v>8</v>
      </c>
      <c r="C136" s="4">
        <v>45569</v>
      </c>
      <c r="D136" t="s">
        <v>13</v>
      </c>
      <c r="E136" t="s">
        <v>36</v>
      </c>
      <c r="F136">
        <v>2870</v>
      </c>
      <c r="G136">
        <v>380</v>
      </c>
      <c r="H136">
        <v>393</v>
      </c>
      <c r="I136">
        <v>37621</v>
      </c>
      <c r="J136">
        <v>71794</v>
      </c>
      <c r="K136">
        <v>127</v>
      </c>
      <c r="L136" t="s">
        <v>40</v>
      </c>
      <c r="M136" t="s">
        <v>34</v>
      </c>
      <c r="N136">
        <f>(  Posts__2[[#This Row],[Likes]]+Posts__2[[#This Row],[Comments]]+Posts__2[[#This Row],[Shares]] ) / Posts__2[[#This Row],[Impressions]]</f>
        <v>9.6834214933149046E-2</v>
      </c>
    </row>
    <row r="137" spans="1:14" x14ac:dyDescent="0.3">
      <c r="A137" t="s">
        <v>185</v>
      </c>
      <c r="B137" t="s">
        <v>8</v>
      </c>
      <c r="C137" s="4">
        <v>45615</v>
      </c>
      <c r="D137" t="s">
        <v>15</v>
      </c>
      <c r="E137" t="s">
        <v>53</v>
      </c>
      <c r="F137">
        <v>3728</v>
      </c>
      <c r="G137">
        <v>271</v>
      </c>
      <c r="H137">
        <v>275</v>
      </c>
      <c r="I137">
        <v>22827</v>
      </c>
      <c r="J137">
        <v>37034</v>
      </c>
      <c r="K137">
        <v>199</v>
      </c>
      <c r="L137" t="s">
        <v>5</v>
      </c>
      <c r="M137" t="s">
        <v>34</v>
      </c>
      <c r="N137">
        <f>(  Posts__2[[#This Row],[Likes]]+Posts__2[[#This Row],[Comments]]+Posts__2[[#This Row],[Shares]] ) / Posts__2[[#This Row],[Impressions]]</f>
        <v>0.18723441538528934</v>
      </c>
    </row>
    <row r="138" spans="1:14" x14ac:dyDescent="0.3">
      <c r="A138" t="s">
        <v>186</v>
      </c>
      <c r="B138" t="s">
        <v>8</v>
      </c>
      <c r="C138" s="4">
        <v>45387</v>
      </c>
      <c r="D138" t="s">
        <v>13</v>
      </c>
      <c r="E138" t="s">
        <v>39</v>
      </c>
      <c r="F138">
        <v>4965</v>
      </c>
      <c r="G138">
        <v>175</v>
      </c>
      <c r="H138">
        <v>307</v>
      </c>
      <c r="I138">
        <v>32793</v>
      </c>
      <c r="J138">
        <v>43412</v>
      </c>
      <c r="K138">
        <v>296</v>
      </c>
      <c r="L138" t="s">
        <v>33</v>
      </c>
      <c r="M138" t="s">
        <v>34</v>
      </c>
      <c r="N138">
        <f>(  Posts__2[[#This Row],[Likes]]+Posts__2[[#This Row],[Comments]]+Posts__2[[#This Row],[Shares]] ) / Posts__2[[#This Row],[Impressions]]</f>
        <v>0.16610252187966945</v>
      </c>
    </row>
    <row r="139" spans="1:14" x14ac:dyDescent="0.3">
      <c r="A139" t="s">
        <v>187</v>
      </c>
      <c r="B139" t="s">
        <v>8</v>
      </c>
      <c r="C139" s="4">
        <v>45624</v>
      </c>
      <c r="D139" t="s">
        <v>13</v>
      </c>
      <c r="E139" t="s">
        <v>39</v>
      </c>
      <c r="F139">
        <v>1131</v>
      </c>
      <c r="G139">
        <v>100</v>
      </c>
      <c r="H139">
        <v>116</v>
      </c>
      <c r="I139">
        <v>48437</v>
      </c>
      <c r="J139">
        <v>72704</v>
      </c>
      <c r="K139">
        <v>236</v>
      </c>
      <c r="L139" t="s">
        <v>51</v>
      </c>
      <c r="M139" t="s">
        <v>34</v>
      </c>
      <c r="N139">
        <f>(  Posts__2[[#This Row],[Likes]]+Posts__2[[#This Row],[Comments]]+Posts__2[[#This Row],[Shares]] ) / Posts__2[[#This Row],[Impressions]]</f>
        <v>2.7809319322005904E-2</v>
      </c>
    </row>
    <row r="140" spans="1:14" x14ac:dyDescent="0.3">
      <c r="A140" t="s">
        <v>188</v>
      </c>
      <c r="B140" t="s">
        <v>8</v>
      </c>
      <c r="C140" s="4">
        <v>45725</v>
      </c>
      <c r="D140" t="s">
        <v>15</v>
      </c>
      <c r="E140" t="s">
        <v>61</v>
      </c>
      <c r="F140">
        <v>2754</v>
      </c>
      <c r="G140">
        <v>215</v>
      </c>
      <c r="H140">
        <v>264</v>
      </c>
      <c r="I140">
        <v>27762</v>
      </c>
      <c r="J140">
        <v>70203</v>
      </c>
      <c r="K140">
        <v>289</v>
      </c>
      <c r="L140" t="s">
        <v>5</v>
      </c>
      <c r="M140" t="s">
        <v>34</v>
      </c>
      <c r="N140">
        <f>(  Posts__2[[#This Row],[Likes]]+Posts__2[[#This Row],[Comments]]+Posts__2[[#This Row],[Shares]] ) / Posts__2[[#This Row],[Impressions]]</f>
        <v>0.11645414595490239</v>
      </c>
    </row>
    <row r="141" spans="1:14" x14ac:dyDescent="0.3">
      <c r="A141" t="s">
        <v>189</v>
      </c>
      <c r="B141" t="s">
        <v>8</v>
      </c>
      <c r="C141" s="4">
        <v>45531</v>
      </c>
      <c r="D141" t="s">
        <v>13</v>
      </c>
      <c r="E141" t="s">
        <v>39</v>
      </c>
      <c r="F141">
        <v>1856</v>
      </c>
      <c r="G141">
        <v>357</v>
      </c>
      <c r="H141">
        <v>348</v>
      </c>
      <c r="I141">
        <v>29428</v>
      </c>
      <c r="J141">
        <v>70206</v>
      </c>
      <c r="K141">
        <v>236</v>
      </c>
      <c r="L141" t="s">
        <v>40</v>
      </c>
      <c r="M141" t="s">
        <v>34</v>
      </c>
      <c r="N141">
        <f>(  Posts__2[[#This Row],[Likes]]+Posts__2[[#This Row],[Comments]]+Posts__2[[#This Row],[Shares]] ) / Posts__2[[#This Row],[Impressions]]</f>
        <v>8.702596166915863E-2</v>
      </c>
    </row>
    <row r="142" spans="1:14" x14ac:dyDescent="0.3">
      <c r="A142" t="s">
        <v>190</v>
      </c>
      <c r="B142" t="s">
        <v>9</v>
      </c>
      <c r="C142" s="4">
        <v>45566</v>
      </c>
      <c r="D142" t="s">
        <v>11</v>
      </c>
      <c r="E142" t="s">
        <v>36</v>
      </c>
      <c r="F142">
        <v>3543</v>
      </c>
      <c r="G142">
        <v>334</v>
      </c>
      <c r="H142">
        <v>218</v>
      </c>
      <c r="I142">
        <v>58007</v>
      </c>
      <c r="J142">
        <v>24792</v>
      </c>
      <c r="K142">
        <v>273</v>
      </c>
      <c r="L142" t="s">
        <v>67</v>
      </c>
      <c r="M142" t="s">
        <v>68</v>
      </c>
      <c r="N142">
        <f>(  Posts__2[[#This Row],[Likes]]+Posts__2[[#This Row],[Comments]]+Posts__2[[#This Row],[Shares]] ) / Posts__2[[#This Row],[Impressions]]</f>
        <v>7.0594928198320889E-2</v>
      </c>
    </row>
    <row r="143" spans="1:14" x14ac:dyDescent="0.3">
      <c r="A143" t="s">
        <v>191</v>
      </c>
      <c r="B143" t="s">
        <v>7</v>
      </c>
      <c r="C143" s="4">
        <v>45647</v>
      </c>
      <c r="D143" t="s">
        <v>13</v>
      </c>
      <c r="E143" t="s">
        <v>39</v>
      </c>
      <c r="F143">
        <v>4563</v>
      </c>
      <c r="G143">
        <v>398</v>
      </c>
      <c r="H143">
        <v>163</v>
      </c>
      <c r="I143">
        <v>43679</v>
      </c>
      <c r="J143">
        <v>48760</v>
      </c>
      <c r="K143">
        <v>92</v>
      </c>
      <c r="L143" t="s">
        <v>5</v>
      </c>
      <c r="M143" t="s">
        <v>65</v>
      </c>
      <c r="N143">
        <f>(  Posts__2[[#This Row],[Likes]]+Posts__2[[#This Row],[Comments]]+Posts__2[[#This Row],[Shares]] ) / Posts__2[[#This Row],[Impressions]]</f>
        <v>0.11731037798484398</v>
      </c>
    </row>
    <row r="144" spans="1:14" x14ac:dyDescent="0.3">
      <c r="A144" t="s">
        <v>192</v>
      </c>
      <c r="B144" t="s">
        <v>7</v>
      </c>
      <c r="C144" s="4">
        <v>45460</v>
      </c>
      <c r="D144" t="s">
        <v>15</v>
      </c>
      <c r="E144" t="s">
        <v>32</v>
      </c>
      <c r="F144">
        <v>4283</v>
      </c>
      <c r="G144">
        <v>471</v>
      </c>
      <c r="H144">
        <v>156</v>
      </c>
      <c r="I144">
        <v>53004</v>
      </c>
      <c r="J144">
        <v>25678</v>
      </c>
      <c r="K144">
        <v>105</v>
      </c>
      <c r="L144" t="s">
        <v>10</v>
      </c>
      <c r="M144" t="s">
        <v>37</v>
      </c>
      <c r="N144">
        <f>(  Posts__2[[#This Row],[Likes]]+Posts__2[[#This Row],[Comments]]+Posts__2[[#This Row],[Shares]] ) / Posts__2[[#This Row],[Impressions]]</f>
        <v>9.2634518149573616E-2</v>
      </c>
    </row>
    <row r="145" spans="1:14" x14ac:dyDescent="0.3">
      <c r="A145" t="s">
        <v>193</v>
      </c>
      <c r="B145" t="s">
        <v>7</v>
      </c>
      <c r="C145" s="4">
        <v>45702</v>
      </c>
      <c r="D145" t="s">
        <v>15</v>
      </c>
      <c r="E145" t="s">
        <v>32</v>
      </c>
      <c r="F145">
        <v>2329</v>
      </c>
      <c r="G145">
        <v>373</v>
      </c>
      <c r="H145">
        <v>291</v>
      </c>
      <c r="I145">
        <v>49577</v>
      </c>
      <c r="J145">
        <v>28002</v>
      </c>
      <c r="K145">
        <v>82</v>
      </c>
      <c r="L145" t="s">
        <v>33</v>
      </c>
      <c r="M145" t="s">
        <v>34</v>
      </c>
      <c r="N145">
        <f>(  Posts__2[[#This Row],[Likes]]+Posts__2[[#This Row],[Comments]]+Posts__2[[#This Row],[Shares]] ) / Posts__2[[#This Row],[Impressions]]</f>
        <v>6.0370736430199488E-2</v>
      </c>
    </row>
    <row r="146" spans="1:14" x14ac:dyDescent="0.3">
      <c r="A146" t="s">
        <v>194</v>
      </c>
      <c r="B146" t="s">
        <v>8</v>
      </c>
      <c r="C146" s="4">
        <v>45805</v>
      </c>
      <c r="D146" t="s">
        <v>13</v>
      </c>
      <c r="E146" t="s">
        <v>53</v>
      </c>
      <c r="F146">
        <v>4287</v>
      </c>
      <c r="G146">
        <v>273</v>
      </c>
      <c r="H146">
        <v>122</v>
      </c>
      <c r="I146">
        <v>40792</v>
      </c>
      <c r="J146">
        <v>23878</v>
      </c>
      <c r="K146">
        <v>277</v>
      </c>
      <c r="L146" t="s">
        <v>40</v>
      </c>
      <c r="M146" t="s">
        <v>34</v>
      </c>
      <c r="N146">
        <f>(  Posts__2[[#This Row],[Likes]]+Posts__2[[#This Row],[Comments]]+Posts__2[[#This Row],[Shares]] ) / Posts__2[[#This Row],[Impressions]]</f>
        <v>0.11477740733477153</v>
      </c>
    </row>
    <row r="147" spans="1:14" x14ac:dyDescent="0.3">
      <c r="A147" t="s">
        <v>195</v>
      </c>
      <c r="B147" t="s">
        <v>7</v>
      </c>
      <c r="C147" s="4">
        <v>45799</v>
      </c>
      <c r="D147" t="s">
        <v>15</v>
      </c>
      <c r="E147" t="s">
        <v>32</v>
      </c>
      <c r="F147">
        <v>2633</v>
      </c>
      <c r="G147">
        <v>318</v>
      </c>
      <c r="H147">
        <v>380</v>
      </c>
      <c r="I147">
        <v>40869</v>
      </c>
      <c r="J147">
        <v>64474</v>
      </c>
      <c r="K147">
        <v>245</v>
      </c>
      <c r="L147" t="s">
        <v>10</v>
      </c>
      <c r="M147" t="s">
        <v>37</v>
      </c>
      <c r="N147">
        <f>(  Posts__2[[#This Row],[Likes]]+Posts__2[[#This Row],[Comments]]+Posts__2[[#This Row],[Shares]] ) / Posts__2[[#This Row],[Impressions]]</f>
        <v>8.1504318676747664E-2</v>
      </c>
    </row>
    <row r="148" spans="1:14" x14ac:dyDescent="0.3">
      <c r="A148" t="s">
        <v>196</v>
      </c>
      <c r="B148" t="s">
        <v>8</v>
      </c>
      <c r="C148" s="4">
        <v>45312</v>
      </c>
      <c r="D148" t="s">
        <v>13</v>
      </c>
      <c r="E148" t="s">
        <v>32</v>
      </c>
      <c r="F148">
        <v>2383</v>
      </c>
      <c r="G148">
        <v>136</v>
      </c>
      <c r="H148">
        <v>302</v>
      </c>
      <c r="I148">
        <v>39187</v>
      </c>
      <c r="J148">
        <v>22133</v>
      </c>
      <c r="K148">
        <v>208</v>
      </c>
      <c r="L148" t="s">
        <v>40</v>
      </c>
      <c r="M148" t="s">
        <v>34</v>
      </c>
      <c r="N148">
        <f>(  Posts__2[[#This Row],[Likes]]+Posts__2[[#This Row],[Comments]]+Posts__2[[#This Row],[Shares]] ) / Posts__2[[#This Row],[Impressions]]</f>
        <v>7.1988159338556151E-2</v>
      </c>
    </row>
    <row r="149" spans="1:14" x14ac:dyDescent="0.3">
      <c r="A149" t="s">
        <v>197</v>
      </c>
      <c r="B149" t="s">
        <v>8</v>
      </c>
      <c r="C149" s="4">
        <v>45696</v>
      </c>
      <c r="D149" t="s">
        <v>13</v>
      </c>
      <c r="E149" t="s">
        <v>61</v>
      </c>
      <c r="F149">
        <v>4752</v>
      </c>
      <c r="G149">
        <v>334</v>
      </c>
      <c r="H149">
        <v>56</v>
      </c>
      <c r="I149">
        <v>48017</v>
      </c>
      <c r="J149">
        <v>55534</v>
      </c>
      <c r="K149">
        <v>270</v>
      </c>
      <c r="L149" t="s">
        <v>51</v>
      </c>
      <c r="M149" t="s">
        <v>34</v>
      </c>
      <c r="N149">
        <f>(  Posts__2[[#This Row],[Likes]]+Posts__2[[#This Row],[Comments]]+Posts__2[[#This Row],[Shares]] ) / Posts__2[[#This Row],[Impressions]]</f>
        <v>0.10708707332819627</v>
      </c>
    </row>
    <row r="150" spans="1:14" x14ac:dyDescent="0.3">
      <c r="A150" t="s">
        <v>198</v>
      </c>
      <c r="B150" t="s">
        <v>8</v>
      </c>
      <c r="C150" s="4">
        <v>45760</v>
      </c>
      <c r="D150" t="s">
        <v>15</v>
      </c>
      <c r="E150" t="s">
        <v>59</v>
      </c>
      <c r="F150">
        <v>3890</v>
      </c>
      <c r="G150">
        <v>408</v>
      </c>
      <c r="H150">
        <v>338</v>
      </c>
      <c r="I150">
        <v>56994</v>
      </c>
      <c r="J150">
        <v>32621</v>
      </c>
      <c r="K150">
        <v>286</v>
      </c>
      <c r="L150" t="s">
        <v>12</v>
      </c>
      <c r="M150" t="s">
        <v>37</v>
      </c>
      <c r="N150">
        <f>(  Posts__2[[#This Row],[Likes]]+Posts__2[[#This Row],[Comments]]+Posts__2[[#This Row],[Shares]] ) / Posts__2[[#This Row],[Impressions]]</f>
        <v>8.1341895638137346E-2</v>
      </c>
    </row>
    <row r="151" spans="1:14" x14ac:dyDescent="0.3">
      <c r="A151" t="s">
        <v>199</v>
      </c>
      <c r="B151" t="s">
        <v>8</v>
      </c>
      <c r="C151" s="4">
        <v>45442</v>
      </c>
      <c r="D151" t="s">
        <v>13</v>
      </c>
      <c r="E151" t="s">
        <v>61</v>
      </c>
      <c r="F151">
        <v>2311</v>
      </c>
      <c r="G151">
        <v>207</v>
      </c>
      <c r="H151">
        <v>363</v>
      </c>
      <c r="I151">
        <v>30349</v>
      </c>
      <c r="J151">
        <v>32925</v>
      </c>
      <c r="K151">
        <v>88</v>
      </c>
      <c r="L151" t="s">
        <v>40</v>
      </c>
      <c r="M151" t="s">
        <v>34</v>
      </c>
      <c r="N151">
        <f>(  Posts__2[[#This Row],[Likes]]+Posts__2[[#This Row],[Comments]]+Posts__2[[#This Row],[Shares]] ) / Posts__2[[#This Row],[Impressions]]</f>
        <v>9.4928992718046723E-2</v>
      </c>
    </row>
    <row r="152" spans="1:14" x14ac:dyDescent="0.3">
      <c r="A152" t="s">
        <v>200</v>
      </c>
      <c r="B152" t="s">
        <v>7</v>
      </c>
      <c r="C152" s="4">
        <v>45516</v>
      </c>
      <c r="D152" t="s">
        <v>13</v>
      </c>
      <c r="E152" t="s">
        <v>32</v>
      </c>
      <c r="F152">
        <v>2962</v>
      </c>
      <c r="G152">
        <v>400</v>
      </c>
      <c r="H152">
        <v>280</v>
      </c>
      <c r="I152">
        <v>52508</v>
      </c>
      <c r="J152">
        <v>58329</v>
      </c>
      <c r="K152">
        <v>219</v>
      </c>
      <c r="L152" t="s">
        <v>5</v>
      </c>
      <c r="M152" t="s">
        <v>65</v>
      </c>
      <c r="N152">
        <f>(  Posts__2[[#This Row],[Likes]]+Posts__2[[#This Row],[Comments]]+Posts__2[[#This Row],[Shares]] ) / Posts__2[[#This Row],[Impressions]]</f>
        <v>6.9360859297630834E-2</v>
      </c>
    </row>
    <row r="153" spans="1:14" x14ac:dyDescent="0.3">
      <c r="A153" t="s">
        <v>201</v>
      </c>
      <c r="B153" t="s">
        <v>7</v>
      </c>
      <c r="C153" s="4">
        <v>45562</v>
      </c>
      <c r="D153" t="s">
        <v>15</v>
      </c>
      <c r="E153" t="s">
        <v>32</v>
      </c>
      <c r="F153">
        <v>3118</v>
      </c>
      <c r="G153">
        <v>116</v>
      </c>
      <c r="H153">
        <v>195</v>
      </c>
      <c r="I153">
        <v>37100</v>
      </c>
      <c r="J153">
        <v>62629</v>
      </c>
      <c r="K153">
        <v>272</v>
      </c>
      <c r="L153" t="s">
        <v>10</v>
      </c>
      <c r="M153" t="s">
        <v>37</v>
      </c>
      <c r="N153">
        <f>(  Posts__2[[#This Row],[Likes]]+Posts__2[[#This Row],[Comments]]+Posts__2[[#This Row],[Shares]] ) / Posts__2[[#This Row],[Impressions]]</f>
        <v>9.2425876010781671E-2</v>
      </c>
    </row>
    <row r="154" spans="1:14" x14ac:dyDescent="0.3">
      <c r="A154" t="s">
        <v>202</v>
      </c>
      <c r="B154" t="s">
        <v>8</v>
      </c>
      <c r="C154" s="4">
        <v>45819</v>
      </c>
      <c r="D154" t="s">
        <v>13</v>
      </c>
      <c r="E154" t="s">
        <v>36</v>
      </c>
      <c r="F154">
        <v>3805</v>
      </c>
      <c r="G154">
        <v>453</v>
      </c>
      <c r="H154">
        <v>63</v>
      </c>
      <c r="I154">
        <v>52395</v>
      </c>
      <c r="J154">
        <v>72934</v>
      </c>
      <c r="K154">
        <v>87</v>
      </c>
      <c r="L154" t="s">
        <v>51</v>
      </c>
      <c r="M154" t="s">
        <v>34</v>
      </c>
      <c r="N154">
        <f>(  Posts__2[[#This Row],[Likes]]+Posts__2[[#This Row],[Comments]]+Posts__2[[#This Row],[Shares]] ) / Posts__2[[#This Row],[Impressions]]</f>
        <v>8.2469701307376658E-2</v>
      </c>
    </row>
    <row r="155" spans="1:14" x14ac:dyDescent="0.3">
      <c r="A155" t="s">
        <v>203</v>
      </c>
      <c r="B155" t="s">
        <v>7</v>
      </c>
      <c r="C155" s="4">
        <v>45615</v>
      </c>
      <c r="D155" t="s">
        <v>15</v>
      </c>
      <c r="E155" t="s">
        <v>47</v>
      </c>
      <c r="F155">
        <v>2525</v>
      </c>
      <c r="G155">
        <v>272</v>
      </c>
      <c r="H155">
        <v>294</v>
      </c>
      <c r="I155">
        <v>51875</v>
      </c>
      <c r="J155">
        <v>24732</v>
      </c>
      <c r="K155">
        <v>92</v>
      </c>
      <c r="L155" t="s">
        <v>10</v>
      </c>
      <c r="M155" t="s">
        <v>37</v>
      </c>
      <c r="N155">
        <f>(  Posts__2[[#This Row],[Likes]]+Posts__2[[#This Row],[Comments]]+Posts__2[[#This Row],[Shares]] ) / Posts__2[[#This Row],[Impressions]]</f>
        <v>5.9585542168674697E-2</v>
      </c>
    </row>
    <row r="156" spans="1:14" x14ac:dyDescent="0.3">
      <c r="A156" t="s">
        <v>204</v>
      </c>
      <c r="B156" t="s">
        <v>7</v>
      </c>
      <c r="C156" s="4">
        <v>45407</v>
      </c>
      <c r="D156" t="s">
        <v>15</v>
      </c>
      <c r="E156" t="s">
        <v>44</v>
      </c>
      <c r="F156">
        <v>3563</v>
      </c>
      <c r="G156">
        <v>483</v>
      </c>
      <c r="H156">
        <v>227</v>
      </c>
      <c r="I156">
        <v>41085</v>
      </c>
      <c r="J156">
        <v>26393</v>
      </c>
      <c r="K156">
        <v>236</v>
      </c>
      <c r="L156" t="s">
        <v>33</v>
      </c>
      <c r="M156" t="s">
        <v>34</v>
      </c>
      <c r="N156">
        <f>(  Posts__2[[#This Row],[Likes]]+Posts__2[[#This Row],[Comments]]+Posts__2[[#This Row],[Shares]] ) / Posts__2[[#This Row],[Impressions]]</f>
        <v>0.10400389436534015</v>
      </c>
    </row>
    <row r="157" spans="1:14" x14ac:dyDescent="0.3">
      <c r="A157" t="s">
        <v>205</v>
      </c>
      <c r="B157" t="s">
        <v>9</v>
      </c>
      <c r="C157" s="4">
        <v>45538</v>
      </c>
      <c r="D157" t="s">
        <v>11</v>
      </c>
      <c r="E157" t="s">
        <v>47</v>
      </c>
      <c r="F157">
        <v>1437</v>
      </c>
      <c r="G157">
        <v>494</v>
      </c>
      <c r="H157">
        <v>129</v>
      </c>
      <c r="I157">
        <v>53048</v>
      </c>
      <c r="J157">
        <v>44090</v>
      </c>
      <c r="K157">
        <v>230</v>
      </c>
      <c r="L157" t="s">
        <v>67</v>
      </c>
      <c r="M157" t="s">
        <v>68</v>
      </c>
      <c r="N157">
        <f>(  Posts__2[[#This Row],[Likes]]+Posts__2[[#This Row],[Comments]]+Posts__2[[#This Row],[Shares]] ) / Posts__2[[#This Row],[Impressions]]</f>
        <v>3.8832755240536872E-2</v>
      </c>
    </row>
    <row r="158" spans="1:14" x14ac:dyDescent="0.3">
      <c r="A158" t="s">
        <v>206</v>
      </c>
      <c r="B158" t="s">
        <v>9</v>
      </c>
      <c r="C158" s="4">
        <v>45718</v>
      </c>
      <c r="D158" t="s">
        <v>15</v>
      </c>
      <c r="E158" t="s">
        <v>59</v>
      </c>
      <c r="F158">
        <v>4425</v>
      </c>
      <c r="G158">
        <v>185</v>
      </c>
      <c r="H158">
        <v>162</v>
      </c>
      <c r="I158">
        <v>24610</v>
      </c>
      <c r="J158">
        <v>21342</v>
      </c>
      <c r="K158">
        <v>158</v>
      </c>
      <c r="L158" t="s">
        <v>45</v>
      </c>
      <c r="M158" t="s">
        <v>37</v>
      </c>
      <c r="N158">
        <f>(  Posts__2[[#This Row],[Likes]]+Posts__2[[#This Row],[Comments]]+Posts__2[[#This Row],[Shares]] ) / Posts__2[[#This Row],[Impressions]]</f>
        <v>0.19390491670052823</v>
      </c>
    </row>
    <row r="159" spans="1:14" x14ac:dyDescent="0.3">
      <c r="A159" t="s">
        <v>207</v>
      </c>
      <c r="B159" t="s">
        <v>8</v>
      </c>
      <c r="C159" s="4">
        <v>45737</v>
      </c>
      <c r="D159" t="s">
        <v>13</v>
      </c>
      <c r="E159" t="s">
        <v>39</v>
      </c>
      <c r="F159">
        <v>4609</v>
      </c>
      <c r="G159">
        <v>427</v>
      </c>
      <c r="H159">
        <v>395</v>
      </c>
      <c r="I159">
        <v>33698</v>
      </c>
      <c r="J159">
        <v>29259</v>
      </c>
      <c r="K159">
        <v>216</v>
      </c>
      <c r="L159" t="s">
        <v>51</v>
      </c>
      <c r="M159" t="s">
        <v>34</v>
      </c>
      <c r="N159">
        <f>(  Posts__2[[#This Row],[Likes]]+Posts__2[[#This Row],[Comments]]+Posts__2[[#This Row],[Shares]] ) / Posts__2[[#This Row],[Impressions]]</f>
        <v>0.16116683482699271</v>
      </c>
    </row>
    <row r="160" spans="1:14" x14ac:dyDescent="0.3">
      <c r="A160" t="s">
        <v>208</v>
      </c>
      <c r="B160" t="s">
        <v>7</v>
      </c>
      <c r="C160" s="4">
        <v>45394</v>
      </c>
      <c r="D160" t="s">
        <v>13</v>
      </c>
      <c r="E160" t="s">
        <v>49</v>
      </c>
      <c r="F160">
        <v>1558</v>
      </c>
      <c r="G160">
        <v>352</v>
      </c>
      <c r="H160">
        <v>202</v>
      </c>
      <c r="I160">
        <v>25405</v>
      </c>
      <c r="J160">
        <v>69941</v>
      </c>
      <c r="K160">
        <v>219</v>
      </c>
      <c r="L160" t="s">
        <v>5</v>
      </c>
      <c r="M160" t="s">
        <v>65</v>
      </c>
      <c r="N160">
        <f>(  Posts__2[[#This Row],[Likes]]+Posts__2[[#This Row],[Comments]]+Posts__2[[#This Row],[Shares]] ) / Posts__2[[#This Row],[Impressions]]</f>
        <v>8.3133241487896081E-2</v>
      </c>
    </row>
    <row r="161" spans="1:14" x14ac:dyDescent="0.3">
      <c r="A161" t="s">
        <v>209</v>
      </c>
      <c r="B161" t="s">
        <v>9</v>
      </c>
      <c r="C161" s="4">
        <v>45330</v>
      </c>
      <c r="D161" t="s">
        <v>11</v>
      </c>
      <c r="E161" t="s">
        <v>53</v>
      </c>
      <c r="F161">
        <v>1889</v>
      </c>
      <c r="G161">
        <v>298</v>
      </c>
      <c r="H161">
        <v>122</v>
      </c>
      <c r="I161">
        <v>46225</v>
      </c>
      <c r="J161">
        <v>74305</v>
      </c>
      <c r="K161">
        <v>293</v>
      </c>
      <c r="L161" t="s">
        <v>67</v>
      </c>
      <c r="M161" t="s">
        <v>68</v>
      </c>
      <c r="N161">
        <f>(  Posts__2[[#This Row],[Likes]]+Posts__2[[#This Row],[Comments]]+Posts__2[[#This Row],[Shares]] ) / Posts__2[[#This Row],[Impressions]]</f>
        <v>4.9951325040562468E-2</v>
      </c>
    </row>
    <row r="162" spans="1:14" x14ac:dyDescent="0.3">
      <c r="A162" t="s">
        <v>210</v>
      </c>
      <c r="B162" t="s">
        <v>7</v>
      </c>
      <c r="C162" s="4">
        <v>45803</v>
      </c>
      <c r="D162" t="s">
        <v>15</v>
      </c>
      <c r="E162" t="s">
        <v>32</v>
      </c>
      <c r="F162">
        <v>3086</v>
      </c>
      <c r="G162">
        <v>148</v>
      </c>
      <c r="H162">
        <v>310</v>
      </c>
      <c r="I162">
        <v>22824</v>
      </c>
      <c r="J162">
        <v>58103</v>
      </c>
      <c r="K162">
        <v>275</v>
      </c>
      <c r="L162" t="s">
        <v>10</v>
      </c>
      <c r="M162" t="s">
        <v>37</v>
      </c>
      <c r="N162">
        <f>(  Posts__2[[#This Row],[Likes]]+Posts__2[[#This Row],[Comments]]+Posts__2[[#This Row],[Shares]] ) / Posts__2[[#This Row],[Impressions]]</f>
        <v>0.1552751489660007</v>
      </c>
    </row>
    <row r="163" spans="1:14" x14ac:dyDescent="0.3">
      <c r="A163" t="s">
        <v>211</v>
      </c>
      <c r="B163" t="s">
        <v>7</v>
      </c>
      <c r="C163" s="4">
        <v>45610</v>
      </c>
      <c r="D163" t="s">
        <v>15</v>
      </c>
      <c r="E163" t="s">
        <v>44</v>
      </c>
      <c r="F163">
        <v>2422</v>
      </c>
      <c r="G163">
        <v>318</v>
      </c>
      <c r="H163">
        <v>118</v>
      </c>
      <c r="I163">
        <v>25386</v>
      </c>
      <c r="J163">
        <v>20873</v>
      </c>
      <c r="K163">
        <v>100</v>
      </c>
      <c r="L163" t="s">
        <v>33</v>
      </c>
      <c r="M163" t="s">
        <v>34</v>
      </c>
      <c r="N163">
        <f>(  Posts__2[[#This Row],[Likes]]+Posts__2[[#This Row],[Comments]]+Posts__2[[#This Row],[Shares]] ) / Posts__2[[#This Row],[Impressions]]</f>
        <v>0.11258173796580792</v>
      </c>
    </row>
    <row r="164" spans="1:14" x14ac:dyDescent="0.3">
      <c r="A164" t="s">
        <v>212</v>
      </c>
      <c r="B164" t="s">
        <v>9</v>
      </c>
      <c r="C164" s="4">
        <v>45513</v>
      </c>
      <c r="D164" t="s">
        <v>11</v>
      </c>
      <c r="E164" t="s">
        <v>59</v>
      </c>
      <c r="F164">
        <v>3414</v>
      </c>
      <c r="G164">
        <v>154</v>
      </c>
      <c r="H164">
        <v>204</v>
      </c>
      <c r="I164">
        <v>34146</v>
      </c>
      <c r="J164">
        <v>44633</v>
      </c>
      <c r="K164">
        <v>256</v>
      </c>
      <c r="L164" t="s">
        <v>67</v>
      </c>
      <c r="M164" t="s">
        <v>68</v>
      </c>
      <c r="N164">
        <f>(  Posts__2[[#This Row],[Likes]]+Posts__2[[#This Row],[Comments]]+Posts__2[[#This Row],[Shares]] ) / Posts__2[[#This Row],[Impressions]]</f>
        <v>0.11046681895390383</v>
      </c>
    </row>
    <row r="165" spans="1:14" x14ac:dyDescent="0.3">
      <c r="A165" t="s">
        <v>213</v>
      </c>
      <c r="B165" t="s">
        <v>7</v>
      </c>
      <c r="C165" s="4">
        <v>45835</v>
      </c>
      <c r="D165" t="s">
        <v>13</v>
      </c>
      <c r="E165" t="s">
        <v>47</v>
      </c>
      <c r="F165">
        <v>1342</v>
      </c>
      <c r="G165">
        <v>332</v>
      </c>
      <c r="H165">
        <v>163</v>
      </c>
      <c r="I165">
        <v>51712</v>
      </c>
      <c r="J165">
        <v>57922</v>
      </c>
      <c r="K165">
        <v>168</v>
      </c>
      <c r="L165" t="s">
        <v>5</v>
      </c>
      <c r="M165" t="s">
        <v>65</v>
      </c>
      <c r="N165">
        <f>(  Posts__2[[#This Row],[Likes]]+Posts__2[[#This Row],[Comments]]+Posts__2[[#This Row],[Shares]] ) / Posts__2[[#This Row],[Impressions]]</f>
        <v>3.5523669554455448E-2</v>
      </c>
    </row>
    <row r="166" spans="1:14" x14ac:dyDescent="0.3">
      <c r="A166" t="s">
        <v>214</v>
      </c>
      <c r="B166" t="s">
        <v>7</v>
      </c>
      <c r="C166" s="4">
        <v>45420</v>
      </c>
      <c r="D166" t="s">
        <v>13</v>
      </c>
      <c r="E166" t="s">
        <v>44</v>
      </c>
      <c r="F166">
        <v>2414</v>
      </c>
      <c r="G166">
        <v>220</v>
      </c>
      <c r="H166">
        <v>280</v>
      </c>
      <c r="I166">
        <v>27355</v>
      </c>
      <c r="J166">
        <v>50562</v>
      </c>
      <c r="K166">
        <v>258</v>
      </c>
      <c r="L166" t="s">
        <v>5</v>
      </c>
      <c r="M166" t="s">
        <v>65</v>
      </c>
      <c r="N166">
        <f>(  Posts__2[[#This Row],[Likes]]+Posts__2[[#This Row],[Comments]]+Posts__2[[#This Row],[Shares]] ) / Posts__2[[#This Row],[Impressions]]</f>
        <v>0.10652531529884847</v>
      </c>
    </row>
    <row r="167" spans="1:14" x14ac:dyDescent="0.3">
      <c r="A167" t="s">
        <v>215</v>
      </c>
      <c r="B167" t="s">
        <v>7</v>
      </c>
      <c r="C167" s="4">
        <v>45387</v>
      </c>
      <c r="D167" t="s">
        <v>15</v>
      </c>
      <c r="E167" t="s">
        <v>39</v>
      </c>
      <c r="F167">
        <v>4383</v>
      </c>
      <c r="G167">
        <v>352</v>
      </c>
      <c r="H167">
        <v>176</v>
      </c>
      <c r="I167">
        <v>53239</v>
      </c>
      <c r="J167">
        <v>34168</v>
      </c>
      <c r="K167">
        <v>288</v>
      </c>
      <c r="L167" t="s">
        <v>10</v>
      </c>
      <c r="M167" t="s">
        <v>37</v>
      </c>
      <c r="N167">
        <f>(  Posts__2[[#This Row],[Likes]]+Posts__2[[#This Row],[Comments]]+Posts__2[[#This Row],[Shares]] ) / Posts__2[[#This Row],[Impressions]]</f>
        <v>9.2244407295403744E-2</v>
      </c>
    </row>
    <row r="168" spans="1:14" x14ac:dyDescent="0.3">
      <c r="A168" t="s">
        <v>216</v>
      </c>
      <c r="B168" t="s">
        <v>9</v>
      </c>
      <c r="C168" s="4">
        <v>45684</v>
      </c>
      <c r="D168" t="s">
        <v>15</v>
      </c>
      <c r="E168" t="s">
        <v>42</v>
      </c>
      <c r="F168">
        <v>4294</v>
      </c>
      <c r="G168">
        <v>423</v>
      </c>
      <c r="H168">
        <v>93</v>
      </c>
      <c r="I168">
        <v>29828</v>
      </c>
      <c r="J168">
        <v>73144</v>
      </c>
      <c r="K168">
        <v>298</v>
      </c>
      <c r="L168" t="s">
        <v>45</v>
      </c>
      <c r="M168" t="s">
        <v>37</v>
      </c>
      <c r="N168">
        <f>(  Posts__2[[#This Row],[Likes]]+Posts__2[[#This Row],[Comments]]+Posts__2[[#This Row],[Shares]] ) / Posts__2[[#This Row],[Impressions]]</f>
        <v>0.1612578785034196</v>
      </c>
    </row>
    <row r="169" spans="1:14" x14ac:dyDescent="0.3">
      <c r="A169" t="s">
        <v>217</v>
      </c>
      <c r="B169" t="s">
        <v>7</v>
      </c>
      <c r="C169" s="4">
        <v>45385</v>
      </c>
      <c r="D169" t="s">
        <v>15</v>
      </c>
      <c r="E169" t="s">
        <v>53</v>
      </c>
      <c r="F169">
        <v>2762</v>
      </c>
      <c r="G169">
        <v>339</v>
      </c>
      <c r="H169">
        <v>323</v>
      </c>
      <c r="I169">
        <v>33757</v>
      </c>
      <c r="J169">
        <v>68511</v>
      </c>
      <c r="K169">
        <v>121</v>
      </c>
      <c r="L169" t="s">
        <v>33</v>
      </c>
      <c r="M169" t="s">
        <v>34</v>
      </c>
      <c r="N169">
        <f>(  Posts__2[[#This Row],[Likes]]+Posts__2[[#This Row],[Comments]]+Posts__2[[#This Row],[Shares]] ) / Posts__2[[#This Row],[Impressions]]</f>
        <v>0.10143081434961637</v>
      </c>
    </row>
    <row r="170" spans="1:14" x14ac:dyDescent="0.3">
      <c r="A170" t="s">
        <v>218</v>
      </c>
      <c r="B170" t="s">
        <v>9</v>
      </c>
      <c r="C170" s="4">
        <v>45660</v>
      </c>
      <c r="D170" t="s">
        <v>15</v>
      </c>
      <c r="E170" t="s">
        <v>39</v>
      </c>
      <c r="F170">
        <v>3782</v>
      </c>
      <c r="G170">
        <v>484</v>
      </c>
      <c r="H170">
        <v>144</v>
      </c>
      <c r="I170">
        <v>52172</v>
      </c>
      <c r="J170">
        <v>59386</v>
      </c>
      <c r="K170">
        <v>175</v>
      </c>
      <c r="L170" t="s">
        <v>45</v>
      </c>
      <c r="M170" t="s">
        <v>37</v>
      </c>
      <c r="N170">
        <f>(  Posts__2[[#This Row],[Likes]]+Posts__2[[#This Row],[Comments]]+Posts__2[[#This Row],[Shares]] ) / Posts__2[[#This Row],[Impressions]]</f>
        <v>8.4528099363643333E-2</v>
      </c>
    </row>
    <row r="171" spans="1:14" x14ac:dyDescent="0.3">
      <c r="A171" t="s">
        <v>219</v>
      </c>
      <c r="B171" t="s">
        <v>8</v>
      </c>
      <c r="C171" s="4">
        <v>45619</v>
      </c>
      <c r="D171" t="s">
        <v>15</v>
      </c>
      <c r="E171" t="s">
        <v>39</v>
      </c>
      <c r="F171">
        <v>4318</v>
      </c>
      <c r="G171">
        <v>371</v>
      </c>
      <c r="H171">
        <v>329</v>
      </c>
      <c r="I171">
        <v>32347</v>
      </c>
      <c r="J171">
        <v>68956</v>
      </c>
      <c r="K171">
        <v>259</v>
      </c>
      <c r="L171" t="s">
        <v>12</v>
      </c>
      <c r="M171" t="s">
        <v>37</v>
      </c>
      <c r="N171">
        <f>(  Posts__2[[#This Row],[Likes]]+Posts__2[[#This Row],[Comments]]+Posts__2[[#This Row],[Shares]] ) / Posts__2[[#This Row],[Impressions]]</f>
        <v>0.15513030574705536</v>
      </c>
    </row>
    <row r="172" spans="1:14" x14ac:dyDescent="0.3">
      <c r="A172" t="s">
        <v>220</v>
      </c>
      <c r="B172" t="s">
        <v>7</v>
      </c>
      <c r="C172" s="4">
        <v>45536</v>
      </c>
      <c r="D172" t="s">
        <v>13</v>
      </c>
      <c r="E172" t="s">
        <v>42</v>
      </c>
      <c r="F172">
        <v>2335</v>
      </c>
      <c r="G172">
        <v>150</v>
      </c>
      <c r="H172">
        <v>75</v>
      </c>
      <c r="I172">
        <v>26114</v>
      </c>
      <c r="J172">
        <v>57549</v>
      </c>
      <c r="K172">
        <v>135</v>
      </c>
      <c r="L172" t="s">
        <v>5</v>
      </c>
      <c r="M172" t="s">
        <v>65</v>
      </c>
      <c r="N172">
        <f>(  Posts__2[[#This Row],[Likes]]+Posts__2[[#This Row],[Comments]]+Posts__2[[#This Row],[Shares]] ) / Posts__2[[#This Row],[Impressions]]</f>
        <v>9.8031707130274953E-2</v>
      </c>
    </row>
    <row r="173" spans="1:14" x14ac:dyDescent="0.3">
      <c r="A173" t="s">
        <v>221</v>
      </c>
      <c r="B173" t="s">
        <v>9</v>
      </c>
      <c r="C173" s="4">
        <v>45400</v>
      </c>
      <c r="D173" t="s">
        <v>15</v>
      </c>
      <c r="E173" t="s">
        <v>36</v>
      </c>
      <c r="F173">
        <v>4023</v>
      </c>
      <c r="G173">
        <v>293</v>
      </c>
      <c r="H173">
        <v>91</v>
      </c>
      <c r="I173">
        <v>26795</v>
      </c>
      <c r="J173">
        <v>28924</v>
      </c>
      <c r="K173">
        <v>278</v>
      </c>
      <c r="L173" t="s">
        <v>45</v>
      </c>
      <c r="M173" t="s">
        <v>37</v>
      </c>
      <c r="N173">
        <f>(  Posts__2[[#This Row],[Likes]]+Posts__2[[#This Row],[Comments]]+Posts__2[[#This Row],[Shares]] ) / Posts__2[[#This Row],[Impressions]]</f>
        <v>0.16447098339242397</v>
      </c>
    </row>
    <row r="174" spans="1:14" x14ac:dyDescent="0.3">
      <c r="A174" t="s">
        <v>222</v>
      </c>
      <c r="B174" t="s">
        <v>7</v>
      </c>
      <c r="C174" s="4">
        <v>45447</v>
      </c>
      <c r="D174" t="s">
        <v>15</v>
      </c>
      <c r="E174" t="s">
        <v>49</v>
      </c>
      <c r="F174">
        <v>3948</v>
      </c>
      <c r="G174">
        <v>151</v>
      </c>
      <c r="H174">
        <v>249</v>
      </c>
      <c r="I174">
        <v>43147</v>
      </c>
      <c r="J174">
        <v>63136</v>
      </c>
      <c r="K174">
        <v>230</v>
      </c>
      <c r="L174" t="s">
        <v>10</v>
      </c>
      <c r="M174" t="s">
        <v>37</v>
      </c>
      <c r="N174">
        <f>(  Posts__2[[#This Row],[Likes]]+Posts__2[[#This Row],[Comments]]+Posts__2[[#This Row],[Shares]] ) / Posts__2[[#This Row],[Impressions]]</f>
        <v>0.10077178019329269</v>
      </c>
    </row>
    <row r="175" spans="1:14" x14ac:dyDescent="0.3">
      <c r="A175" t="s">
        <v>223</v>
      </c>
      <c r="B175" t="s">
        <v>9</v>
      </c>
      <c r="C175" s="4">
        <v>45749</v>
      </c>
      <c r="D175" t="s">
        <v>15</v>
      </c>
      <c r="E175" t="s">
        <v>42</v>
      </c>
      <c r="F175">
        <v>4598</v>
      </c>
      <c r="G175">
        <v>455</v>
      </c>
      <c r="H175">
        <v>378</v>
      </c>
      <c r="I175">
        <v>52952</v>
      </c>
      <c r="J175">
        <v>58504</v>
      </c>
      <c r="K175">
        <v>269</v>
      </c>
      <c r="L175" t="s">
        <v>45</v>
      </c>
      <c r="M175" t="s">
        <v>37</v>
      </c>
      <c r="N175">
        <f>(  Posts__2[[#This Row],[Likes]]+Posts__2[[#This Row],[Comments]]+Posts__2[[#This Row],[Shares]] ) / Posts__2[[#This Row],[Impressions]]</f>
        <v>0.10256458679558846</v>
      </c>
    </row>
    <row r="176" spans="1:14" x14ac:dyDescent="0.3">
      <c r="A176" t="s">
        <v>224</v>
      </c>
      <c r="B176" t="s">
        <v>8</v>
      </c>
      <c r="C176" s="4">
        <v>45748</v>
      </c>
      <c r="D176" t="s">
        <v>13</v>
      </c>
      <c r="E176" t="s">
        <v>44</v>
      </c>
      <c r="F176">
        <v>2665</v>
      </c>
      <c r="G176">
        <v>143</v>
      </c>
      <c r="H176">
        <v>315</v>
      </c>
      <c r="I176">
        <v>54808</v>
      </c>
      <c r="J176">
        <v>29818</v>
      </c>
      <c r="K176">
        <v>98</v>
      </c>
      <c r="L176" t="s">
        <v>51</v>
      </c>
      <c r="M176" t="s">
        <v>34</v>
      </c>
      <c r="N176">
        <f>(  Posts__2[[#This Row],[Likes]]+Posts__2[[#This Row],[Comments]]+Posts__2[[#This Row],[Shares]] ) / Posts__2[[#This Row],[Impressions]]</f>
        <v>5.6980732739746021E-2</v>
      </c>
    </row>
    <row r="177" spans="1:14" x14ac:dyDescent="0.3">
      <c r="A177" t="s">
        <v>225</v>
      </c>
      <c r="B177" t="s">
        <v>7</v>
      </c>
      <c r="C177" s="4">
        <v>45475</v>
      </c>
      <c r="D177" t="s">
        <v>15</v>
      </c>
      <c r="E177" t="s">
        <v>53</v>
      </c>
      <c r="F177">
        <v>3469</v>
      </c>
      <c r="G177">
        <v>371</v>
      </c>
      <c r="H177">
        <v>76</v>
      </c>
      <c r="I177">
        <v>46493</v>
      </c>
      <c r="J177">
        <v>26906</v>
      </c>
      <c r="K177">
        <v>150</v>
      </c>
      <c r="L177" t="s">
        <v>33</v>
      </c>
      <c r="M177" t="s">
        <v>34</v>
      </c>
      <c r="N177">
        <f>(  Posts__2[[#This Row],[Likes]]+Posts__2[[#This Row],[Comments]]+Posts__2[[#This Row],[Shares]] ) / Posts__2[[#This Row],[Impressions]]</f>
        <v>8.4227733207149463E-2</v>
      </c>
    </row>
    <row r="178" spans="1:14" x14ac:dyDescent="0.3">
      <c r="A178" t="s">
        <v>226</v>
      </c>
      <c r="B178" t="s">
        <v>8</v>
      </c>
      <c r="C178" s="4">
        <v>45606</v>
      </c>
      <c r="D178" t="s">
        <v>15</v>
      </c>
      <c r="E178" t="s">
        <v>36</v>
      </c>
      <c r="F178">
        <v>4823</v>
      </c>
      <c r="G178">
        <v>489</v>
      </c>
      <c r="H178">
        <v>302</v>
      </c>
      <c r="I178">
        <v>32470</v>
      </c>
      <c r="J178">
        <v>31861</v>
      </c>
      <c r="K178">
        <v>178</v>
      </c>
      <c r="L178" t="s">
        <v>12</v>
      </c>
      <c r="M178" t="s">
        <v>37</v>
      </c>
      <c r="N178">
        <f>(  Posts__2[[#This Row],[Likes]]+Posts__2[[#This Row],[Comments]]+Posts__2[[#This Row],[Shares]] ) / Posts__2[[#This Row],[Impressions]]</f>
        <v>0.1728980597474592</v>
      </c>
    </row>
    <row r="179" spans="1:14" x14ac:dyDescent="0.3">
      <c r="A179" t="s">
        <v>227</v>
      </c>
      <c r="B179" t="s">
        <v>7</v>
      </c>
      <c r="C179" s="4">
        <v>45640</v>
      </c>
      <c r="D179" t="s">
        <v>13</v>
      </c>
      <c r="E179" t="s">
        <v>59</v>
      </c>
      <c r="F179">
        <v>3812</v>
      </c>
      <c r="G179">
        <v>321</v>
      </c>
      <c r="H179">
        <v>289</v>
      </c>
      <c r="I179">
        <v>59838</v>
      </c>
      <c r="J179">
        <v>36337</v>
      </c>
      <c r="K179">
        <v>161</v>
      </c>
      <c r="L179" t="s">
        <v>5</v>
      </c>
      <c r="M179" t="s">
        <v>65</v>
      </c>
      <c r="N179">
        <f>(  Posts__2[[#This Row],[Likes]]+Posts__2[[#This Row],[Comments]]+Posts__2[[#This Row],[Shares]] ) / Posts__2[[#This Row],[Impressions]]</f>
        <v>7.3899528727564417E-2</v>
      </c>
    </row>
    <row r="180" spans="1:14" x14ac:dyDescent="0.3">
      <c r="A180" t="s">
        <v>228</v>
      </c>
      <c r="B180" t="s">
        <v>8</v>
      </c>
      <c r="C180" s="4">
        <v>45615</v>
      </c>
      <c r="D180" t="s">
        <v>15</v>
      </c>
      <c r="E180" t="s">
        <v>36</v>
      </c>
      <c r="F180">
        <v>2387</v>
      </c>
      <c r="G180">
        <v>353</v>
      </c>
      <c r="H180">
        <v>78</v>
      </c>
      <c r="I180">
        <v>39745</v>
      </c>
      <c r="J180">
        <v>69226</v>
      </c>
      <c r="K180">
        <v>208</v>
      </c>
      <c r="L180" t="s">
        <v>12</v>
      </c>
      <c r="M180" t="s">
        <v>37</v>
      </c>
      <c r="N180">
        <f>(  Posts__2[[#This Row],[Likes]]+Posts__2[[#This Row],[Comments]]+Posts__2[[#This Row],[Shares]] ) / Posts__2[[#This Row],[Impressions]]</f>
        <v>7.090200025160398E-2</v>
      </c>
    </row>
    <row r="181" spans="1:14" x14ac:dyDescent="0.3">
      <c r="A181" t="s">
        <v>229</v>
      </c>
      <c r="B181" t="s">
        <v>8</v>
      </c>
      <c r="C181" s="4">
        <v>45777</v>
      </c>
      <c r="D181" t="s">
        <v>13</v>
      </c>
      <c r="E181" t="s">
        <v>42</v>
      </c>
      <c r="F181">
        <v>3929</v>
      </c>
      <c r="G181">
        <v>275</v>
      </c>
      <c r="H181">
        <v>330</v>
      </c>
      <c r="I181">
        <v>58329</v>
      </c>
      <c r="J181">
        <v>33196</v>
      </c>
      <c r="K181">
        <v>85</v>
      </c>
      <c r="L181" t="s">
        <v>40</v>
      </c>
      <c r="M181" t="s">
        <v>34</v>
      </c>
      <c r="N181">
        <f>(  Posts__2[[#This Row],[Likes]]+Posts__2[[#This Row],[Comments]]+Posts__2[[#This Row],[Shares]] ) / Posts__2[[#This Row],[Impressions]]</f>
        <v>7.7731488624869283E-2</v>
      </c>
    </row>
    <row r="182" spans="1:14" x14ac:dyDescent="0.3">
      <c r="A182" t="s">
        <v>230</v>
      </c>
      <c r="B182" t="s">
        <v>8</v>
      </c>
      <c r="C182" s="4">
        <v>45370</v>
      </c>
      <c r="D182" t="s">
        <v>15</v>
      </c>
      <c r="E182" t="s">
        <v>59</v>
      </c>
      <c r="F182">
        <v>2191</v>
      </c>
      <c r="G182">
        <v>288</v>
      </c>
      <c r="H182">
        <v>83</v>
      </c>
      <c r="I182">
        <v>59606</v>
      </c>
      <c r="J182">
        <v>24765</v>
      </c>
      <c r="K182">
        <v>281</v>
      </c>
      <c r="L182" t="s">
        <v>12</v>
      </c>
      <c r="M182" t="s">
        <v>37</v>
      </c>
      <c r="N182">
        <f>(  Posts__2[[#This Row],[Likes]]+Posts__2[[#This Row],[Comments]]+Posts__2[[#This Row],[Shares]] ) / Posts__2[[#This Row],[Impressions]]</f>
        <v>4.2982250109049422E-2</v>
      </c>
    </row>
    <row r="183" spans="1:14" x14ac:dyDescent="0.3">
      <c r="A183" t="s">
        <v>231</v>
      </c>
      <c r="B183" t="s">
        <v>7</v>
      </c>
      <c r="C183" s="4">
        <v>45370</v>
      </c>
      <c r="D183" t="s">
        <v>15</v>
      </c>
      <c r="E183" t="s">
        <v>59</v>
      </c>
      <c r="F183">
        <v>2878</v>
      </c>
      <c r="G183">
        <v>278</v>
      </c>
      <c r="H183">
        <v>255</v>
      </c>
      <c r="I183">
        <v>47235</v>
      </c>
      <c r="J183">
        <v>57922</v>
      </c>
      <c r="K183">
        <v>112</v>
      </c>
      <c r="L183" t="s">
        <v>33</v>
      </c>
      <c r="M183" t="s">
        <v>34</v>
      </c>
      <c r="N183">
        <f>(  Posts__2[[#This Row],[Likes]]+Posts__2[[#This Row],[Comments]]+Posts__2[[#This Row],[Shares]] ) / Posts__2[[#This Row],[Impressions]]</f>
        <v>7.2213401079707848E-2</v>
      </c>
    </row>
    <row r="184" spans="1:14" x14ac:dyDescent="0.3">
      <c r="A184" t="s">
        <v>232</v>
      </c>
      <c r="B184" t="s">
        <v>8</v>
      </c>
      <c r="C184" s="4">
        <v>45496</v>
      </c>
      <c r="D184" t="s">
        <v>15</v>
      </c>
      <c r="E184" t="s">
        <v>53</v>
      </c>
      <c r="F184">
        <v>3204</v>
      </c>
      <c r="G184">
        <v>398</v>
      </c>
      <c r="H184">
        <v>85</v>
      </c>
      <c r="I184">
        <v>22020</v>
      </c>
      <c r="J184">
        <v>58353</v>
      </c>
      <c r="K184">
        <v>286</v>
      </c>
      <c r="L184" t="s">
        <v>12</v>
      </c>
      <c r="M184" t="s">
        <v>37</v>
      </c>
      <c r="N184">
        <f>(  Posts__2[[#This Row],[Likes]]+Posts__2[[#This Row],[Comments]]+Posts__2[[#This Row],[Shares]] ) / Posts__2[[#This Row],[Impressions]]</f>
        <v>0.16743869209809265</v>
      </c>
    </row>
    <row r="185" spans="1:14" x14ac:dyDescent="0.3">
      <c r="A185" t="s">
        <v>233</v>
      </c>
      <c r="B185" t="s">
        <v>8</v>
      </c>
      <c r="C185" s="4">
        <v>45486</v>
      </c>
      <c r="D185" t="s">
        <v>13</v>
      </c>
      <c r="E185" t="s">
        <v>49</v>
      </c>
      <c r="F185">
        <v>2408</v>
      </c>
      <c r="G185">
        <v>323</v>
      </c>
      <c r="H185">
        <v>251</v>
      </c>
      <c r="I185">
        <v>47599</v>
      </c>
      <c r="J185">
        <v>35543</v>
      </c>
      <c r="K185">
        <v>287</v>
      </c>
      <c r="L185" t="s">
        <v>40</v>
      </c>
      <c r="M185" t="s">
        <v>34</v>
      </c>
      <c r="N185">
        <f>(  Posts__2[[#This Row],[Likes]]+Posts__2[[#This Row],[Comments]]+Posts__2[[#This Row],[Shares]] ) / Posts__2[[#This Row],[Impressions]]</f>
        <v>6.2648374965860634E-2</v>
      </c>
    </row>
    <row r="186" spans="1:14" x14ac:dyDescent="0.3">
      <c r="A186" t="s">
        <v>234</v>
      </c>
      <c r="B186" t="s">
        <v>9</v>
      </c>
      <c r="C186" s="4">
        <v>45769</v>
      </c>
      <c r="D186" t="s">
        <v>11</v>
      </c>
      <c r="E186" t="s">
        <v>39</v>
      </c>
      <c r="F186">
        <v>2733</v>
      </c>
      <c r="G186">
        <v>297</v>
      </c>
      <c r="H186">
        <v>235</v>
      </c>
      <c r="I186">
        <v>37980</v>
      </c>
      <c r="J186">
        <v>33058</v>
      </c>
      <c r="K186">
        <v>219</v>
      </c>
      <c r="L186" t="s">
        <v>67</v>
      </c>
      <c r="M186" t="s">
        <v>68</v>
      </c>
      <c r="N186">
        <f>(  Posts__2[[#This Row],[Likes]]+Posts__2[[#This Row],[Comments]]+Posts__2[[#This Row],[Shares]] ) / Posts__2[[#This Row],[Impressions]]</f>
        <v>8.5966298051606105E-2</v>
      </c>
    </row>
    <row r="187" spans="1:14" x14ac:dyDescent="0.3">
      <c r="A187" t="s">
        <v>235</v>
      </c>
      <c r="B187" t="s">
        <v>8</v>
      </c>
      <c r="C187" s="4">
        <v>45459</v>
      </c>
      <c r="D187" t="s">
        <v>13</v>
      </c>
      <c r="E187" t="s">
        <v>36</v>
      </c>
      <c r="F187">
        <v>4618</v>
      </c>
      <c r="G187">
        <v>312</v>
      </c>
      <c r="H187">
        <v>254</v>
      </c>
      <c r="I187">
        <v>22571</v>
      </c>
      <c r="J187">
        <v>29453</v>
      </c>
      <c r="K187">
        <v>197</v>
      </c>
      <c r="L187" t="s">
        <v>40</v>
      </c>
      <c r="M187" t="s">
        <v>34</v>
      </c>
      <c r="N187">
        <f>(  Posts__2[[#This Row],[Likes]]+Posts__2[[#This Row],[Comments]]+Posts__2[[#This Row],[Shares]] ) / Posts__2[[#This Row],[Impressions]]</f>
        <v>0.22967524699836073</v>
      </c>
    </row>
    <row r="188" spans="1:14" x14ac:dyDescent="0.3">
      <c r="A188" t="s">
        <v>236</v>
      </c>
      <c r="B188" t="s">
        <v>9</v>
      </c>
      <c r="C188" s="4">
        <v>45795</v>
      </c>
      <c r="D188" t="s">
        <v>11</v>
      </c>
      <c r="E188" t="s">
        <v>42</v>
      </c>
      <c r="F188">
        <v>4210</v>
      </c>
      <c r="G188">
        <v>319</v>
      </c>
      <c r="H188">
        <v>350</v>
      </c>
      <c r="I188">
        <v>37762</v>
      </c>
      <c r="J188">
        <v>55162</v>
      </c>
      <c r="K188">
        <v>204</v>
      </c>
      <c r="L188" t="s">
        <v>67</v>
      </c>
      <c r="M188" t="s">
        <v>68</v>
      </c>
      <c r="N188">
        <f>(  Posts__2[[#This Row],[Likes]]+Posts__2[[#This Row],[Comments]]+Posts__2[[#This Row],[Shares]] ) / Posts__2[[#This Row],[Impressions]]</f>
        <v>0.12920396165457337</v>
      </c>
    </row>
    <row r="189" spans="1:14" x14ac:dyDescent="0.3">
      <c r="A189" t="s">
        <v>237</v>
      </c>
      <c r="B189" t="s">
        <v>7</v>
      </c>
      <c r="C189" s="4">
        <v>45814</v>
      </c>
      <c r="D189" t="s">
        <v>15</v>
      </c>
      <c r="E189" t="s">
        <v>42</v>
      </c>
      <c r="F189">
        <v>3987</v>
      </c>
      <c r="G189">
        <v>171</v>
      </c>
      <c r="H189">
        <v>274</v>
      </c>
      <c r="I189">
        <v>45122</v>
      </c>
      <c r="J189">
        <v>65431</v>
      </c>
      <c r="K189">
        <v>168</v>
      </c>
      <c r="L189" t="s">
        <v>10</v>
      </c>
      <c r="M189" t="s">
        <v>37</v>
      </c>
      <c r="N189">
        <f>(  Posts__2[[#This Row],[Likes]]+Posts__2[[#This Row],[Comments]]+Posts__2[[#This Row],[Shares]] ) / Posts__2[[#This Row],[Impressions]]</f>
        <v>9.8222596516111871E-2</v>
      </c>
    </row>
    <row r="190" spans="1:14" x14ac:dyDescent="0.3">
      <c r="A190" t="s">
        <v>238</v>
      </c>
      <c r="B190" t="s">
        <v>9</v>
      </c>
      <c r="C190" s="4">
        <v>45708</v>
      </c>
      <c r="D190" t="s">
        <v>11</v>
      </c>
      <c r="E190" t="s">
        <v>49</v>
      </c>
      <c r="F190">
        <v>4957</v>
      </c>
      <c r="G190">
        <v>262</v>
      </c>
      <c r="H190">
        <v>365</v>
      </c>
      <c r="I190">
        <v>49199</v>
      </c>
      <c r="J190">
        <v>40314</v>
      </c>
      <c r="K190">
        <v>216</v>
      </c>
      <c r="L190" t="s">
        <v>67</v>
      </c>
      <c r="M190" t="s">
        <v>68</v>
      </c>
      <c r="N190">
        <f>(  Posts__2[[#This Row],[Likes]]+Posts__2[[#This Row],[Comments]]+Posts__2[[#This Row],[Shares]] ) / Posts__2[[#This Row],[Impressions]]</f>
        <v>0.11349824183418362</v>
      </c>
    </row>
    <row r="191" spans="1:14" x14ac:dyDescent="0.3">
      <c r="A191" t="s">
        <v>239</v>
      </c>
      <c r="B191" t="s">
        <v>7</v>
      </c>
      <c r="C191" s="4">
        <v>45673</v>
      </c>
      <c r="D191" t="s">
        <v>15</v>
      </c>
      <c r="E191" t="s">
        <v>44</v>
      </c>
      <c r="F191">
        <v>2605</v>
      </c>
      <c r="G191">
        <v>282</v>
      </c>
      <c r="H191">
        <v>148</v>
      </c>
      <c r="I191">
        <v>32201</v>
      </c>
      <c r="J191">
        <v>49583</v>
      </c>
      <c r="K191">
        <v>241</v>
      </c>
      <c r="L191" t="s">
        <v>33</v>
      </c>
      <c r="M191" t="s">
        <v>34</v>
      </c>
      <c r="N191">
        <f>(  Posts__2[[#This Row],[Likes]]+Posts__2[[#This Row],[Comments]]+Posts__2[[#This Row],[Shares]] ) / Posts__2[[#This Row],[Impressions]]</f>
        <v>9.4251731312692155E-2</v>
      </c>
    </row>
    <row r="192" spans="1:14" x14ac:dyDescent="0.3">
      <c r="A192" t="s">
        <v>240</v>
      </c>
      <c r="B192" t="s">
        <v>9</v>
      </c>
      <c r="C192" s="4">
        <v>45346</v>
      </c>
      <c r="D192" t="s">
        <v>11</v>
      </c>
      <c r="E192" t="s">
        <v>32</v>
      </c>
      <c r="F192">
        <v>4221</v>
      </c>
      <c r="G192">
        <v>307</v>
      </c>
      <c r="H192">
        <v>58</v>
      </c>
      <c r="I192">
        <v>45080</v>
      </c>
      <c r="J192">
        <v>37214</v>
      </c>
      <c r="K192">
        <v>240</v>
      </c>
      <c r="L192" t="s">
        <v>67</v>
      </c>
      <c r="M192" t="s">
        <v>68</v>
      </c>
      <c r="N192">
        <f>(  Posts__2[[#This Row],[Likes]]+Posts__2[[#This Row],[Comments]]+Posts__2[[#This Row],[Shares]] ) / Posts__2[[#This Row],[Impressions]]</f>
        <v>0.10173025732031943</v>
      </c>
    </row>
    <row r="193" spans="1:14" x14ac:dyDescent="0.3">
      <c r="A193" t="s">
        <v>241</v>
      </c>
      <c r="B193" t="s">
        <v>8</v>
      </c>
      <c r="C193" s="4">
        <v>45551</v>
      </c>
      <c r="D193" t="s">
        <v>13</v>
      </c>
      <c r="E193" t="s">
        <v>47</v>
      </c>
      <c r="F193">
        <v>4422</v>
      </c>
      <c r="G193">
        <v>434</v>
      </c>
      <c r="H193">
        <v>156</v>
      </c>
      <c r="I193">
        <v>56165</v>
      </c>
      <c r="J193">
        <v>52431</v>
      </c>
      <c r="K193">
        <v>173</v>
      </c>
      <c r="L193" t="s">
        <v>51</v>
      </c>
      <c r="M193" t="s">
        <v>34</v>
      </c>
      <c r="N193">
        <f>(  Posts__2[[#This Row],[Likes]]+Posts__2[[#This Row],[Comments]]+Posts__2[[#This Row],[Shares]] ) / Posts__2[[#This Row],[Impressions]]</f>
        <v>8.9237069349238848E-2</v>
      </c>
    </row>
    <row r="194" spans="1:14" x14ac:dyDescent="0.3">
      <c r="A194" t="s">
        <v>242</v>
      </c>
      <c r="B194" t="s">
        <v>9</v>
      </c>
      <c r="C194" s="4">
        <v>45447</v>
      </c>
      <c r="D194" t="s">
        <v>11</v>
      </c>
      <c r="E194" t="s">
        <v>42</v>
      </c>
      <c r="F194">
        <v>1211</v>
      </c>
      <c r="G194">
        <v>431</v>
      </c>
      <c r="H194">
        <v>83</v>
      </c>
      <c r="I194">
        <v>26532</v>
      </c>
      <c r="J194">
        <v>47305</v>
      </c>
      <c r="K194">
        <v>232</v>
      </c>
      <c r="L194" t="s">
        <v>67</v>
      </c>
      <c r="M194" t="s">
        <v>68</v>
      </c>
      <c r="N194">
        <f>(  Posts__2[[#This Row],[Likes]]+Posts__2[[#This Row],[Comments]]+Posts__2[[#This Row],[Shares]] ) / Posts__2[[#This Row],[Impressions]]</f>
        <v>6.5015829941203071E-2</v>
      </c>
    </row>
    <row r="195" spans="1:14" x14ac:dyDescent="0.3">
      <c r="A195" t="s">
        <v>243</v>
      </c>
      <c r="B195" t="s">
        <v>8</v>
      </c>
      <c r="C195" s="4">
        <v>45422</v>
      </c>
      <c r="D195" t="s">
        <v>13</v>
      </c>
      <c r="E195" t="s">
        <v>36</v>
      </c>
      <c r="F195">
        <v>2784</v>
      </c>
      <c r="G195">
        <v>111</v>
      </c>
      <c r="H195">
        <v>399</v>
      </c>
      <c r="I195">
        <v>58366</v>
      </c>
      <c r="J195">
        <v>69512</v>
      </c>
      <c r="K195">
        <v>269</v>
      </c>
      <c r="L195" t="s">
        <v>40</v>
      </c>
      <c r="M195" t="s">
        <v>34</v>
      </c>
      <c r="N195">
        <f>(  Posts__2[[#This Row],[Likes]]+Posts__2[[#This Row],[Comments]]+Posts__2[[#This Row],[Shares]] ) / Posts__2[[#This Row],[Impressions]]</f>
        <v>5.6436966727204191E-2</v>
      </c>
    </row>
    <row r="196" spans="1:14" x14ac:dyDescent="0.3">
      <c r="A196" t="s">
        <v>244</v>
      </c>
      <c r="B196" t="s">
        <v>9</v>
      </c>
      <c r="C196" s="4">
        <v>45305</v>
      </c>
      <c r="D196" t="s">
        <v>15</v>
      </c>
      <c r="E196" t="s">
        <v>39</v>
      </c>
      <c r="F196">
        <v>3634</v>
      </c>
      <c r="G196">
        <v>280</v>
      </c>
      <c r="H196">
        <v>399</v>
      </c>
      <c r="I196">
        <v>40256</v>
      </c>
      <c r="J196">
        <v>52605</v>
      </c>
      <c r="K196">
        <v>213</v>
      </c>
      <c r="L196" t="s">
        <v>45</v>
      </c>
      <c r="M196" t="s">
        <v>37</v>
      </c>
      <c r="N196">
        <f>(  Posts__2[[#This Row],[Likes]]+Posts__2[[#This Row],[Comments]]+Posts__2[[#This Row],[Shares]] ) / Posts__2[[#This Row],[Impressions]]</f>
        <v>0.10713930842607314</v>
      </c>
    </row>
    <row r="197" spans="1:14" x14ac:dyDescent="0.3">
      <c r="A197" t="s">
        <v>245</v>
      </c>
      <c r="B197" t="s">
        <v>7</v>
      </c>
      <c r="C197" s="4">
        <v>45669</v>
      </c>
      <c r="D197" t="s">
        <v>15</v>
      </c>
      <c r="E197" t="s">
        <v>59</v>
      </c>
      <c r="F197">
        <v>1771</v>
      </c>
      <c r="G197">
        <v>487</v>
      </c>
      <c r="H197">
        <v>272</v>
      </c>
      <c r="I197">
        <v>48810</v>
      </c>
      <c r="J197">
        <v>48084</v>
      </c>
      <c r="K197">
        <v>272</v>
      </c>
      <c r="L197" t="s">
        <v>33</v>
      </c>
      <c r="M197" t="s">
        <v>34</v>
      </c>
      <c r="N197">
        <f>(  Posts__2[[#This Row],[Likes]]+Posts__2[[#This Row],[Comments]]+Posts__2[[#This Row],[Shares]] ) / Posts__2[[#This Row],[Impressions]]</f>
        <v>5.1833640647408315E-2</v>
      </c>
    </row>
    <row r="198" spans="1:14" x14ac:dyDescent="0.3">
      <c r="A198" t="s">
        <v>246</v>
      </c>
      <c r="B198" t="s">
        <v>9</v>
      </c>
      <c r="C198" s="4">
        <v>45634</v>
      </c>
      <c r="D198" t="s">
        <v>15</v>
      </c>
      <c r="E198" t="s">
        <v>53</v>
      </c>
      <c r="F198">
        <v>1424</v>
      </c>
      <c r="G198">
        <v>396</v>
      </c>
      <c r="H198">
        <v>312</v>
      </c>
      <c r="I198">
        <v>59517</v>
      </c>
      <c r="J198">
        <v>46102</v>
      </c>
      <c r="K198">
        <v>239</v>
      </c>
      <c r="L198" t="s">
        <v>45</v>
      </c>
      <c r="M198" t="s">
        <v>37</v>
      </c>
      <c r="N198">
        <f>(  Posts__2[[#This Row],[Likes]]+Posts__2[[#This Row],[Comments]]+Posts__2[[#This Row],[Shares]] ) / Posts__2[[#This Row],[Impressions]]</f>
        <v>3.5821698002251455E-2</v>
      </c>
    </row>
    <row r="199" spans="1:14" x14ac:dyDescent="0.3">
      <c r="A199" t="s">
        <v>247</v>
      </c>
      <c r="B199" t="s">
        <v>8</v>
      </c>
      <c r="C199" s="4">
        <v>45689</v>
      </c>
      <c r="D199" t="s">
        <v>13</v>
      </c>
      <c r="E199" t="s">
        <v>53</v>
      </c>
      <c r="F199">
        <v>1079</v>
      </c>
      <c r="G199">
        <v>265</v>
      </c>
      <c r="H199">
        <v>190</v>
      </c>
      <c r="I199">
        <v>43786</v>
      </c>
      <c r="J199">
        <v>72428</v>
      </c>
      <c r="K199">
        <v>222</v>
      </c>
      <c r="L199" t="s">
        <v>33</v>
      </c>
      <c r="M199" t="s">
        <v>34</v>
      </c>
      <c r="N199">
        <f>(  Posts__2[[#This Row],[Likes]]+Posts__2[[#This Row],[Comments]]+Posts__2[[#This Row],[Shares]] ) / Posts__2[[#This Row],[Impressions]]</f>
        <v>3.5034029141734799E-2</v>
      </c>
    </row>
    <row r="200" spans="1:14" x14ac:dyDescent="0.3">
      <c r="A200" t="s">
        <v>248</v>
      </c>
      <c r="B200" t="s">
        <v>8</v>
      </c>
      <c r="C200" s="4">
        <v>45484</v>
      </c>
      <c r="D200" t="s">
        <v>13</v>
      </c>
      <c r="E200" t="s">
        <v>49</v>
      </c>
      <c r="F200">
        <v>4247</v>
      </c>
      <c r="G200">
        <v>179</v>
      </c>
      <c r="H200">
        <v>175</v>
      </c>
      <c r="I200">
        <v>32991</v>
      </c>
      <c r="J200">
        <v>70120</v>
      </c>
      <c r="K200">
        <v>276</v>
      </c>
      <c r="L200" t="s">
        <v>33</v>
      </c>
      <c r="M200" t="s">
        <v>34</v>
      </c>
      <c r="N200">
        <f>(  Posts__2[[#This Row],[Likes]]+Posts__2[[#This Row],[Comments]]+Posts__2[[#This Row],[Shares]] ) / Posts__2[[#This Row],[Impressions]]</f>
        <v>0.13946227759085811</v>
      </c>
    </row>
    <row r="201" spans="1:14" x14ac:dyDescent="0.3">
      <c r="A201" t="s">
        <v>249</v>
      </c>
      <c r="B201" t="s">
        <v>8</v>
      </c>
      <c r="C201" s="4">
        <v>45369</v>
      </c>
      <c r="D201" t="s">
        <v>15</v>
      </c>
      <c r="E201" t="s">
        <v>39</v>
      </c>
      <c r="F201">
        <v>2033</v>
      </c>
      <c r="G201">
        <v>420</v>
      </c>
      <c r="H201">
        <v>94</v>
      </c>
      <c r="I201">
        <v>56290</v>
      </c>
      <c r="J201">
        <v>57391</v>
      </c>
      <c r="K201">
        <v>196</v>
      </c>
      <c r="L201" t="s">
        <v>5</v>
      </c>
      <c r="M201" t="s">
        <v>34</v>
      </c>
      <c r="N201">
        <f>(  Posts__2[[#This Row],[Likes]]+Posts__2[[#This Row],[Comments]]+Posts__2[[#This Row],[Shares]] ) / Posts__2[[#This Row],[Impressions]]</f>
        <v>4.5247823769763724E-2</v>
      </c>
    </row>
    <row r="202" spans="1:14" x14ac:dyDescent="0.3">
      <c r="A202" t="s">
        <v>250</v>
      </c>
      <c r="B202" t="s">
        <v>8</v>
      </c>
      <c r="C202" s="4">
        <v>45547</v>
      </c>
      <c r="D202" t="s">
        <v>13</v>
      </c>
      <c r="E202" t="s">
        <v>42</v>
      </c>
      <c r="F202">
        <v>1839</v>
      </c>
      <c r="G202">
        <v>223</v>
      </c>
      <c r="H202">
        <v>171</v>
      </c>
      <c r="I202">
        <v>35459</v>
      </c>
      <c r="J202">
        <v>69988</v>
      </c>
      <c r="K202">
        <v>114</v>
      </c>
      <c r="L202" t="s">
        <v>40</v>
      </c>
      <c r="M202" t="s">
        <v>34</v>
      </c>
      <c r="N202">
        <f>(  Posts__2[[#This Row],[Likes]]+Posts__2[[#This Row],[Comments]]+Posts__2[[#This Row],[Shares]] ) / Posts__2[[#This Row],[Impressions]]</f>
        <v>6.2974139146620034E-2</v>
      </c>
    </row>
    <row r="203" spans="1:14" x14ac:dyDescent="0.3">
      <c r="A203" t="s">
        <v>251</v>
      </c>
      <c r="B203" t="s">
        <v>8</v>
      </c>
      <c r="C203" s="4">
        <v>45302</v>
      </c>
      <c r="D203" t="s">
        <v>13</v>
      </c>
      <c r="E203" t="s">
        <v>42</v>
      </c>
      <c r="F203">
        <v>2340</v>
      </c>
      <c r="G203">
        <v>141</v>
      </c>
      <c r="H203">
        <v>206</v>
      </c>
      <c r="I203">
        <v>24916</v>
      </c>
      <c r="J203">
        <v>30582</v>
      </c>
      <c r="K203">
        <v>157</v>
      </c>
      <c r="L203" t="s">
        <v>33</v>
      </c>
      <c r="M203" t="s">
        <v>34</v>
      </c>
      <c r="N203">
        <f>(  Posts__2[[#This Row],[Likes]]+Posts__2[[#This Row],[Comments]]+Posts__2[[#This Row],[Shares]] ) / Posts__2[[#This Row],[Impressions]]</f>
        <v>0.10784235029699792</v>
      </c>
    </row>
    <row r="204" spans="1:14" x14ac:dyDescent="0.3">
      <c r="A204" t="s">
        <v>252</v>
      </c>
      <c r="B204" t="s">
        <v>7</v>
      </c>
      <c r="C204" s="4">
        <v>45571</v>
      </c>
      <c r="D204" t="s">
        <v>15</v>
      </c>
      <c r="E204" t="s">
        <v>53</v>
      </c>
      <c r="F204">
        <v>2080</v>
      </c>
      <c r="G204">
        <v>389</v>
      </c>
      <c r="H204">
        <v>92</v>
      </c>
      <c r="I204">
        <v>30971</v>
      </c>
      <c r="J204">
        <v>25347</v>
      </c>
      <c r="K204">
        <v>111</v>
      </c>
      <c r="L204" t="s">
        <v>10</v>
      </c>
      <c r="M204" t="s">
        <v>37</v>
      </c>
      <c r="N204">
        <f>(  Posts__2[[#This Row],[Likes]]+Posts__2[[#This Row],[Comments]]+Posts__2[[#This Row],[Shares]] ) / Posts__2[[#This Row],[Impressions]]</f>
        <v>8.2690258629040073E-2</v>
      </c>
    </row>
    <row r="205" spans="1:14" x14ac:dyDescent="0.3">
      <c r="A205" t="s">
        <v>253</v>
      </c>
      <c r="B205" t="s">
        <v>8</v>
      </c>
      <c r="C205" s="4">
        <v>45656</v>
      </c>
      <c r="D205" t="s">
        <v>15</v>
      </c>
      <c r="E205" t="s">
        <v>49</v>
      </c>
      <c r="F205">
        <v>4214</v>
      </c>
      <c r="G205">
        <v>286</v>
      </c>
      <c r="H205">
        <v>127</v>
      </c>
      <c r="I205">
        <v>47293</v>
      </c>
      <c r="J205">
        <v>27184</v>
      </c>
      <c r="K205">
        <v>232</v>
      </c>
      <c r="L205" t="s">
        <v>5</v>
      </c>
      <c r="M205" t="s">
        <v>34</v>
      </c>
      <c r="N205">
        <f>(  Posts__2[[#This Row],[Likes]]+Posts__2[[#This Row],[Comments]]+Posts__2[[#This Row],[Shares]] ) / Posts__2[[#This Row],[Impressions]]</f>
        <v>9.7836889180216949E-2</v>
      </c>
    </row>
    <row r="206" spans="1:14" x14ac:dyDescent="0.3">
      <c r="A206" t="s">
        <v>254</v>
      </c>
      <c r="B206" t="s">
        <v>8</v>
      </c>
      <c r="C206" s="4">
        <v>45763</v>
      </c>
      <c r="D206" t="s">
        <v>15</v>
      </c>
      <c r="E206" t="s">
        <v>42</v>
      </c>
      <c r="F206">
        <v>3792</v>
      </c>
      <c r="G206">
        <v>315</v>
      </c>
      <c r="H206">
        <v>120</v>
      </c>
      <c r="I206">
        <v>54592</v>
      </c>
      <c r="J206">
        <v>67886</v>
      </c>
      <c r="K206">
        <v>117</v>
      </c>
      <c r="L206" t="s">
        <v>12</v>
      </c>
      <c r="M206" t="s">
        <v>37</v>
      </c>
      <c r="N206">
        <f>(  Posts__2[[#This Row],[Likes]]+Posts__2[[#This Row],[Comments]]+Posts__2[[#This Row],[Shares]] ) / Posts__2[[#This Row],[Impressions]]</f>
        <v>7.7428927315357568E-2</v>
      </c>
    </row>
    <row r="207" spans="1:14" x14ac:dyDescent="0.3">
      <c r="A207" t="s">
        <v>255</v>
      </c>
      <c r="B207" t="s">
        <v>8</v>
      </c>
      <c r="C207" s="4">
        <v>45525</v>
      </c>
      <c r="D207" t="s">
        <v>13</v>
      </c>
      <c r="E207" t="s">
        <v>36</v>
      </c>
      <c r="F207">
        <v>3989</v>
      </c>
      <c r="G207">
        <v>476</v>
      </c>
      <c r="H207">
        <v>128</v>
      </c>
      <c r="I207">
        <v>57569</v>
      </c>
      <c r="J207">
        <v>40193</v>
      </c>
      <c r="K207">
        <v>222</v>
      </c>
      <c r="L207" t="s">
        <v>51</v>
      </c>
      <c r="M207" t="s">
        <v>34</v>
      </c>
      <c r="N207">
        <f>(  Posts__2[[#This Row],[Likes]]+Posts__2[[#This Row],[Comments]]+Posts__2[[#This Row],[Shares]] ) / Posts__2[[#This Row],[Impressions]]</f>
        <v>7.9782521843353188E-2</v>
      </c>
    </row>
    <row r="208" spans="1:14" x14ac:dyDescent="0.3">
      <c r="A208" t="s">
        <v>256</v>
      </c>
      <c r="B208" t="s">
        <v>8</v>
      </c>
      <c r="C208" s="4">
        <v>45387</v>
      </c>
      <c r="D208" t="s">
        <v>13</v>
      </c>
      <c r="E208" t="s">
        <v>42</v>
      </c>
      <c r="F208">
        <v>2857</v>
      </c>
      <c r="G208">
        <v>443</v>
      </c>
      <c r="H208">
        <v>359</v>
      </c>
      <c r="I208">
        <v>51519</v>
      </c>
      <c r="J208">
        <v>28256</v>
      </c>
      <c r="K208">
        <v>155</v>
      </c>
      <c r="L208" t="s">
        <v>33</v>
      </c>
      <c r="M208" t="s">
        <v>34</v>
      </c>
      <c r="N208">
        <f>(  Posts__2[[#This Row],[Likes]]+Posts__2[[#This Row],[Comments]]+Posts__2[[#This Row],[Shares]] ) / Posts__2[[#This Row],[Impressions]]</f>
        <v>7.1022341272152026E-2</v>
      </c>
    </row>
    <row r="209" spans="1:14" x14ac:dyDescent="0.3">
      <c r="A209" t="s">
        <v>257</v>
      </c>
      <c r="B209" t="s">
        <v>8</v>
      </c>
      <c r="C209" s="4">
        <v>45754</v>
      </c>
      <c r="D209" t="s">
        <v>15</v>
      </c>
      <c r="E209" t="s">
        <v>59</v>
      </c>
      <c r="F209">
        <v>1403</v>
      </c>
      <c r="G209">
        <v>385</v>
      </c>
      <c r="H209">
        <v>344</v>
      </c>
      <c r="I209">
        <v>54223</v>
      </c>
      <c r="J209">
        <v>72595</v>
      </c>
      <c r="K209">
        <v>239</v>
      </c>
      <c r="L209" t="s">
        <v>12</v>
      </c>
      <c r="M209" t="s">
        <v>37</v>
      </c>
      <c r="N209">
        <f>(  Posts__2[[#This Row],[Likes]]+Posts__2[[#This Row],[Comments]]+Posts__2[[#This Row],[Shares]] ) / Posts__2[[#This Row],[Impressions]]</f>
        <v>3.9319108127547353E-2</v>
      </c>
    </row>
    <row r="210" spans="1:14" x14ac:dyDescent="0.3">
      <c r="A210" t="s">
        <v>258</v>
      </c>
      <c r="B210" t="s">
        <v>8</v>
      </c>
      <c r="C210" s="4">
        <v>45492</v>
      </c>
      <c r="D210" t="s">
        <v>13</v>
      </c>
      <c r="E210" t="s">
        <v>47</v>
      </c>
      <c r="F210">
        <v>3071</v>
      </c>
      <c r="G210">
        <v>126</v>
      </c>
      <c r="H210">
        <v>200</v>
      </c>
      <c r="I210">
        <v>44013</v>
      </c>
      <c r="J210">
        <v>44679</v>
      </c>
      <c r="K210">
        <v>118</v>
      </c>
      <c r="L210" t="s">
        <v>51</v>
      </c>
      <c r="M210" t="s">
        <v>34</v>
      </c>
      <c r="N210">
        <f>(  Posts__2[[#This Row],[Likes]]+Posts__2[[#This Row],[Comments]]+Posts__2[[#This Row],[Shares]] ) / Posts__2[[#This Row],[Impressions]]</f>
        <v>7.7181741758116915E-2</v>
      </c>
    </row>
    <row r="211" spans="1:14" x14ac:dyDescent="0.3">
      <c r="A211" t="s">
        <v>259</v>
      </c>
      <c r="B211" t="s">
        <v>8</v>
      </c>
      <c r="C211" s="4">
        <v>45780</v>
      </c>
      <c r="D211" t="s">
        <v>13</v>
      </c>
      <c r="E211" t="s">
        <v>53</v>
      </c>
      <c r="F211">
        <v>1010</v>
      </c>
      <c r="G211">
        <v>361</v>
      </c>
      <c r="H211">
        <v>240</v>
      </c>
      <c r="I211">
        <v>47229</v>
      </c>
      <c r="J211">
        <v>72573</v>
      </c>
      <c r="K211">
        <v>275</v>
      </c>
      <c r="L211" t="s">
        <v>33</v>
      </c>
      <c r="M211" t="s">
        <v>34</v>
      </c>
      <c r="N211">
        <f>(  Posts__2[[#This Row],[Likes]]+Posts__2[[#This Row],[Comments]]+Posts__2[[#This Row],[Shares]] ) / Posts__2[[#This Row],[Impressions]]</f>
        <v>3.4110398272247981E-2</v>
      </c>
    </row>
    <row r="212" spans="1:14" x14ac:dyDescent="0.3">
      <c r="A212" t="s">
        <v>260</v>
      </c>
      <c r="B212" t="s">
        <v>8</v>
      </c>
      <c r="C212" s="4">
        <v>45396</v>
      </c>
      <c r="D212" t="s">
        <v>13</v>
      </c>
      <c r="E212" t="s">
        <v>32</v>
      </c>
      <c r="F212">
        <v>1295</v>
      </c>
      <c r="G212">
        <v>153</v>
      </c>
      <c r="H212">
        <v>81</v>
      </c>
      <c r="I212">
        <v>48350</v>
      </c>
      <c r="J212">
        <v>61033</v>
      </c>
      <c r="K212">
        <v>232</v>
      </c>
      <c r="L212" t="s">
        <v>51</v>
      </c>
      <c r="M212" t="s">
        <v>34</v>
      </c>
      <c r="N212">
        <f>(  Posts__2[[#This Row],[Likes]]+Posts__2[[#This Row],[Comments]]+Posts__2[[#This Row],[Shares]] ) / Posts__2[[#This Row],[Impressions]]</f>
        <v>3.1623578076525334E-2</v>
      </c>
    </row>
    <row r="213" spans="1:14" x14ac:dyDescent="0.3">
      <c r="A213" t="s">
        <v>261</v>
      </c>
      <c r="B213" t="s">
        <v>8</v>
      </c>
      <c r="C213" s="4">
        <v>45827</v>
      </c>
      <c r="D213" t="s">
        <v>13</v>
      </c>
      <c r="E213" t="s">
        <v>47</v>
      </c>
      <c r="F213">
        <v>1433</v>
      </c>
      <c r="G213">
        <v>452</v>
      </c>
      <c r="H213">
        <v>305</v>
      </c>
      <c r="I213">
        <v>54541</v>
      </c>
      <c r="J213">
        <v>63700</v>
      </c>
      <c r="K213">
        <v>296</v>
      </c>
      <c r="L213" t="s">
        <v>51</v>
      </c>
      <c r="M213" t="s">
        <v>34</v>
      </c>
      <c r="N213">
        <f>(  Posts__2[[#This Row],[Likes]]+Posts__2[[#This Row],[Comments]]+Posts__2[[#This Row],[Shares]] ) / Posts__2[[#This Row],[Impressions]]</f>
        <v>4.0153279184466734E-2</v>
      </c>
    </row>
    <row r="214" spans="1:14" x14ac:dyDescent="0.3">
      <c r="A214" t="s">
        <v>262</v>
      </c>
      <c r="B214" t="s">
        <v>7</v>
      </c>
      <c r="C214" s="4">
        <v>45832</v>
      </c>
      <c r="D214" t="s">
        <v>13</v>
      </c>
      <c r="E214" t="s">
        <v>49</v>
      </c>
      <c r="F214">
        <v>4902</v>
      </c>
      <c r="G214">
        <v>422</v>
      </c>
      <c r="H214">
        <v>376</v>
      </c>
      <c r="I214">
        <v>31674</v>
      </c>
      <c r="J214">
        <v>53225</v>
      </c>
      <c r="K214">
        <v>147</v>
      </c>
      <c r="L214" t="s">
        <v>5</v>
      </c>
      <c r="M214" t="s">
        <v>65</v>
      </c>
      <c r="N214">
        <f>(  Posts__2[[#This Row],[Likes]]+Posts__2[[#This Row],[Comments]]+Posts__2[[#This Row],[Shares]] ) / Posts__2[[#This Row],[Impressions]]</f>
        <v>0.17995832544042431</v>
      </c>
    </row>
    <row r="215" spans="1:14" x14ac:dyDescent="0.3">
      <c r="A215" t="s">
        <v>263</v>
      </c>
      <c r="B215" t="s">
        <v>8</v>
      </c>
      <c r="C215" s="4">
        <v>45574</v>
      </c>
      <c r="D215" t="s">
        <v>15</v>
      </c>
      <c r="E215" t="s">
        <v>42</v>
      </c>
      <c r="F215">
        <v>2659</v>
      </c>
      <c r="G215">
        <v>167</v>
      </c>
      <c r="H215">
        <v>73</v>
      </c>
      <c r="I215">
        <v>23090</v>
      </c>
      <c r="J215">
        <v>25872</v>
      </c>
      <c r="K215">
        <v>293</v>
      </c>
      <c r="L215" t="s">
        <v>12</v>
      </c>
      <c r="M215" t="s">
        <v>37</v>
      </c>
      <c r="N215">
        <f>(  Posts__2[[#This Row],[Likes]]+Posts__2[[#This Row],[Comments]]+Posts__2[[#This Row],[Shares]] ) / Posts__2[[#This Row],[Impressions]]</f>
        <v>0.12555218709398008</v>
      </c>
    </row>
    <row r="216" spans="1:14" x14ac:dyDescent="0.3">
      <c r="A216" t="s">
        <v>264</v>
      </c>
      <c r="B216" t="s">
        <v>9</v>
      </c>
      <c r="C216" s="4">
        <v>45672</v>
      </c>
      <c r="D216" t="s">
        <v>15</v>
      </c>
      <c r="E216" t="s">
        <v>61</v>
      </c>
      <c r="F216">
        <v>2599</v>
      </c>
      <c r="G216">
        <v>324</v>
      </c>
      <c r="H216">
        <v>182</v>
      </c>
      <c r="I216">
        <v>37525</v>
      </c>
      <c r="J216">
        <v>37216</v>
      </c>
      <c r="K216">
        <v>186</v>
      </c>
      <c r="L216" t="s">
        <v>45</v>
      </c>
      <c r="M216" t="s">
        <v>37</v>
      </c>
      <c r="N216">
        <f>(  Posts__2[[#This Row],[Likes]]+Posts__2[[#This Row],[Comments]]+Posts__2[[#This Row],[Shares]] ) / Posts__2[[#This Row],[Impressions]]</f>
        <v>8.2744836775483013E-2</v>
      </c>
    </row>
    <row r="217" spans="1:14" x14ac:dyDescent="0.3">
      <c r="A217" t="s">
        <v>265</v>
      </c>
      <c r="B217" t="s">
        <v>8</v>
      </c>
      <c r="C217" s="4">
        <v>45669</v>
      </c>
      <c r="D217" t="s">
        <v>15</v>
      </c>
      <c r="E217" t="s">
        <v>44</v>
      </c>
      <c r="F217">
        <v>1765</v>
      </c>
      <c r="G217">
        <v>285</v>
      </c>
      <c r="H217">
        <v>100</v>
      </c>
      <c r="I217">
        <v>41313</v>
      </c>
      <c r="J217">
        <v>56575</v>
      </c>
      <c r="K217">
        <v>174</v>
      </c>
      <c r="L217" t="s">
        <v>12</v>
      </c>
      <c r="M217" t="s">
        <v>37</v>
      </c>
      <c r="N217">
        <f>(  Posts__2[[#This Row],[Likes]]+Posts__2[[#This Row],[Comments]]+Posts__2[[#This Row],[Shares]] ) / Posts__2[[#This Row],[Impressions]]</f>
        <v>5.2041730205988429E-2</v>
      </c>
    </row>
    <row r="218" spans="1:14" x14ac:dyDescent="0.3">
      <c r="A218" t="s">
        <v>266</v>
      </c>
      <c r="B218" t="s">
        <v>7</v>
      </c>
      <c r="C218" s="4">
        <v>45808</v>
      </c>
      <c r="D218" t="s">
        <v>15</v>
      </c>
      <c r="E218" t="s">
        <v>47</v>
      </c>
      <c r="F218">
        <v>2169</v>
      </c>
      <c r="G218">
        <v>240</v>
      </c>
      <c r="H218">
        <v>57</v>
      </c>
      <c r="I218">
        <v>26109</v>
      </c>
      <c r="J218">
        <v>46667</v>
      </c>
      <c r="K218">
        <v>133</v>
      </c>
      <c r="L218" t="s">
        <v>33</v>
      </c>
      <c r="M218" t="s">
        <v>34</v>
      </c>
      <c r="N218">
        <f>(  Posts__2[[#This Row],[Likes]]+Posts__2[[#This Row],[Comments]]+Posts__2[[#This Row],[Shares]] ) / Posts__2[[#This Row],[Impressions]]</f>
        <v>9.4450189589796618E-2</v>
      </c>
    </row>
    <row r="219" spans="1:14" x14ac:dyDescent="0.3">
      <c r="A219" t="s">
        <v>267</v>
      </c>
      <c r="B219" t="s">
        <v>8</v>
      </c>
      <c r="C219" s="4">
        <v>45579</v>
      </c>
      <c r="D219" t="s">
        <v>13</v>
      </c>
      <c r="E219" t="s">
        <v>36</v>
      </c>
      <c r="F219">
        <v>4303</v>
      </c>
      <c r="G219">
        <v>306</v>
      </c>
      <c r="H219">
        <v>302</v>
      </c>
      <c r="I219">
        <v>39575</v>
      </c>
      <c r="J219">
        <v>33762</v>
      </c>
      <c r="K219">
        <v>265</v>
      </c>
      <c r="L219" t="s">
        <v>51</v>
      </c>
      <c r="M219" t="s">
        <v>34</v>
      </c>
      <c r="N219">
        <f>(  Posts__2[[#This Row],[Likes]]+Posts__2[[#This Row],[Comments]]+Posts__2[[#This Row],[Shares]] ) / Posts__2[[#This Row],[Impressions]]</f>
        <v>0.12409349336702463</v>
      </c>
    </row>
    <row r="220" spans="1:14" x14ac:dyDescent="0.3">
      <c r="A220" t="s">
        <v>268</v>
      </c>
      <c r="B220" t="s">
        <v>8</v>
      </c>
      <c r="C220" s="4">
        <v>45332</v>
      </c>
      <c r="D220" t="s">
        <v>15</v>
      </c>
      <c r="E220" t="s">
        <v>59</v>
      </c>
      <c r="F220">
        <v>1519</v>
      </c>
      <c r="G220">
        <v>456</v>
      </c>
      <c r="H220">
        <v>379</v>
      </c>
      <c r="I220">
        <v>51611</v>
      </c>
      <c r="J220">
        <v>45880</v>
      </c>
      <c r="K220">
        <v>176</v>
      </c>
      <c r="L220" t="s">
        <v>12</v>
      </c>
      <c r="M220" t="s">
        <v>37</v>
      </c>
      <c r="N220">
        <f>(  Posts__2[[#This Row],[Likes]]+Posts__2[[#This Row],[Comments]]+Posts__2[[#This Row],[Shares]] ) / Posts__2[[#This Row],[Impressions]]</f>
        <v>4.5610431884675749E-2</v>
      </c>
    </row>
    <row r="221" spans="1:14" x14ac:dyDescent="0.3">
      <c r="A221" t="s">
        <v>269</v>
      </c>
      <c r="B221" t="s">
        <v>9</v>
      </c>
      <c r="C221" s="4">
        <v>45636</v>
      </c>
      <c r="D221" t="s">
        <v>15</v>
      </c>
      <c r="E221" t="s">
        <v>47</v>
      </c>
      <c r="F221">
        <v>2569</v>
      </c>
      <c r="G221">
        <v>140</v>
      </c>
      <c r="H221">
        <v>375</v>
      </c>
      <c r="I221">
        <v>38372</v>
      </c>
      <c r="J221">
        <v>22102</v>
      </c>
      <c r="K221">
        <v>255</v>
      </c>
      <c r="L221" t="s">
        <v>45</v>
      </c>
      <c r="M221" t="s">
        <v>37</v>
      </c>
      <c r="N221">
        <f>(  Posts__2[[#This Row],[Likes]]+Posts__2[[#This Row],[Comments]]+Posts__2[[#This Row],[Shares]] ) / Posts__2[[#This Row],[Impressions]]</f>
        <v>8.0371103929948923E-2</v>
      </c>
    </row>
    <row r="222" spans="1:14" x14ac:dyDescent="0.3">
      <c r="A222" t="s">
        <v>270</v>
      </c>
      <c r="B222" t="s">
        <v>8</v>
      </c>
      <c r="C222" s="4">
        <v>45786</v>
      </c>
      <c r="D222" t="s">
        <v>13</v>
      </c>
      <c r="E222" t="s">
        <v>44</v>
      </c>
      <c r="F222">
        <v>2778</v>
      </c>
      <c r="G222">
        <v>241</v>
      </c>
      <c r="H222">
        <v>317</v>
      </c>
      <c r="I222">
        <v>26247</v>
      </c>
      <c r="J222">
        <v>20677</v>
      </c>
      <c r="K222">
        <v>282</v>
      </c>
      <c r="L222" t="s">
        <v>40</v>
      </c>
      <c r="M222" t="s">
        <v>34</v>
      </c>
      <c r="N222">
        <f>(  Posts__2[[#This Row],[Likes]]+Posts__2[[#This Row],[Comments]]+Posts__2[[#This Row],[Shares]] ) / Posts__2[[#This Row],[Impressions]]</f>
        <v>0.1271002400274317</v>
      </c>
    </row>
    <row r="223" spans="1:14" x14ac:dyDescent="0.3">
      <c r="A223" t="s">
        <v>271</v>
      </c>
      <c r="B223" t="s">
        <v>8</v>
      </c>
      <c r="C223" s="4">
        <v>45829</v>
      </c>
      <c r="D223" t="s">
        <v>15</v>
      </c>
      <c r="E223" t="s">
        <v>36</v>
      </c>
      <c r="F223">
        <v>3611</v>
      </c>
      <c r="G223">
        <v>127</v>
      </c>
      <c r="H223">
        <v>139</v>
      </c>
      <c r="I223">
        <v>44768</v>
      </c>
      <c r="J223">
        <v>29435</v>
      </c>
      <c r="K223">
        <v>178</v>
      </c>
      <c r="L223" t="s">
        <v>5</v>
      </c>
      <c r="M223" t="s">
        <v>34</v>
      </c>
      <c r="N223">
        <f>(  Posts__2[[#This Row],[Likes]]+Posts__2[[#This Row],[Comments]]+Posts__2[[#This Row],[Shares]] ) / Posts__2[[#This Row],[Impressions]]</f>
        <v>8.6602037169406718E-2</v>
      </c>
    </row>
    <row r="224" spans="1:14" x14ac:dyDescent="0.3">
      <c r="A224" t="s">
        <v>272</v>
      </c>
      <c r="B224" t="s">
        <v>8</v>
      </c>
      <c r="C224" s="4">
        <v>45462</v>
      </c>
      <c r="D224" t="s">
        <v>15</v>
      </c>
      <c r="E224" t="s">
        <v>47</v>
      </c>
      <c r="F224">
        <v>1224</v>
      </c>
      <c r="G224">
        <v>168</v>
      </c>
      <c r="H224">
        <v>199</v>
      </c>
      <c r="I224">
        <v>54232</v>
      </c>
      <c r="J224">
        <v>52844</v>
      </c>
      <c r="K224">
        <v>271</v>
      </c>
      <c r="L224" t="s">
        <v>12</v>
      </c>
      <c r="M224" t="s">
        <v>37</v>
      </c>
      <c r="N224">
        <f>(  Posts__2[[#This Row],[Likes]]+Posts__2[[#This Row],[Comments]]+Posts__2[[#This Row],[Shares]] ) / Posts__2[[#This Row],[Impressions]]</f>
        <v>2.9336922849977874E-2</v>
      </c>
    </row>
    <row r="225" spans="1:14" x14ac:dyDescent="0.3">
      <c r="A225" t="s">
        <v>273</v>
      </c>
      <c r="B225" t="s">
        <v>8</v>
      </c>
      <c r="C225" s="4">
        <v>45636</v>
      </c>
      <c r="D225" t="s">
        <v>15</v>
      </c>
      <c r="E225" t="s">
        <v>59</v>
      </c>
      <c r="F225">
        <v>4673</v>
      </c>
      <c r="G225">
        <v>270</v>
      </c>
      <c r="H225">
        <v>93</v>
      </c>
      <c r="I225">
        <v>45260</v>
      </c>
      <c r="J225">
        <v>57513</v>
      </c>
      <c r="K225">
        <v>103</v>
      </c>
      <c r="L225" t="s">
        <v>5</v>
      </c>
      <c r="M225" t="s">
        <v>34</v>
      </c>
      <c r="N225">
        <f>(  Posts__2[[#This Row],[Likes]]+Posts__2[[#This Row],[Comments]]+Posts__2[[#This Row],[Shares]] ) / Posts__2[[#This Row],[Impressions]]</f>
        <v>0.11126822801590809</v>
      </c>
    </row>
    <row r="226" spans="1:14" x14ac:dyDescent="0.3">
      <c r="A226" t="s">
        <v>274</v>
      </c>
      <c r="B226" t="s">
        <v>9</v>
      </c>
      <c r="C226" s="4">
        <v>45323</v>
      </c>
      <c r="D226" t="s">
        <v>15</v>
      </c>
      <c r="E226" t="s">
        <v>42</v>
      </c>
      <c r="F226">
        <v>1432</v>
      </c>
      <c r="G226">
        <v>437</v>
      </c>
      <c r="H226">
        <v>267</v>
      </c>
      <c r="I226">
        <v>40634</v>
      </c>
      <c r="J226">
        <v>54511</v>
      </c>
      <c r="K226">
        <v>197</v>
      </c>
      <c r="L226" t="s">
        <v>45</v>
      </c>
      <c r="M226" t="s">
        <v>37</v>
      </c>
      <c r="N226">
        <f>(  Posts__2[[#This Row],[Likes]]+Posts__2[[#This Row],[Comments]]+Posts__2[[#This Row],[Shares]] ) / Posts__2[[#This Row],[Impressions]]</f>
        <v>5.2566815966924252E-2</v>
      </c>
    </row>
    <row r="227" spans="1:14" x14ac:dyDescent="0.3">
      <c r="A227" t="s">
        <v>275</v>
      </c>
      <c r="B227" t="s">
        <v>8</v>
      </c>
      <c r="C227" s="4">
        <v>45308</v>
      </c>
      <c r="D227" t="s">
        <v>13</v>
      </c>
      <c r="E227" t="s">
        <v>39</v>
      </c>
      <c r="F227">
        <v>2174</v>
      </c>
      <c r="G227">
        <v>499</v>
      </c>
      <c r="H227">
        <v>212</v>
      </c>
      <c r="I227">
        <v>54938</v>
      </c>
      <c r="J227">
        <v>27190</v>
      </c>
      <c r="K227">
        <v>265</v>
      </c>
      <c r="L227" t="s">
        <v>40</v>
      </c>
      <c r="M227" t="s">
        <v>34</v>
      </c>
      <c r="N227">
        <f>(  Posts__2[[#This Row],[Likes]]+Posts__2[[#This Row],[Comments]]+Posts__2[[#This Row],[Shares]] ) / Posts__2[[#This Row],[Impressions]]</f>
        <v>5.2513742764570971E-2</v>
      </c>
    </row>
    <row r="228" spans="1:14" x14ac:dyDescent="0.3">
      <c r="A228" t="s">
        <v>276</v>
      </c>
      <c r="B228" t="s">
        <v>9</v>
      </c>
      <c r="C228" s="4">
        <v>45738</v>
      </c>
      <c r="D228" t="s">
        <v>15</v>
      </c>
      <c r="E228" t="s">
        <v>44</v>
      </c>
      <c r="F228">
        <v>4308</v>
      </c>
      <c r="G228">
        <v>171</v>
      </c>
      <c r="H228">
        <v>106</v>
      </c>
      <c r="I228">
        <v>36955</v>
      </c>
      <c r="J228">
        <v>23949</v>
      </c>
      <c r="K228">
        <v>294</v>
      </c>
      <c r="L228" t="s">
        <v>45</v>
      </c>
      <c r="M228" t="s">
        <v>37</v>
      </c>
      <c r="N228">
        <f>(  Posts__2[[#This Row],[Likes]]+Posts__2[[#This Row],[Comments]]+Posts__2[[#This Row],[Shares]] ) / Posts__2[[#This Row],[Impressions]]</f>
        <v>0.12406981463942633</v>
      </c>
    </row>
    <row r="229" spans="1:14" x14ac:dyDescent="0.3">
      <c r="A229" t="s">
        <v>277</v>
      </c>
      <c r="B229" t="s">
        <v>9</v>
      </c>
      <c r="C229" s="4">
        <v>45442</v>
      </c>
      <c r="D229" t="s">
        <v>11</v>
      </c>
      <c r="E229" t="s">
        <v>47</v>
      </c>
      <c r="F229">
        <v>1060</v>
      </c>
      <c r="G229">
        <v>442</v>
      </c>
      <c r="H229">
        <v>319</v>
      </c>
      <c r="I229">
        <v>57194</v>
      </c>
      <c r="J229">
        <v>24258</v>
      </c>
      <c r="K229">
        <v>101</v>
      </c>
      <c r="L229" t="s">
        <v>67</v>
      </c>
      <c r="M229" t="s">
        <v>68</v>
      </c>
      <c r="N229">
        <f>(  Posts__2[[#This Row],[Likes]]+Posts__2[[#This Row],[Comments]]+Posts__2[[#This Row],[Shares]] ) / Posts__2[[#This Row],[Impressions]]</f>
        <v>3.1839004091338254E-2</v>
      </c>
    </row>
    <row r="230" spans="1:14" x14ac:dyDescent="0.3">
      <c r="A230" t="s">
        <v>278</v>
      </c>
      <c r="B230" t="s">
        <v>9</v>
      </c>
      <c r="C230" s="4">
        <v>45346</v>
      </c>
      <c r="D230" t="s">
        <v>15</v>
      </c>
      <c r="E230" t="s">
        <v>44</v>
      </c>
      <c r="F230">
        <v>4653</v>
      </c>
      <c r="G230">
        <v>226</v>
      </c>
      <c r="H230">
        <v>349</v>
      </c>
      <c r="I230">
        <v>56876</v>
      </c>
      <c r="J230">
        <v>28452</v>
      </c>
      <c r="K230">
        <v>257</v>
      </c>
      <c r="L230" t="s">
        <v>45</v>
      </c>
      <c r="M230" t="s">
        <v>37</v>
      </c>
      <c r="N230">
        <f>(  Posts__2[[#This Row],[Likes]]+Posts__2[[#This Row],[Comments]]+Posts__2[[#This Row],[Shares]] ) / Posts__2[[#This Row],[Impressions]]</f>
        <v>9.191926295801392E-2</v>
      </c>
    </row>
    <row r="231" spans="1:14" x14ac:dyDescent="0.3">
      <c r="A231" t="s">
        <v>279</v>
      </c>
      <c r="B231" t="s">
        <v>9</v>
      </c>
      <c r="C231" s="4">
        <v>45791</v>
      </c>
      <c r="D231" t="s">
        <v>15</v>
      </c>
      <c r="E231" t="s">
        <v>32</v>
      </c>
      <c r="F231">
        <v>1701</v>
      </c>
      <c r="G231">
        <v>272</v>
      </c>
      <c r="H231">
        <v>385</v>
      </c>
      <c r="I231">
        <v>47496</v>
      </c>
      <c r="J231">
        <v>40832</v>
      </c>
      <c r="K231">
        <v>246</v>
      </c>
      <c r="L231" t="s">
        <v>45</v>
      </c>
      <c r="M231" t="s">
        <v>37</v>
      </c>
      <c r="N231">
        <f>(  Posts__2[[#This Row],[Likes]]+Posts__2[[#This Row],[Comments]]+Posts__2[[#This Row],[Shares]] ) / Posts__2[[#This Row],[Impressions]]</f>
        <v>4.9646286003031836E-2</v>
      </c>
    </row>
    <row r="232" spans="1:14" x14ac:dyDescent="0.3">
      <c r="A232" t="s">
        <v>280</v>
      </c>
      <c r="B232" t="s">
        <v>7</v>
      </c>
      <c r="C232" s="4">
        <v>45379</v>
      </c>
      <c r="D232" t="s">
        <v>15</v>
      </c>
      <c r="E232" t="s">
        <v>47</v>
      </c>
      <c r="F232">
        <v>1673</v>
      </c>
      <c r="G232">
        <v>280</v>
      </c>
      <c r="H232">
        <v>67</v>
      </c>
      <c r="I232">
        <v>29847</v>
      </c>
      <c r="J232">
        <v>48016</v>
      </c>
      <c r="K232">
        <v>213</v>
      </c>
      <c r="L232" t="s">
        <v>33</v>
      </c>
      <c r="M232" t="s">
        <v>34</v>
      </c>
      <c r="N232">
        <f>(  Posts__2[[#This Row],[Likes]]+Posts__2[[#This Row],[Comments]]+Posts__2[[#This Row],[Shares]] ) / Posts__2[[#This Row],[Impressions]]</f>
        <v>6.76784936509532E-2</v>
      </c>
    </row>
    <row r="233" spans="1:14" x14ac:dyDescent="0.3">
      <c r="A233" t="s">
        <v>281</v>
      </c>
      <c r="B233" t="s">
        <v>9</v>
      </c>
      <c r="C233" s="4">
        <v>45723</v>
      </c>
      <c r="D233" t="s">
        <v>15</v>
      </c>
      <c r="E233" t="s">
        <v>53</v>
      </c>
      <c r="F233">
        <v>4310</v>
      </c>
      <c r="G233">
        <v>284</v>
      </c>
      <c r="H233">
        <v>306</v>
      </c>
      <c r="I233">
        <v>44606</v>
      </c>
      <c r="J233">
        <v>42604</v>
      </c>
      <c r="K233">
        <v>290</v>
      </c>
      <c r="L233" t="s">
        <v>45</v>
      </c>
      <c r="M233" t="s">
        <v>37</v>
      </c>
      <c r="N233">
        <f>(  Posts__2[[#This Row],[Likes]]+Posts__2[[#This Row],[Comments]]+Posts__2[[#This Row],[Shares]] ) / Posts__2[[#This Row],[Impressions]]</f>
        <v>0.10985069273191947</v>
      </c>
    </row>
    <row r="234" spans="1:14" x14ac:dyDescent="0.3">
      <c r="A234" t="s">
        <v>282</v>
      </c>
      <c r="B234" t="s">
        <v>8</v>
      </c>
      <c r="C234" s="4">
        <v>45585</v>
      </c>
      <c r="D234" t="s">
        <v>15</v>
      </c>
      <c r="E234" t="s">
        <v>59</v>
      </c>
      <c r="F234">
        <v>2752</v>
      </c>
      <c r="G234">
        <v>309</v>
      </c>
      <c r="H234">
        <v>91</v>
      </c>
      <c r="I234">
        <v>39038</v>
      </c>
      <c r="J234">
        <v>28095</v>
      </c>
      <c r="K234">
        <v>277</v>
      </c>
      <c r="L234" t="s">
        <v>5</v>
      </c>
      <c r="M234" t="s">
        <v>34</v>
      </c>
      <c r="N234">
        <f>(  Posts__2[[#This Row],[Likes]]+Posts__2[[#This Row],[Comments]]+Posts__2[[#This Row],[Shares]] ) / Posts__2[[#This Row],[Impressions]]</f>
        <v>8.0741841282852611E-2</v>
      </c>
    </row>
    <row r="235" spans="1:14" x14ac:dyDescent="0.3">
      <c r="A235" t="s">
        <v>283</v>
      </c>
      <c r="B235" t="s">
        <v>8</v>
      </c>
      <c r="C235" s="4">
        <v>45324</v>
      </c>
      <c r="D235" t="s">
        <v>15</v>
      </c>
      <c r="E235" t="s">
        <v>59</v>
      </c>
      <c r="F235">
        <v>3818</v>
      </c>
      <c r="G235">
        <v>115</v>
      </c>
      <c r="H235">
        <v>286</v>
      </c>
      <c r="I235">
        <v>25127</v>
      </c>
      <c r="J235">
        <v>22277</v>
      </c>
      <c r="K235">
        <v>263</v>
      </c>
      <c r="L235" t="s">
        <v>5</v>
      </c>
      <c r="M235" t="s">
        <v>34</v>
      </c>
      <c r="N235">
        <f>(  Posts__2[[#This Row],[Likes]]+Posts__2[[#This Row],[Comments]]+Posts__2[[#This Row],[Shares]] ) / Posts__2[[#This Row],[Impressions]]</f>
        <v>0.16790703227603773</v>
      </c>
    </row>
    <row r="236" spans="1:14" x14ac:dyDescent="0.3">
      <c r="A236" t="s">
        <v>284</v>
      </c>
      <c r="B236" t="s">
        <v>9</v>
      </c>
      <c r="C236" s="4">
        <v>45542</v>
      </c>
      <c r="D236" t="s">
        <v>15</v>
      </c>
      <c r="E236" t="s">
        <v>61</v>
      </c>
      <c r="F236">
        <v>2101</v>
      </c>
      <c r="G236">
        <v>411</v>
      </c>
      <c r="H236">
        <v>190</v>
      </c>
      <c r="I236">
        <v>41791</v>
      </c>
      <c r="J236">
        <v>57090</v>
      </c>
      <c r="K236">
        <v>172</v>
      </c>
      <c r="L236" t="s">
        <v>45</v>
      </c>
      <c r="M236" t="s">
        <v>37</v>
      </c>
      <c r="N236">
        <f>(  Posts__2[[#This Row],[Likes]]+Posts__2[[#This Row],[Comments]]+Posts__2[[#This Row],[Shares]] ) / Posts__2[[#This Row],[Impressions]]</f>
        <v>6.4655069273288512E-2</v>
      </c>
    </row>
    <row r="237" spans="1:14" x14ac:dyDescent="0.3">
      <c r="A237" t="s">
        <v>285</v>
      </c>
      <c r="B237" t="s">
        <v>7</v>
      </c>
      <c r="C237" s="4">
        <v>45646</v>
      </c>
      <c r="D237" t="s">
        <v>15</v>
      </c>
      <c r="E237" t="s">
        <v>32</v>
      </c>
      <c r="F237">
        <v>2519</v>
      </c>
      <c r="G237">
        <v>202</v>
      </c>
      <c r="H237">
        <v>239</v>
      </c>
      <c r="I237">
        <v>36245</v>
      </c>
      <c r="J237">
        <v>48606</v>
      </c>
      <c r="K237">
        <v>145</v>
      </c>
      <c r="L237" t="s">
        <v>10</v>
      </c>
      <c r="M237" t="s">
        <v>37</v>
      </c>
      <c r="N237">
        <f>(  Posts__2[[#This Row],[Likes]]+Posts__2[[#This Row],[Comments]]+Posts__2[[#This Row],[Shares]] ) / Posts__2[[#This Row],[Impressions]]</f>
        <v>8.1666436749896543E-2</v>
      </c>
    </row>
    <row r="238" spans="1:14" x14ac:dyDescent="0.3">
      <c r="A238" t="s">
        <v>286</v>
      </c>
      <c r="B238" t="s">
        <v>9</v>
      </c>
      <c r="C238" s="4">
        <v>45305</v>
      </c>
      <c r="D238" t="s">
        <v>15</v>
      </c>
      <c r="E238" t="s">
        <v>47</v>
      </c>
      <c r="F238">
        <v>4502</v>
      </c>
      <c r="G238">
        <v>238</v>
      </c>
      <c r="H238">
        <v>386</v>
      </c>
      <c r="I238">
        <v>39198</v>
      </c>
      <c r="J238">
        <v>25050</v>
      </c>
      <c r="K238">
        <v>297</v>
      </c>
      <c r="L238" t="s">
        <v>45</v>
      </c>
      <c r="M238" t="s">
        <v>37</v>
      </c>
      <c r="N238">
        <f>(  Posts__2[[#This Row],[Likes]]+Posts__2[[#This Row],[Comments]]+Posts__2[[#This Row],[Shares]] ) / Posts__2[[#This Row],[Impressions]]</f>
        <v>0.13077197816215114</v>
      </c>
    </row>
    <row r="239" spans="1:14" x14ac:dyDescent="0.3">
      <c r="A239" t="s">
        <v>287</v>
      </c>
      <c r="B239" t="s">
        <v>7</v>
      </c>
      <c r="C239" s="4">
        <v>45823</v>
      </c>
      <c r="D239" t="s">
        <v>15</v>
      </c>
      <c r="E239" t="s">
        <v>36</v>
      </c>
      <c r="F239">
        <v>2478</v>
      </c>
      <c r="G239">
        <v>427</v>
      </c>
      <c r="H239">
        <v>242</v>
      </c>
      <c r="I239">
        <v>59272</v>
      </c>
      <c r="J239">
        <v>37833</v>
      </c>
      <c r="K239">
        <v>214</v>
      </c>
      <c r="L239" t="s">
        <v>33</v>
      </c>
      <c r="M239" t="s">
        <v>34</v>
      </c>
      <c r="N239">
        <f>(  Posts__2[[#This Row],[Likes]]+Posts__2[[#This Row],[Comments]]+Posts__2[[#This Row],[Shares]] ) / Posts__2[[#This Row],[Impressions]]</f>
        <v>5.3094209744904843E-2</v>
      </c>
    </row>
    <row r="240" spans="1:14" x14ac:dyDescent="0.3">
      <c r="A240" t="s">
        <v>288</v>
      </c>
      <c r="B240" t="s">
        <v>8</v>
      </c>
      <c r="C240" s="4">
        <v>45639</v>
      </c>
      <c r="D240" t="s">
        <v>13</v>
      </c>
      <c r="E240" t="s">
        <v>39</v>
      </c>
      <c r="F240">
        <v>4984</v>
      </c>
      <c r="G240">
        <v>300</v>
      </c>
      <c r="H240">
        <v>338</v>
      </c>
      <c r="I240">
        <v>32900</v>
      </c>
      <c r="J240">
        <v>31691</v>
      </c>
      <c r="K240">
        <v>160</v>
      </c>
      <c r="L240" t="s">
        <v>40</v>
      </c>
      <c r="M240" t="s">
        <v>34</v>
      </c>
      <c r="N240">
        <f>(  Posts__2[[#This Row],[Likes]]+Posts__2[[#This Row],[Comments]]+Posts__2[[#This Row],[Shares]] ) / Posts__2[[#This Row],[Impressions]]</f>
        <v>0.17088145896656534</v>
      </c>
    </row>
    <row r="241" spans="1:14" x14ac:dyDescent="0.3">
      <c r="A241" t="s">
        <v>289</v>
      </c>
      <c r="B241" t="s">
        <v>9</v>
      </c>
      <c r="C241" s="4">
        <v>45533</v>
      </c>
      <c r="D241" t="s">
        <v>15</v>
      </c>
      <c r="E241" t="s">
        <v>42</v>
      </c>
      <c r="F241">
        <v>4774</v>
      </c>
      <c r="G241">
        <v>389</v>
      </c>
      <c r="H241">
        <v>358</v>
      </c>
      <c r="I241">
        <v>52346</v>
      </c>
      <c r="J241">
        <v>30518</v>
      </c>
      <c r="K241">
        <v>277</v>
      </c>
      <c r="L241" t="s">
        <v>45</v>
      </c>
      <c r="M241" t="s">
        <v>37</v>
      </c>
      <c r="N241">
        <f>(  Posts__2[[#This Row],[Likes]]+Posts__2[[#This Row],[Comments]]+Posts__2[[#This Row],[Shares]] ) / Posts__2[[#This Row],[Impressions]]</f>
        <v>0.10547128720437092</v>
      </c>
    </row>
    <row r="242" spans="1:14" x14ac:dyDescent="0.3">
      <c r="A242" t="s">
        <v>290</v>
      </c>
      <c r="B242" t="s">
        <v>8</v>
      </c>
      <c r="C242" s="4">
        <v>45550</v>
      </c>
      <c r="D242" t="s">
        <v>15</v>
      </c>
      <c r="E242" t="s">
        <v>49</v>
      </c>
      <c r="F242">
        <v>2145</v>
      </c>
      <c r="G242">
        <v>340</v>
      </c>
      <c r="H242">
        <v>85</v>
      </c>
      <c r="I242">
        <v>53323</v>
      </c>
      <c r="J242">
        <v>49938</v>
      </c>
      <c r="K242">
        <v>104</v>
      </c>
      <c r="L242" t="s">
        <v>5</v>
      </c>
      <c r="M242" t="s">
        <v>34</v>
      </c>
      <c r="N242">
        <f>(  Posts__2[[#This Row],[Likes]]+Posts__2[[#This Row],[Comments]]+Posts__2[[#This Row],[Shares]] ) / Posts__2[[#This Row],[Impressions]]</f>
        <v>4.819683813738912E-2</v>
      </c>
    </row>
    <row r="243" spans="1:14" x14ac:dyDescent="0.3">
      <c r="A243" t="s">
        <v>291</v>
      </c>
      <c r="B243" t="s">
        <v>8</v>
      </c>
      <c r="C243" s="4">
        <v>45759</v>
      </c>
      <c r="D243" t="s">
        <v>13</v>
      </c>
      <c r="E243" t="s">
        <v>59</v>
      </c>
      <c r="F243">
        <v>4315</v>
      </c>
      <c r="G243">
        <v>208</v>
      </c>
      <c r="H243">
        <v>273</v>
      </c>
      <c r="I243">
        <v>35780</v>
      </c>
      <c r="J243">
        <v>44349</v>
      </c>
      <c r="K243">
        <v>133</v>
      </c>
      <c r="L243" t="s">
        <v>51</v>
      </c>
      <c r="M243" t="s">
        <v>34</v>
      </c>
      <c r="N243">
        <f>(  Posts__2[[#This Row],[Likes]]+Posts__2[[#This Row],[Comments]]+Posts__2[[#This Row],[Shares]] ) / Posts__2[[#This Row],[Impressions]]</f>
        <v>0.13404136389044158</v>
      </c>
    </row>
    <row r="244" spans="1:14" x14ac:dyDescent="0.3">
      <c r="A244" t="s">
        <v>292</v>
      </c>
      <c r="B244" t="s">
        <v>8</v>
      </c>
      <c r="C244" s="4">
        <v>45636</v>
      </c>
      <c r="D244" t="s">
        <v>13</v>
      </c>
      <c r="E244" t="s">
        <v>42</v>
      </c>
      <c r="F244">
        <v>2267</v>
      </c>
      <c r="G244">
        <v>230</v>
      </c>
      <c r="H244">
        <v>243</v>
      </c>
      <c r="I244">
        <v>27904</v>
      </c>
      <c r="J244">
        <v>69771</v>
      </c>
      <c r="K244">
        <v>255</v>
      </c>
      <c r="L244" t="s">
        <v>51</v>
      </c>
      <c r="M244" t="s">
        <v>34</v>
      </c>
      <c r="N244">
        <f>(  Posts__2[[#This Row],[Likes]]+Posts__2[[#This Row],[Comments]]+Posts__2[[#This Row],[Shares]] ) / Posts__2[[#This Row],[Impressions]]</f>
        <v>9.8193807339449546E-2</v>
      </c>
    </row>
    <row r="245" spans="1:14" x14ac:dyDescent="0.3">
      <c r="A245" t="s">
        <v>293</v>
      </c>
      <c r="B245" t="s">
        <v>9</v>
      </c>
      <c r="C245" s="4">
        <v>45816</v>
      </c>
      <c r="D245" t="s">
        <v>15</v>
      </c>
      <c r="E245" t="s">
        <v>44</v>
      </c>
      <c r="F245">
        <v>4375</v>
      </c>
      <c r="G245">
        <v>303</v>
      </c>
      <c r="H245">
        <v>294</v>
      </c>
      <c r="I245">
        <v>57468</v>
      </c>
      <c r="J245">
        <v>53397</v>
      </c>
      <c r="K245">
        <v>159</v>
      </c>
      <c r="L245" t="s">
        <v>45</v>
      </c>
      <c r="M245" t="s">
        <v>37</v>
      </c>
      <c r="N245">
        <f>(  Posts__2[[#This Row],[Likes]]+Posts__2[[#This Row],[Comments]]+Posts__2[[#This Row],[Shares]] ) / Posts__2[[#This Row],[Impressions]]</f>
        <v>8.6517714206166912E-2</v>
      </c>
    </row>
    <row r="246" spans="1:14" x14ac:dyDescent="0.3">
      <c r="A246" t="s">
        <v>294</v>
      </c>
      <c r="B246" t="s">
        <v>8</v>
      </c>
      <c r="C246" s="4">
        <v>45666</v>
      </c>
      <c r="D246" t="s">
        <v>13</v>
      </c>
      <c r="E246" t="s">
        <v>61</v>
      </c>
      <c r="F246">
        <v>3817</v>
      </c>
      <c r="G246">
        <v>284</v>
      </c>
      <c r="H246">
        <v>204</v>
      </c>
      <c r="I246">
        <v>46434</v>
      </c>
      <c r="J246">
        <v>53396</v>
      </c>
      <c r="K246">
        <v>104</v>
      </c>
      <c r="L246" t="s">
        <v>40</v>
      </c>
      <c r="M246" t="s">
        <v>34</v>
      </c>
      <c r="N246">
        <f>(  Posts__2[[#This Row],[Likes]]+Posts__2[[#This Row],[Comments]]+Posts__2[[#This Row],[Shares]] ) / Posts__2[[#This Row],[Impressions]]</f>
        <v>9.2712236723090841E-2</v>
      </c>
    </row>
    <row r="247" spans="1:14" x14ac:dyDescent="0.3">
      <c r="A247" t="s">
        <v>295</v>
      </c>
      <c r="B247" t="s">
        <v>8</v>
      </c>
      <c r="C247" s="4">
        <v>45481</v>
      </c>
      <c r="D247" t="s">
        <v>13</v>
      </c>
      <c r="E247" t="s">
        <v>53</v>
      </c>
      <c r="F247">
        <v>2981</v>
      </c>
      <c r="G247">
        <v>258</v>
      </c>
      <c r="H247">
        <v>168</v>
      </c>
      <c r="I247">
        <v>20677</v>
      </c>
      <c r="J247">
        <v>68290</v>
      </c>
      <c r="K247">
        <v>130</v>
      </c>
      <c r="L247" t="s">
        <v>33</v>
      </c>
      <c r="M247" t="s">
        <v>34</v>
      </c>
      <c r="N247">
        <f>(  Posts__2[[#This Row],[Likes]]+Posts__2[[#This Row],[Comments]]+Posts__2[[#This Row],[Shares]] ) / Posts__2[[#This Row],[Impressions]]</f>
        <v>0.16477245248343569</v>
      </c>
    </row>
    <row r="248" spans="1:14" x14ac:dyDescent="0.3">
      <c r="A248" t="s">
        <v>296</v>
      </c>
      <c r="B248" t="s">
        <v>8</v>
      </c>
      <c r="C248" s="4">
        <v>45551</v>
      </c>
      <c r="D248" t="s">
        <v>13</v>
      </c>
      <c r="E248" t="s">
        <v>61</v>
      </c>
      <c r="F248">
        <v>3300</v>
      </c>
      <c r="G248">
        <v>354</v>
      </c>
      <c r="H248">
        <v>397</v>
      </c>
      <c r="I248">
        <v>56773</v>
      </c>
      <c r="J248">
        <v>72110</v>
      </c>
      <c r="K248">
        <v>163</v>
      </c>
      <c r="L248" t="s">
        <v>51</v>
      </c>
      <c r="M248" t="s">
        <v>34</v>
      </c>
      <c r="N248">
        <f>(  Posts__2[[#This Row],[Likes]]+Posts__2[[#This Row],[Comments]]+Posts__2[[#This Row],[Shares]] ) / Posts__2[[#This Row],[Impressions]]</f>
        <v>7.1354340971940891E-2</v>
      </c>
    </row>
    <row r="249" spans="1:14" x14ac:dyDescent="0.3">
      <c r="A249" t="s">
        <v>297</v>
      </c>
      <c r="B249" t="s">
        <v>9</v>
      </c>
      <c r="C249" s="4">
        <v>45457</v>
      </c>
      <c r="D249" t="s">
        <v>11</v>
      </c>
      <c r="E249" t="s">
        <v>42</v>
      </c>
      <c r="F249">
        <v>4722</v>
      </c>
      <c r="G249">
        <v>310</v>
      </c>
      <c r="H249">
        <v>344</v>
      </c>
      <c r="I249">
        <v>27911</v>
      </c>
      <c r="J249">
        <v>19000</v>
      </c>
      <c r="K249">
        <v>225</v>
      </c>
      <c r="L249" t="s">
        <v>67</v>
      </c>
      <c r="M249" t="s">
        <v>68</v>
      </c>
      <c r="N249">
        <f>(  Posts__2[[#This Row],[Likes]]+Posts__2[[#This Row],[Comments]]+Posts__2[[#This Row],[Shares]] ) / Posts__2[[#This Row],[Impressions]]</f>
        <v>0.19261223173659131</v>
      </c>
    </row>
    <row r="250" spans="1:14" x14ac:dyDescent="0.3">
      <c r="A250" t="s">
        <v>298</v>
      </c>
      <c r="B250" t="s">
        <v>7</v>
      </c>
      <c r="C250" s="4">
        <v>45357</v>
      </c>
      <c r="D250" t="s">
        <v>15</v>
      </c>
      <c r="E250" t="s">
        <v>47</v>
      </c>
      <c r="F250">
        <v>3529</v>
      </c>
      <c r="G250">
        <v>263</v>
      </c>
      <c r="H250">
        <v>107</v>
      </c>
      <c r="I250">
        <v>26570</v>
      </c>
      <c r="J250">
        <v>19367</v>
      </c>
      <c r="K250">
        <v>96</v>
      </c>
      <c r="L250" t="s">
        <v>10</v>
      </c>
      <c r="M250" t="s">
        <v>37</v>
      </c>
      <c r="N250">
        <f>(  Posts__2[[#This Row],[Likes]]+Posts__2[[#This Row],[Comments]]+Posts__2[[#This Row],[Shares]] ) / Posts__2[[#This Row],[Impressions]]</f>
        <v>0.14674444862627023</v>
      </c>
    </row>
    <row r="251" spans="1:14" x14ac:dyDescent="0.3">
      <c r="A251" t="s">
        <v>299</v>
      </c>
      <c r="B251" t="s">
        <v>8</v>
      </c>
      <c r="C251" s="4">
        <v>45792</v>
      </c>
      <c r="D251" t="s">
        <v>15</v>
      </c>
      <c r="E251" t="s">
        <v>61</v>
      </c>
      <c r="F251">
        <v>4782</v>
      </c>
      <c r="G251">
        <v>210</v>
      </c>
      <c r="H251">
        <v>311</v>
      </c>
      <c r="I251">
        <v>29793</v>
      </c>
      <c r="J251">
        <v>37543</v>
      </c>
      <c r="K251">
        <v>145</v>
      </c>
      <c r="L251" t="s">
        <v>5</v>
      </c>
      <c r="M251" t="s">
        <v>34</v>
      </c>
      <c r="N251">
        <f>(  Posts__2[[#This Row],[Likes]]+Posts__2[[#This Row],[Comments]]+Posts__2[[#This Row],[Shares]] ) / Posts__2[[#This Row],[Impressions]]</f>
        <v>0.17799483100057059</v>
      </c>
    </row>
    <row r="252" spans="1:14" x14ac:dyDescent="0.3">
      <c r="A252" t="s">
        <v>300</v>
      </c>
      <c r="B252" t="s">
        <v>8</v>
      </c>
      <c r="C252" s="4">
        <v>45480</v>
      </c>
      <c r="D252" t="s">
        <v>15</v>
      </c>
      <c r="E252" t="s">
        <v>47</v>
      </c>
      <c r="F252">
        <v>1848</v>
      </c>
      <c r="G252">
        <v>417</v>
      </c>
      <c r="H252">
        <v>294</v>
      </c>
      <c r="I252">
        <v>57819</v>
      </c>
      <c r="J252">
        <v>19798</v>
      </c>
      <c r="K252">
        <v>262</v>
      </c>
      <c r="L252" t="s">
        <v>12</v>
      </c>
      <c r="M252" t="s">
        <v>37</v>
      </c>
      <c r="N252">
        <f>(  Posts__2[[#This Row],[Likes]]+Posts__2[[#This Row],[Comments]]+Posts__2[[#This Row],[Shares]] ) / Posts__2[[#This Row],[Impressions]]</f>
        <v>4.4258807658382193E-2</v>
      </c>
    </row>
    <row r="253" spans="1:14" x14ac:dyDescent="0.3">
      <c r="A253" t="s">
        <v>301</v>
      </c>
      <c r="B253" t="s">
        <v>9</v>
      </c>
      <c r="C253" s="4">
        <v>45591</v>
      </c>
      <c r="D253" t="s">
        <v>15</v>
      </c>
      <c r="E253" t="s">
        <v>39</v>
      </c>
      <c r="F253">
        <v>4676</v>
      </c>
      <c r="G253">
        <v>211</v>
      </c>
      <c r="H253">
        <v>55</v>
      </c>
      <c r="I253">
        <v>45917</v>
      </c>
      <c r="J253">
        <v>73503</v>
      </c>
      <c r="K253">
        <v>248</v>
      </c>
      <c r="L253" t="s">
        <v>45</v>
      </c>
      <c r="M253" t="s">
        <v>37</v>
      </c>
      <c r="N253">
        <f>(  Posts__2[[#This Row],[Likes]]+Posts__2[[#This Row],[Comments]]+Posts__2[[#This Row],[Shares]] ) / Posts__2[[#This Row],[Impressions]]</f>
        <v>0.10762898272970794</v>
      </c>
    </row>
    <row r="254" spans="1:14" x14ac:dyDescent="0.3">
      <c r="A254" t="s">
        <v>302</v>
      </c>
      <c r="B254" t="s">
        <v>9</v>
      </c>
      <c r="C254" s="4">
        <v>45512</v>
      </c>
      <c r="D254" t="s">
        <v>15</v>
      </c>
      <c r="E254" t="s">
        <v>59</v>
      </c>
      <c r="F254">
        <v>1994</v>
      </c>
      <c r="G254">
        <v>197</v>
      </c>
      <c r="H254">
        <v>290</v>
      </c>
      <c r="I254">
        <v>49500</v>
      </c>
      <c r="J254">
        <v>23343</v>
      </c>
      <c r="K254">
        <v>160</v>
      </c>
      <c r="L254" t="s">
        <v>45</v>
      </c>
      <c r="M254" t="s">
        <v>37</v>
      </c>
      <c r="N254">
        <f>(  Posts__2[[#This Row],[Likes]]+Posts__2[[#This Row],[Comments]]+Posts__2[[#This Row],[Shares]] ) / Posts__2[[#This Row],[Impressions]]</f>
        <v>5.0121212121212122E-2</v>
      </c>
    </row>
    <row r="255" spans="1:14" x14ac:dyDescent="0.3">
      <c r="A255" t="s">
        <v>303</v>
      </c>
      <c r="B255" t="s">
        <v>8</v>
      </c>
      <c r="C255" s="4">
        <v>45691</v>
      </c>
      <c r="D255" t="s">
        <v>15</v>
      </c>
      <c r="E255" t="s">
        <v>47</v>
      </c>
      <c r="F255">
        <v>4995</v>
      </c>
      <c r="G255">
        <v>231</v>
      </c>
      <c r="H255">
        <v>94</v>
      </c>
      <c r="I255">
        <v>34431</v>
      </c>
      <c r="J255">
        <v>32560</v>
      </c>
      <c r="K255">
        <v>262</v>
      </c>
      <c r="L255" t="s">
        <v>5</v>
      </c>
      <c r="M255" t="s">
        <v>34</v>
      </c>
      <c r="N255">
        <f>(  Posts__2[[#This Row],[Likes]]+Posts__2[[#This Row],[Comments]]+Posts__2[[#This Row],[Shares]] ) / Posts__2[[#This Row],[Impressions]]</f>
        <v>0.15451192239551567</v>
      </c>
    </row>
    <row r="256" spans="1:14" x14ac:dyDescent="0.3">
      <c r="A256" t="s">
        <v>304</v>
      </c>
      <c r="B256" t="s">
        <v>8</v>
      </c>
      <c r="C256" s="4">
        <v>45385</v>
      </c>
      <c r="D256" t="s">
        <v>13</v>
      </c>
      <c r="E256" t="s">
        <v>53</v>
      </c>
      <c r="F256">
        <v>2291</v>
      </c>
      <c r="G256">
        <v>146</v>
      </c>
      <c r="H256">
        <v>399</v>
      </c>
      <c r="I256">
        <v>49319</v>
      </c>
      <c r="J256">
        <v>28056</v>
      </c>
      <c r="K256">
        <v>90</v>
      </c>
      <c r="L256" t="s">
        <v>51</v>
      </c>
      <c r="M256" t="s">
        <v>34</v>
      </c>
      <c r="N256">
        <f>(  Posts__2[[#This Row],[Likes]]+Posts__2[[#This Row],[Comments]]+Posts__2[[#This Row],[Shares]] ) / Posts__2[[#This Row],[Impressions]]</f>
        <v>5.7503193495407452E-2</v>
      </c>
    </row>
    <row r="257" spans="1:14" x14ac:dyDescent="0.3">
      <c r="A257" t="s">
        <v>305</v>
      </c>
      <c r="B257" t="s">
        <v>8</v>
      </c>
      <c r="C257" s="4">
        <v>45481</v>
      </c>
      <c r="D257" t="s">
        <v>13</v>
      </c>
      <c r="E257" t="s">
        <v>42</v>
      </c>
      <c r="F257">
        <v>2304</v>
      </c>
      <c r="G257">
        <v>289</v>
      </c>
      <c r="H257">
        <v>161</v>
      </c>
      <c r="I257">
        <v>52645</v>
      </c>
      <c r="J257">
        <v>66262</v>
      </c>
      <c r="K257">
        <v>146</v>
      </c>
      <c r="L257" t="s">
        <v>40</v>
      </c>
      <c r="M257" t="s">
        <v>34</v>
      </c>
      <c r="N257">
        <f>(  Posts__2[[#This Row],[Likes]]+Posts__2[[#This Row],[Comments]]+Posts__2[[#This Row],[Shares]] ) / Posts__2[[#This Row],[Impressions]]</f>
        <v>5.2312660271630736E-2</v>
      </c>
    </row>
    <row r="258" spans="1:14" x14ac:dyDescent="0.3">
      <c r="A258" t="s">
        <v>306</v>
      </c>
      <c r="B258" t="s">
        <v>8</v>
      </c>
      <c r="C258" s="4">
        <v>45451</v>
      </c>
      <c r="D258" t="s">
        <v>13</v>
      </c>
      <c r="E258" t="s">
        <v>53</v>
      </c>
      <c r="F258">
        <v>3413</v>
      </c>
      <c r="G258">
        <v>326</v>
      </c>
      <c r="H258">
        <v>86</v>
      </c>
      <c r="I258">
        <v>44680</v>
      </c>
      <c r="J258">
        <v>52719</v>
      </c>
      <c r="K258">
        <v>272</v>
      </c>
      <c r="L258" t="s">
        <v>51</v>
      </c>
      <c r="M258" t="s">
        <v>34</v>
      </c>
      <c r="N258">
        <f>(  Posts__2[[#This Row],[Likes]]+Posts__2[[#This Row],[Comments]]+Posts__2[[#This Row],[Shares]] ) / Posts__2[[#This Row],[Impressions]]</f>
        <v>8.5608773500447627E-2</v>
      </c>
    </row>
    <row r="259" spans="1:14" x14ac:dyDescent="0.3">
      <c r="A259" t="s">
        <v>307</v>
      </c>
      <c r="B259" t="s">
        <v>9</v>
      </c>
      <c r="C259" s="4">
        <v>45736</v>
      </c>
      <c r="D259" t="s">
        <v>11</v>
      </c>
      <c r="E259" t="s">
        <v>59</v>
      </c>
      <c r="F259">
        <v>1453</v>
      </c>
      <c r="G259">
        <v>156</v>
      </c>
      <c r="H259">
        <v>178</v>
      </c>
      <c r="I259">
        <v>52980</v>
      </c>
      <c r="J259">
        <v>57180</v>
      </c>
      <c r="K259">
        <v>286</v>
      </c>
      <c r="L259" t="s">
        <v>67</v>
      </c>
      <c r="M259" t="s">
        <v>68</v>
      </c>
      <c r="N259">
        <f>(  Posts__2[[#This Row],[Likes]]+Posts__2[[#This Row],[Comments]]+Posts__2[[#This Row],[Shares]] ) / Posts__2[[#This Row],[Impressions]]</f>
        <v>3.3729709324273313E-2</v>
      </c>
    </row>
    <row r="260" spans="1:14" x14ac:dyDescent="0.3">
      <c r="A260" t="s">
        <v>308</v>
      </c>
      <c r="B260" t="s">
        <v>8</v>
      </c>
      <c r="C260" s="4">
        <v>45676</v>
      </c>
      <c r="D260" t="s">
        <v>13</v>
      </c>
      <c r="E260" t="s">
        <v>44</v>
      </c>
      <c r="F260">
        <v>1651</v>
      </c>
      <c r="G260">
        <v>480</v>
      </c>
      <c r="H260">
        <v>282</v>
      </c>
      <c r="I260">
        <v>32140</v>
      </c>
      <c r="J260">
        <v>70560</v>
      </c>
      <c r="K260">
        <v>138</v>
      </c>
      <c r="L260" t="s">
        <v>33</v>
      </c>
      <c r="M260" t="s">
        <v>34</v>
      </c>
      <c r="N260">
        <f>(  Posts__2[[#This Row],[Likes]]+Posts__2[[#This Row],[Comments]]+Posts__2[[#This Row],[Shares]] ) / Posts__2[[#This Row],[Impressions]]</f>
        <v>7.5077784691972627E-2</v>
      </c>
    </row>
    <row r="261" spans="1:14" x14ac:dyDescent="0.3">
      <c r="A261" t="s">
        <v>309</v>
      </c>
      <c r="B261" t="s">
        <v>8</v>
      </c>
      <c r="C261" s="4">
        <v>45662</v>
      </c>
      <c r="D261" t="s">
        <v>13</v>
      </c>
      <c r="E261" t="s">
        <v>36</v>
      </c>
      <c r="F261">
        <v>3341</v>
      </c>
      <c r="G261">
        <v>154</v>
      </c>
      <c r="H261">
        <v>123</v>
      </c>
      <c r="I261">
        <v>43369</v>
      </c>
      <c r="J261">
        <v>49035</v>
      </c>
      <c r="K261">
        <v>128</v>
      </c>
      <c r="L261" t="s">
        <v>40</v>
      </c>
      <c r="M261" t="s">
        <v>34</v>
      </c>
      <c r="N261">
        <f>(  Posts__2[[#This Row],[Likes]]+Posts__2[[#This Row],[Comments]]+Posts__2[[#This Row],[Shares]] ) / Posts__2[[#This Row],[Impressions]]</f>
        <v>8.3423643616408028E-2</v>
      </c>
    </row>
    <row r="262" spans="1:14" x14ac:dyDescent="0.3">
      <c r="A262" t="s">
        <v>310</v>
      </c>
      <c r="B262" t="s">
        <v>8</v>
      </c>
      <c r="C262" s="4">
        <v>45612</v>
      </c>
      <c r="D262" t="s">
        <v>15</v>
      </c>
      <c r="E262" t="s">
        <v>59</v>
      </c>
      <c r="F262">
        <v>2972</v>
      </c>
      <c r="G262">
        <v>263</v>
      </c>
      <c r="H262">
        <v>308</v>
      </c>
      <c r="I262">
        <v>51740</v>
      </c>
      <c r="J262">
        <v>28214</v>
      </c>
      <c r="K262">
        <v>190</v>
      </c>
      <c r="L262" t="s">
        <v>12</v>
      </c>
      <c r="M262" t="s">
        <v>37</v>
      </c>
      <c r="N262">
        <f>(  Posts__2[[#This Row],[Likes]]+Posts__2[[#This Row],[Comments]]+Posts__2[[#This Row],[Shares]] ) / Posts__2[[#This Row],[Impressions]]</f>
        <v>6.8477000386548123E-2</v>
      </c>
    </row>
    <row r="263" spans="1:14" x14ac:dyDescent="0.3">
      <c r="A263" t="s">
        <v>311</v>
      </c>
      <c r="B263" t="s">
        <v>8</v>
      </c>
      <c r="C263" s="4">
        <v>45626</v>
      </c>
      <c r="D263" t="s">
        <v>13</v>
      </c>
      <c r="E263" t="s">
        <v>36</v>
      </c>
      <c r="F263">
        <v>4963</v>
      </c>
      <c r="G263">
        <v>255</v>
      </c>
      <c r="H263">
        <v>193</v>
      </c>
      <c r="I263">
        <v>44386</v>
      </c>
      <c r="J263">
        <v>28415</v>
      </c>
      <c r="K263">
        <v>174</v>
      </c>
      <c r="L263" t="s">
        <v>40</v>
      </c>
      <c r="M263" t="s">
        <v>34</v>
      </c>
      <c r="N263">
        <f>(  Posts__2[[#This Row],[Likes]]+Posts__2[[#This Row],[Comments]]+Posts__2[[#This Row],[Shares]] ) / Posts__2[[#This Row],[Impressions]]</f>
        <v>0.12190780876853062</v>
      </c>
    </row>
    <row r="264" spans="1:14" x14ac:dyDescent="0.3">
      <c r="A264" t="s">
        <v>312</v>
      </c>
      <c r="B264" t="s">
        <v>9</v>
      </c>
      <c r="C264" s="4">
        <v>45378</v>
      </c>
      <c r="D264" t="s">
        <v>15</v>
      </c>
      <c r="E264" t="s">
        <v>44</v>
      </c>
      <c r="F264">
        <v>2399</v>
      </c>
      <c r="G264">
        <v>191</v>
      </c>
      <c r="H264">
        <v>221</v>
      </c>
      <c r="I264">
        <v>51603</v>
      </c>
      <c r="J264">
        <v>40033</v>
      </c>
      <c r="K264">
        <v>173</v>
      </c>
      <c r="L264" t="s">
        <v>45</v>
      </c>
      <c r="M264" t="s">
        <v>37</v>
      </c>
      <c r="N264">
        <f>(  Posts__2[[#This Row],[Likes]]+Posts__2[[#This Row],[Comments]]+Posts__2[[#This Row],[Shares]] ) / Posts__2[[#This Row],[Impressions]]</f>
        <v>5.4473577117609438E-2</v>
      </c>
    </row>
    <row r="265" spans="1:14" x14ac:dyDescent="0.3">
      <c r="A265" t="s">
        <v>313</v>
      </c>
      <c r="B265" t="s">
        <v>9</v>
      </c>
      <c r="C265" s="4">
        <v>45808</v>
      </c>
      <c r="D265" t="s">
        <v>11</v>
      </c>
      <c r="E265" t="s">
        <v>49</v>
      </c>
      <c r="F265">
        <v>2162</v>
      </c>
      <c r="G265">
        <v>318</v>
      </c>
      <c r="H265">
        <v>83</v>
      </c>
      <c r="I265">
        <v>46719</v>
      </c>
      <c r="J265">
        <v>20482</v>
      </c>
      <c r="K265">
        <v>185</v>
      </c>
      <c r="L265" t="s">
        <v>67</v>
      </c>
      <c r="M265" t="s">
        <v>68</v>
      </c>
      <c r="N265">
        <f>(  Posts__2[[#This Row],[Likes]]+Posts__2[[#This Row],[Comments]]+Posts__2[[#This Row],[Shares]] ) / Posts__2[[#This Row],[Impressions]]</f>
        <v>5.4859907104176028E-2</v>
      </c>
    </row>
    <row r="266" spans="1:14" x14ac:dyDescent="0.3">
      <c r="A266" t="s">
        <v>314</v>
      </c>
      <c r="B266" t="s">
        <v>8</v>
      </c>
      <c r="C266" s="4">
        <v>45825</v>
      </c>
      <c r="D266" t="s">
        <v>13</v>
      </c>
      <c r="E266" t="s">
        <v>36</v>
      </c>
      <c r="F266">
        <v>4341</v>
      </c>
      <c r="G266">
        <v>141</v>
      </c>
      <c r="H266">
        <v>63</v>
      </c>
      <c r="I266">
        <v>50081</v>
      </c>
      <c r="J266">
        <v>27507</v>
      </c>
      <c r="K266">
        <v>221</v>
      </c>
      <c r="L266" t="s">
        <v>51</v>
      </c>
      <c r="M266" t="s">
        <v>34</v>
      </c>
      <c r="N266">
        <f>(  Posts__2[[#This Row],[Likes]]+Posts__2[[#This Row],[Comments]]+Posts__2[[#This Row],[Shares]] ) / Posts__2[[#This Row],[Impressions]]</f>
        <v>9.0752980172121162E-2</v>
      </c>
    </row>
    <row r="267" spans="1:14" x14ac:dyDescent="0.3">
      <c r="A267" t="s">
        <v>315</v>
      </c>
      <c r="B267" t="s">
        <v>7</v>
      </c>
      <c r="C267" s="4">
        <v>45442</v>
      </c>
      <c r="D267" t="s">
        <v>13</v>
      </c>
      <c r="E267" t="s">
        <v>49</v>
      </c>
      <c r="F267">
        <v>2448</v>
      </c>
      <c r="G267">
        <v>464</v>
      </c>
      <c r="H267">
        <v>98</v>
      </c>
      <c r="I267">
        <v>25737</v>
      </c>
      <c r="J267">
        <v>48545</v>
      </c>
      <c r="K267">
        <v>246</v>
      </c>
      <c r="L267" t="s">
        <v>5</v>
      </c>
      <c r="M267" t="s">
        <v>65</v>
      </c>
      <c r="N267">
        <f>(  Posts__2[[#This Row],[Likes]]+Posts__2[[#This Row],[Comments]]+Posts__2[[#This Row],[Shares]] ) / Posts__2[[#This Row],[Impressions]]</f>
        <v>0.11695224773672146</v>
      </c>
    </row>
    <row r="268" spans="1:14" x14ac:dyDescent="0.3">
      <c r="A268" t="s">
        <v>316</v>
      </c>
      <c r="B268" t="s">
        <v>9</v>
      </c>
      <c r="C268" s="4">
        <v>45604</v>
      </c>
      <c r="D268" t="s">
        <v>15</v>
      </c>
      <c r="E268" t="s">
        <v>53</v>
      </c>
      <c r="F268">
        <v>2471</v>
      </c>
      <c r="G268">
        <v>166</v>
      </c>
      <c r="H268">
        <v>320</v>
      </c>
      <c r="I268">
        <v>48254</v>
      </c>
      <c r="J268">
        <v>46900</v>
      </c>
      <c r="K268">
        <v>111</v>
      </c>
      <c r="L268" t="s">
        <v>45</v>
      </c>
      <c r="M268" t="s">
        <v>37</v>
      </c>
      <c r="N268">
        <f>(  Posts__2[[#This Row],[Likes]]+Posts__2[[#This Row],[Comments]]+Posts__2[[#This Row],[Shares]] ) / Posts__2[[#This Row],[Impressions]]</f>
        <v>6.1279893894806647E-2</v>
      </c>
    </row>
    <row r="269" spans="1:14" x14ac:dyDescent="0.3">
      <c r="A269" t="s">
        <v>317</v>
      </c>
      <c r="B269" t="s">
        <v>9</v>
      </c>
      <c r="C269" s="4">
        <v>45368</v>
      </c>
      <c r="D269" t="s">
        <v>11</v>
      </c>
      <c r="E269" t="s">
        <v>36</v>
      </c>
      <c r="F269">
        <v>2692</v>
      </c>
      <c r="G269">
        <v>446</v>
      </c>
      <c r="H269">
        <v>216</v>
      </c>
      <c r="I269">
        <v>45818</v>
      </c>
      <c r="J269">
        <v>62723</v>
      </c>
      <c r="K269">
        <v>85</v>
      </c>
      <c r="L269" t="s">
        <v>67</v>
      </c>
      <c r="M269" t="s">
        <v>68</v>
      </c>
      <c r="N269">
        <f>(  Posts__2[[#This Row],[Likes]]+Posts__2[[#This Row],[Comments]]+Posts__2[[#This Row],[Shares]] ) / Posts__2[[#This Row],[Impressions]]</f>
        <v>7.3202671439172376E-2</v>
      </c>
    </row>
    <row r="270" spans="1:14" x14ac:dyDescent="0.3">
      <c r="A270" t="s">
        <v>318</v>
      </c>
      <c r="B270" t="s">
        <v>9</v>
      </c>
      <c r="C270" s="4">
        <v>45464</v>
      </c>
      <c r="D270" t="s">
        <v>11</v>
      </c>
      <c r="E270" t="s">
        <v>44</v>
      </c>
      <c r="F270">
        <v>4621</v>
      </c>
      <c r="G270">
        <v>374</v>
      </c>
      <c r="H270">
        <v>298</v>
      </c>
      <c r="I270">
        <v>56979</v>
      </c>
      <c r="J270">
        <v>24098</v>
      </c>
      <c r="K270">
        <v>205</v>
      </c>
      <c r="L270" t="s">
        <v>67</v>
      </c>
      <c r="M270" t="s">
        <v>68</v>
      </c>
      <c r="N270">
        <f>(  Posts__2[[#This Row],[Likes]]+Posts__2[[#This Row],[Comments]]+Posts__2[[#This Row],[Shares]] ) / Posts__2[[#This Row],[Impressions]]</f>
        <v>9.2893873181347508E-2</v>
      </c>
    </row>
    <row r="271" spans="1:14" x14ac:dyDescent="0.3">
      <c r="A271" t="s">
        <v>319</v>
      </c>
      <c r="B271" t="s">
        <v>8</v>
      </c>
      <c r="C271" s="4">
        <v>45609</v>
      </c>
      <c r="D271" t="s">
        <v>13</v>
      </c>
      <c r="E271" t="s">
        <v>39</v>
      </c>
      <c r="F271">
        <v>1409</v>
      </c>
      <c r="G271">
        <v>466</v>
      </c>
      <c r="H271">
        <v>105</v>
      </c>
      <c r="I271">
        <v>58923</v>
      </c>
      <c r="J271">
        <v>38753</v>
      </c>
      <c r="K271">
        <v>265</v>
      </c>
      <c r="L271" t="s">
        <v>51</v>
      </c>
      <c r="M271" t="s">
        <v>34</v>
      </c>
      <c r="N271">
        <f>(  Posts__2[[#This Row],[Likes]]+Posts__2[[#This Row],[Comments]]+Posts__2[[#This Row],[Shares]] ) / Posts__2[[#This Row],[Impressions]]</f>
        <v>3.3603177027646251E-2</v>
      </c>
    </row>
    <row r="272" spans="1:14" x14ac:dyDescent="0.3">
      <c r="A272" t="s">
        <v>320</v>
      </c>
      <c r="B272" t="s">
        <v>8</v>
      </c>
      <c r="C272" s="4">
        <v>45693</v>
      </c>
      <c r="D272" t="s">
        <v>13</v>
      </c>
      <c r="E272" t="s">
        <v>32</v>
      </c>
      <c r="F272">
        <v>3029</v>
      </c>
      <c r="G272">
        <v>440</v>
      </c>
      <c r="H272">
        <v>66</v>
      </c>
      <c r="I272">
        <v>23815</v>
      </c>
      <c r="J272">
        <v>47895</v>
      </c>
      <c r="K272">
        <v>210</v>
      </c>
      <c r="L272" t="s">
        <v>51</v>
      </c>
      <c r="M272" t="s">
        <v>34</v>
      </c>
      <c r="N272">
        <f>(  Posts__2[[#This Row],[Likes]]+Posts__2[[#This Row],[Comments]]+Posts__2[[#This Row],[Shares]] ) / Posts__2[[#This Row],[Impressions]]</f>
        <v>0.14843585975225698</v>
      </c>
    </row>
    <row r="273" spans="1:14" x14ac:dyDescent="0.3">
      <c r="A273" t="s">
        <v>321</v>
      </c>
      <c r="B273" t="s">
        <v>8</v>
      </c>
      <c r="C273" s="4">
        <v>45603</v>
      </c>
      <c r="D273" t="s">
        <v>15</v>
      </c>
      <c r="E273" t="s">
        <v>36</v>
      </c>
      <c r="F273">
        <v>2229</v>
      </c>
      <c r="G273">
        <v>395</v>
      </c>
      <c r="H273">
        <v>328</v>
      </c>
      <c r="I273">
        <v>56921</v>
      </c>
      <c r="J273">
        <v>37176</v>
      </c>
      <c r="K273">
        <v>126</v>
      </c>
      <c r="L273" t="s">
        <v>12</v>
      </c>
      <c r="M273" t="s">
        <v>37</v>
      </c>
      <c r="N273">
        <f>(  Posts__2[[#This Row],[Likes]]+Posts__2[[#This Row],[Comments]]+Posts__2[[#This Row],[Shares]] ) / Posts__2[[#This Row],[Impressions]]</f>
        <v>5.1861351697967357E-2</v>
      </c>
    </row>
    <row r="274" spans="1:14" x14ac:dyDescent="0.3">
      <c r="A274" t="s">
        <v>322</v>
      </c>
      <c r="B274" t="s">
        <v>8</v>
      </c>
      <c r="C274" s="4">
        <v>45334</v>
      </c>
      <c r="D274" t="s">
        <v>15</v>
      </c>
      <c r="E274" t="s">
        <v>36</v>
      </c>
      <c r="F274">
        <v>2691</v>
      </c>
      <c r="G274">
        <v>486</v>
      </c>
      <c r="H274">
        <v>206</v>
      </c>
      <c r="I274">
        <v>51133</v>
      </c>
      <c r="J274">
        <v>44583</v>
      </c>
      <c r="K274">
        <v>276</v>
      </c>
      <c r="L274" t="s">
        <v>5</v>
      </c>
      <c r="M274" t="s">
        <v>34</v>
      </c>
      <c r="N274">
        <f>(  Posts__2[[#This Row],[Likes]]+Posts__2[[#This Row],[Comments]]+Posts__2[[#This Row],[Shares]] ) / Posts__2[[#This Row],[Impressions]]</f>
        <v>6.6160796354604659E-2</v>
      </c>
    </row>
    <row r="275" spans="1:14" x14ac:dyDescent="0.3">
      <c r="A275" t="s">
        <v>323</v>
      </c>
      <c r="B275" t="s">
        <v>7</v>
      </c>
      <c r="C275" s="4">
        <v>45573</v>
      </c>
      <c r="D275" t="s">
        <v>15</v>
      </c>
      <c r="E275" t="s">
        <v>36</v>
      </c>
      <c r="F275">
        <v>2110</v>
      </c>
      <c r="G275">
        <v>384</v>
      </c>
      <c r="H275">
        <v>236</v>
      </c>
      <c r="I275">
        <v>49965</v>
      </c>
      <c r="J275">
        <v>61555</v>
      </c>
      <c r="K275">
        <v>195</v>
      </c>
      <c r="L275" t="s">
        <v>10</v>
      </c>
      <c r="M275" t="s">
        <v>37</v>
      </c>
      <c r="N275">
        <f>(  Posts__2[[#This Row],[Likes]]+Posts__2[[#This Row],[Comments]]+Posts__2[[#This Row],[Shares]] ) / Posts__2[[#This Row],[Impressions]]</f>
        <v>5.4638246772740921E-2</v>
      </c>
    </row>
    <row r="276" spans="1:14" x14ac:dyDescent="0.3">
      <c r="A276" t="s">
        <v>324</v>
      </c>
      <c r="B276" t="s">
        <v>7</v>
      </c>
      <c r="C276" s="4">
        <v>45341</v>
      </c>
      <c r="D276" t="s">
        <v>15</v>
      </c>
      <c r="E276" t="s">
        <v>42</v>
      </c>
      <c r="F276">
        <v>4752</v>
      </c>
      <c r="G276">
        <v>449</v>
      </c>
      <c r="H276">
        <v>309</v>
      </c>
      <c r="I276">
        <v>58530</v>
      </c>
      <c r="J276">
        <v>26630</v>
      </c>
      <c r="K276">
        <v>234</v>
      </c>
      <c r="L276" t="s">
        <v>10</v>
      </c>
      <c r="M276" t="s">
        <v>37</v>
      </c>
      <c r="N276">
        <f>(  Posts__2[[#This Row],[Likes]]+Posts__2[[#This Row],[Comments]]+Posts__2[[#This Row],[Shares]] ) / Posts__2[[#This Row],[Impressions]]</f>
        <v>9.4139757389372969E-2</v>
      </c>
    </row>
    <row r="277" spans="1:14" x14ac:dyDescent="0.3">
      <c r="A277" t="s">
        <v>325</v>
      </c>
      <c r="B277" t="s">
        <v>8</v>
      </c>
      <c r="C277" s="4">
        <v>45720</v>
      </c>
      <c r="D277" t="s">
        <v>15</v>
      </c>
      <c r="E277" t="s">
        <v>32</v>
      </c>
      <c r="F277">
        <v>2177</v>
      </c>
      <c r="G277">
        <v>258</v>
      </c>
      <c r="H277">
        <v>292</v>
      </c>
      <c r="I277">
        <v>47276</v>
      </c>
      <c r="J277">
        <v>51324</v>
      </c>
      <c r="K277">
        <v>143</v>
      </c>
      <c r="L277" t="s">
        <v>5</v>
      </c>
      <c r="M277" t="s">
        <v>34</v>
      </c>
      <c r="N277">
        <f>(  Posts__2[[#This Row],[Likes]]+Posts__2[[#This Row],[Comments]]+Posts__2[[#This Row],[Shares]] ) / Posts__2[[#This Row],[Impressions]]</f>
        <v>5.7682545054573146E-2</v>
      </c>
    </row>
    <row r="278" spans="1:14" x14ac:dyDescent="0.3">
      <c r="A278" t="s">
        <v>326</v>
      </c>
      <c r="B278" t="s">
        <v>7</v>
      </c>
      <c r="C278" s="4">
        <v>45691</v>
      </c>
      <c r="D278" t="s">
        <v>13</v>
      </c>
      <c r="E278" t="s">
        <v>39</v>
      </c>
      <c r="F278">
        <v>1205</v>
      </c>
      <c r="G278">
        <v>486</v>
      </c>
      <c r="H278">
        <v>269</v>
      </c>
      <c r="I278">
        <v>23341</v>
      </c>
      <c r="J278">
        <v>42411</v>
      </c>
      <c r="K278">
        <v>184</v>
      </c>
      <c r="L278" t="s">
        <v>5</v>
      </c>
      <c r="M278" t="s">
        <v>65</v>
      </c>
      <c r="N278">
        <f>(  Posts__2[[#This Row],[Likes]]+Posts__2[[#This Row],[Comments]]+Posts__2[[#This Row],[Shares]] ) / Posts__2[[#This Row],[Impressions]]</f>
        <v>8.3972409065592737E-2</v>
      </c>
    </row>
    <row r="279" spans="1:14" x14ac:dyDescent="0.3">
      <c r="A279" t="s">
        <v>327</v>
      </c>
      <c r="B279" t="s">
        <v>7</v>
      </c>
      <c r="C279" s="4">
        <v>45628</v>
      </c>
      <c r="D279" t="s">
        <v>15</v>
      </c>
      <c r="E279" t="s">
        <v>53</v>
      </c>
      <c r="F279">
        <v>3194</v>
      </c>
      <c r="G279">
        <v>292</v>
      </c>
      <c r="H279">
        <v>245</v>
      </c>
      <c r="I279">
        <v>56371</v>
      </c>
      <c r="J279">
        <v>65597</v>
      </c>
      <c r="K279">
        <v>163</v>
      </c>
      <c r="L279" t="s">
        <v>33</v>
      </c>
      <c r="M279" t="s">
        <v>34</v>
      </c>
      <c r="N279">
        <f>(  Posts__2[[#This Row],[Likes]]+Posts__2[[#This Row],[Comments]]+Posts__2[[#This Row],[Shares]] ) / Posts__2[[#This Row],[Impressions]]</f>
        <v>6.6186514342481059E-2</v>
      </c>
    </row>
    <row r="280" spans="1:14" x14ac:dyDescent="0.3">
      <c r="A280" t="s">
        <v>328</v>
      </c>
      <c r="B280" t="s">
        <v>8</v>
      </c>
      <c r="C280" s="4">
        <v>45676</v>
      </c>
      <c r="D280" t="s">
        <v>13</v>
      </c>
      <c r="E280" t="s">
        <v>39</v>
      </c>
      <c r="F280">
        <v>3507</v>
      </c>
      <c r="G280">
        <v>295</v>
      </c>
      <c r="H280">
        <v>371</v>
      </c>
      <c r="I280">
        <v>20410</v>
      </c>
      <c r="J280">
        <v>53965</v>
      </c>
      <c r="K280">
        <v>212</v>
      </c>
      <c r="L280" t="s">
        <v>33</v>
      </c>
      <c r="M280" t="s">
        <v>34</v>
      </c>
      <c r="N280">
        <f>(  Posts__2[[#This Row],[Likes]]+Posts__2[[#This Row],[Comments]]+Posts__2[[#This Row],[Shares]] ) / Posts__2[[#This Row],[Impressions]]</f>
        <v>0.20445859872611466</v>
      </c>
    </row>
    <row r="281" spans="1:14" x14ac:dyDescent="0.3">
      <c r="A281" t="s">
        <v>329</v>
      </c>
      <c r="B281" t="s">
        <v>8</v>
      </c>
      <c r="C281" s="4">
        <v>45563</v>
      </c>
      <c r="D281" t="s">
        <v>13</v>
      </c>
      <c r="E281" t="s">
        <v>42</v>
      </c>
      <c r="F281">
        <v>4471</v>
      </c>
      <c r="G281">
        <v>317</v>
      </c>
      <c r="H281">
        <v>249</v>
      </c>
      <c r="I281">
        <v>44862</v>
      </c>
      <c r="J281">
        <v>33365</v>
      </c>
      <c r="K281">
        <v>184</v>
      </c>
      <c r="L281" t="s">
        <v>51</v>
      </c>
      <c r="M281" t="s">
        <v>34</v>
      </c>
      <c r="N281">
        <f>(  Posts__2[[#This Row],[Likes]]+Posts__2[[#This Row],[Comments]]+Posts__2[[#This Row],[Shares]] ) / Posts__2[[#This Row],[Impressions]]</f>
        <v>0.1122776514644911</v>
      </c>
    </row>
    <row r="282" spans="1:14" x14ac:dyDescent="0.3">
      <c r="A282" t="s">
        <v>330</v>
      </c>
      <c r="B282" t="s">
        <v>7</v>
      </c>
      <c r="C282" s="4">
        <v>45298</v>
      </c>
      <c r="D282" t="s">
        <v>15</v>
      </c>
      <c r="E282" t="s">
        <v>53</v>
      </c>
      <c r="F282">
        <v>4931</v>
      </c>
      <c r="G282">
        <v>469</v>
      </c>
      <c r="H282">
        <v>193</v>
      </c>
      <c r="I282">
        <v>56701</v>
      </c>
      <c r="J282">
        <v>69437</v>
      </c>
      <c r="K282">
        <v>291</v>
      </c>
      <c r="L282" t="s">
        <v>33</v>
      </c>
      <c r="M282" t="s">
        <v>34</v>
      </c>
      <c r="N282">
        <f>(  Posts__2[[#This Row],[Likes]]+Posts__2[[#This Row],[Comments]]+Posts__2[[#This Row],[Shares]] ) / Posts__2[[#This Row],[Impressions]]</f>
        <v>9.8640235621946709E-2</v>
      </c>
    </row>
    <row r="283" spans="1:14" x14ac:dyDescent="0.3">
      <c r="A283" t="s">
        <v>331</v>
      </c>
      <c r="B283" t="s">
        <v>8</v>
      </c>
      <c r="C283" s="4">
        <v>45343</v>
      </c>
      <c r="D283" t="s">
        <v>13</v>
      </c>
      <c r="E283" t="s">
        <v>49</v>
      </c>
      <c r="F283">
        <v>2604</v>
      </c>
      <c r="G283">
        <v>439</v>
      </c>
      <c r="H283">
        <v>148</v>
      </c>
      <c r="I283">
        <v>58468</v>
      </c>
      <c r="J283">
        <v>39629</v>
      </c>
      <c r="K283">
        <v>163</v>
      </c>
      <c r="L283" t="s">
        <v>40</v>
      </c>
      <c r="M283" t="s">
        <v>34</v>
      </c>
      <c r="N283">
        <f>(  Posts__2[[#This Row],[Likes]]+Posts__2[[#This Row],[Comments]]+Posts__2[[#This Row],[Shares]] ) / Posts__2[[#This Row],[Impressions]]</f>
        <v>5.4576862557296296E-2</v>
      </c>
    </row>
    <row r="284" spans="1:14" x14ac:dyDescent="0.3">
      <c r="A284" t="s">
        <v>332</v>
      </c>
      <c r="B284" t="s">
        <v>7</v>
      </c>
      <c r="C284" s="4">
        <v>45531</v>
      </c>
      <c r="D284" t="s">
        <v>15</v>
      </c>
      <c r="E284" t="s">
        <v>44</v>
      </c>
      <c r="F284">
        <v>4197</v>
      </c>
      <c r="G284">
        <v>359</v>
      </c>
      <c r="H284">
        <v>280</v>
      </c>
      <c r="I284">
        <v>56048</v>
      </c>
      <c r="J284">
        <v>70930</v>
      </c>
      <c r="K284">
        <v>295</v>
      </c>
      <c r="L284" t="s">
        <v>10</v>
      </c>
      <c r="M284" t="s">
        <v>37</v>
      </c>
      <c r="N284">
        <f>(  Posts__2[[#This Row],[Likes]]+Posts__2[[#This Row],[Comments]]+Posts__2[[#This Row],[Shares]] ) / Posts__2[[#This Row],[Impressions]]</f>
        <v>8.628318584070796E-2</v>
      </c>
    </row>
    <row r="285" spans="1:14" x14ac:dyDescent="0.3">
      <c r="A285" t="s">
        <v>333</v>
      </c>
      <c r="B285" t="s">
        <v>7</v>
      </c>
      <c r="C285" s="4">
        <v>45589</v>
      </c>
      <c r="D285" t="s">
        <v>13</v>
      </c>
      <c r="E285" t="s">
        <v>53</v>
      </c>
      <c r="F285">
        <v>1914</v>
      </c>
      <c r="G285">
        <v>255</v>
      </c>
      <c r="H285">
        <v>156</v>
      </c>
      <c r="I285">
        <v>27660</v>
      </c>
      <c r="J285">
        <v>47776</v>
      </c>
      <c r="K285">
        <v>111</v>
      </c>
      <c r="L285" t="s">
        <v>5</v>
      </c>
      <c r="M285" t="s">
        <v>65</v>
      </c>
      <c r="N285">
        <f>(  Posts__2[[#This Row],[Likes]]+Posts__2[[#This Row],[Comments]]+Posts__2[[#This Row],[Shares]] ) / Posts__2[[#This Row],[Impressions]]</f>
        <v>8.4056399132321047E-2</v>
      </c>
    </row>
    <row r="286" spans="1:14" x14ac:dyDescent="0.3">
      <c r="A286" t="s">
        <v>334</v>
      </c>
      <c r="B286" t="s">
        <v>9</v>
      </c>
      <c r="C286" s="4">
        <v>45686</v>
      </c>
      <c r="D286" t="s">
        <v>15</v>
      </c>
      <c r="E286" t="s">
        <v>39</v>
      </c>
      <c r="F286">
        <v>1334</v>
      </c>
      <c r="G286">
        <v>357</v>
      </c>
      <c r="H286">
        <v>257</v>
      </c>
      <c r="I286">
        <v>56910</v>
      </c>
      <c r="J286">
        <v>70606</v>
      </c>
      <c r="K286">
        <v>228</v>
      </c>
      <c r="L286" t="s">
        <v>45</v>
      </c>
      <c r="M286" t="s">
        <v>37</v>
      </c>
      <c r="N286">
        <f>(  Posts__2[[#This Row],[Likes]]+Posts__2[[#This Row],[Comments]]+Posts__2[[#This Row],[Shares]] ) / Posts__2[[#This Row],[Impressions]]</f>
        <v>3.4229485151994379E-2</v>
      </c>
    </row>
    <row r="287" spans="1:14" x14ac:dyDescent="0.3">
      <c r="A287" t="s">
        <v>335</v>
      </c>
      <c r="B287" t="s">
        <v>7</v>
      </c>
      <c r="C287" s="4">
        <v>45413</v>
      </c>
      <c r="D287" t="s">
        <v>15</v>
      </c>
      <c r="E287" t="s">
        <v>49</v>
      </c>
      <c r="F287">
        <v>3359</v>
      </c>
      <c r="G287">
        <v>137</v>
      </c>
      <c r="H287">
        <v>387</v>
      </c>
      <c r="I287">
        <v>33861</v>
      </c>
      <c r="J287">
        <v>47257</v>
      </c>
      <c r="K287">
        <v>198</v>
      </c>
      <c r="L287" t="s">
        <v>10</v>
      </c>
      <c r="M287" t="s">
        <v>37</v>
      </c>
      <c r="N287">
        <f>(  Posts__2[[#This Row],[Likes]]+Posts__2[[#This Row],[Comments]]+Posts__2[[#This Row],[Shares]] ) / Posts__2[[#This Row],[Impressions]]</f>
        <v>0.11467469950680724</v>
      </c>
    </row>
    <row r="288" spans="1:14" x14ac:dyDescent="0.3">
      <c r="A288" t="s">
        <v>336</v>
      </c>
      <c r="B288" t="s">
        <v>9</v>
      </c>
      <c r="C288" s="4">
        <v>45468</v>
      </c>
      <c r="D288" t="s">
        <v>15</v>
      </c>
      <c r="E288" t="s">
        <v>61</v>
      </c>
      <c r="F288">
        <v>2172</v>
      </c>
      <c r="G288">
        <v>338</v>
      </c>
      <c r="H288">
        <v>70</v>
      </c>
      <c r="I288">
        <v>30515</v>
      </c>
      <c r="J288">
        <v>57853</v>
      </c>
      <c r="K288">
        <v>156</v>
      </c>
      <c r="L288" t="s">
        <v>45</v>
      </c>
      <c r="M288" t="s">
        <v>37</v>
      </c>
      <c r="N288">
        <f>(  Posts__2[[#This Row],[Likes]]+Posts__2[[#This Row],[Comments]]+Posts__2[[#This Row],[Shares]] ) / Posts__2[[#This Row],[Impressions]]</f>
        <v>8.4548582664263475E-2</v>
      </c>
    </row>
    <row r="289" spans="1:14" x14ac:dyDescent="0.3">
      <c r="A289" t="s">
        <v>337</v>
      </c>
      <c r="B289" t="s">
        <v>8</v>
      </c>
      <c r="C289" s="4">
        <v>45513</v>
      </c>
      <c r="D289" t="s">
        <v>13</v>
      </c>
      <c r="E289" t="s">
        <v>59</v>
      </c>
      <c r="F289">
        <v>4877</v>
      </c>
      <c r="G289">
        <v>442</v>
      </c>
      <c r="H289">
        <v>236</v>
      </c>
      <c r="I289">
        <v>52673</v>
      </c>
      <c r="J289">
        <v>48241</v>
      </c>
      <c r="K289">
        <v>114</v>
      </c>
      <c r="L289" t="s">
        <v>51</v>
      </c>
      <c r="M289" t="s">
        <v>34</v>
      </c>
      <c r="N289">
        <f>(  Posts__2[[#This Row],[Likes]]+Posts__2[[#This Row],[Comments]]+Posts__2[[#This Row],[Shares]] ) / Posts__2[[#This Row],[Impressions]]</f>
        <v>0.10546200140489435</v>
      </c>
    </row>
    <row r="290" spans="1:14" x14ac:dyDescent="0.3">
      <c r="A290" t="s">
        <v>338</v>
      </c>
      <c r="B290" t="s">
        <v>7</v>
      </c>
      <c r="C290" s="4">
        <v>45678</v>
      </c>
      <c r="D290" t="s">
        <v>13</v>
      </c>
      <c r="E290" t="s">
        <v>39</v>
      </c>
      <c r="F290">
        <v>4918</v>
      </c>
      <c r="G290">
        <v>440</v>
      </c>
      <c r="H290">
        <v>149</v>
      </c>
      <c r="I290">
        <v>53269</v>
      </c>
      <c r="J290">
        <v>64370</v>
      </c>
      <c r="K290">
        <v>269</v>
      </c>
      <c r="L290" t="s">
        <v>5</v>
      </c>
      <c r="M290" t="s">
        <v>65</v>
      </c>
      <c r="N290">
        <f>(  Posts__2[[#This Row],[Likes]]+Posts__2[[#This Row],[Comments]]+Posts__2[[#This Row],[Shares]] ) / Posts__2[[#This Row],[Impressions]]</f>
        <v>0.10338095327488783</v>
      </c>
    </row>
    <row r="291" spans="1:14" x14ac:dyDescent="0.3">
      <c r="A291" t="s">
        <v>339</v>
      </c>
      <c r="B291" t="s">
        <v>8</v>
      </c>
      <c r="C291" s="4">
        <v>45517</v>
      </c>
      <c r="D291" t="s">
        <v>15</v>
      </c>
      <c r="E291" t="s">
        <v>36</v>
      </c>
      <c r="F291">
        <v>3418</v>
      </c>
      <c r="G291">
        <v>107</v>
      </c>
      <c r="H291">
        <v>221</v>
      </c>
      <c r="I291">
        <v>23927</v>
      </c>
      <c r="J291">
        <v>26182</v>
      </c>
      <c r="K291">
        <v>155</v>
      </c>
      <c r="L291" t="s">
        <v>12</v>
      </c>
      <c r="M291" t="s">
        <v>37</v>
      </c>
      <c r="N291">
        <f>(  Posts__2[[#This Row],[Likes]]+Posts__2[[#This Row],[Comments]]+Posts__2[[#This Row],[Shares]] ) / Posts__2[[#This Row],[Impressions]]</f>
        <v>0.1565595352530614</v>
      </c>
    </row>
    <row r="292" spans="1:14" x14ac:dyDescent="0.3">
      <c r="A292" t="s">
        <v>340</v>
      </c>
      <c r="B292" t="s">
        <v>7</v>
      </c>
      <c r="C292" s="4">
        <v>45472</v>
      </c>
      <c r="D292" t="s">
        <v>15</v>
      </c>
      <c r="E292" t="s">
        <v>61</v>
      </c>
      <c r="F292">
        <v>2088</v>
      </c>
      <c r="G292">
        <v>490</v>
      </c>
      <c r="H292">
        <v>124</v>
      </c>
      <c r="I292">
        <v>46544</v>
      </c>
      <c r="J292">
        <v>69346</v>
      </c>
      <c r="K292">
        <v>178</v>
      </c>
      <c r="L292" t="s">
        <v>33</v>
      </c>
      <c r="M292" t="s">
        <v>34</v>
      </c>
      <c r="N292">
        <f>(  Posts__2[[#This Row],[Likes]]+Posts__2[[#This Row],[Comments]]+Posts__2[[#This Row],[Shares]] ) / Posts__2[[#This Row],[Impressions]]</f>
        <v>5.8052595393606049E-2</v>
      </c>
    </row>
    <row r="293" spans="1:14" x14ac:dyDescent="0.3">
      <c r="A293" t="s">
        <v>341</v>
      </c>
      <c r="B293" t="s">
        <v>8</v>
      </c>
      <c r="C293" s="4">
        <v>45599</v>
      </c>
      <c r="D293" t="s">
        <v>13</v>
      </c>
      <c r="E293" t="s">
        <v>36</v>
      </c>
      <c r="F293">
        <v>3061</v>
      </c>
      <c r="G293">
        <v>320</v>
      </c>
      <c r="H293">
        <v>76</v>
      </c>
      <c r="I293">
        <v>26640</v>
      </c>
      <c r="J293">
        <v>24306</v>
      </c>
      <c r="K293">
        <v>112</v>
      </c>
      <c r="L293" t="s">
        <v>40</v>
      </c>
      <c r="M293" t="s">
        <v>34</v>
      </c>
      <c r="N293">
        <f>(  Posts__2[[#This Row],[Likes]]+Posts__2[[#This Row],[Comments]]+Posts__2[[#This Row],[Shares]] ) / Posts__2[[#This Row],[Impressions]]</f>
        <v>0.12976726726726726</v>
      </c>
    </row>
    <row r="294" spans="1:14" x14ac:dyDescent="0.3">
      <c r="A294" t="s">
        <v>342</v>
      </c>
      <c r="B294" t="s">
        <v>9</v>
      </c>
      <c r="C294" s="4">
        <v>45765</v>
      </c>
      <c r="D294" t="s">
        <v>11</v>
      </c>
      <c r="E294" t="s">
        <v>61</v>
      </c>
      <c r="F294">
        <v>1265</v>
      </c>
      <c r="G294">
        <v>230</v>
      </c>
      <c r="H294">
        <v>364</v>
      </c>
      <c r="I294">
        <v>41312</v>
      </c>
      <c r="J294">
        <v>50382</v>
      </c>
      <c r="K294">
        <v>106</v>
      </c>
      <c r="L294" t="s">
        <v>67</v>
      </c>
      <c r="M294" t="s">
        <v>68</v>
      </c>
      <c r="N294">
        <f>(  Posts__2[[#This Row],[Likes]]+Posts__2[[#This Row],[Comments]]+Posts__2[[#This Row],[Shares]] ) / Posts__2[[#This Row],[Impressions]]</f>
        <v>4.4999031758326875E-2</v>
      </c>
    </row>
    <row r="295" spans="1:14" x14ac:dyDescent="0.3">
      <c r="A295" t="s">
        <v>343</v>
      </c>
      <c r="B295" t="s">
        <v>7</v>
      </c>
      <c r="C295" s="4">
        <v>45653</v>
      </c>
      <c r="D295" t="s">
        <v>15</v>
      </c>
      <c r="E295" t="s">
        <v>59</v>
      </c>
      <c r="F295">
        <v>1436</v>
      </c>
      <c r="G295">
        <v>219</v>
      </c>
      <c r="H295">
        <v>229</v>
      </c>
      <c r="I295">
        <v>58488</v>
      </c>
      <c r="J295">
        <v>24314</v>
      </c>
      <c r="K295">
        <v>147</v>
      </c>
      <c r="L295" t="s">
        <v>10</v>
      </c>
      <c r="M295" t="s">
        <v>37</v>
      </c>
      <c r="N295">
        <f>(  Posts__2[[#This Row],[Likes]]+Posts__2[[#This Row],[Comments]]+Posts__2[[#This Row],[Shares]] ) / Posts__2[[#This Row],[Impressions]]</f>
        <v>3.221173574066475E-2</v>
      </c>
    </row>
    <row r="296" spans="1:14" x14ac:dyDescent="0.3">
      <c r="A296" t="s">
        <v>344</v>
      </c>
      <c r="B296" t="s">
        <v>7</v>
      </c>
      <c r="C296" s="4">
        <v>45724</v>
      </c>
      <c r="D296" t="s">
        <v>13</v>
      </c>
      <c r="E296" t="s">
        <v>53</v>
      </c>
      <c r="F296">
        <v>2244</v>
      </c>
      <c r="G296">
        <v>392</v>
      </c>
      <c r="H296">
        <v>231</v>
      </c>
      <c r="I296">
        <v>25834</v>
      </c>
      <c r="J296">
        <v>50906</v>
      </c>
      <c r="K296">
        <v>165</v>
      </c>
      <c r="L296" t="s">
        <v>5</v>
      </c>
      <c r="M296" t="s">
        <v>65</v>
      </c>
      <c r="N296">
        <f>(  Posts__2[[#This Row],[Likes]]+Posts__2[[#This Row],[Comments]]+Posts__2[[#This Row],[Shares]] ) / Posts__2[[#This Row],[Impressions]]</f>
        <v>0.1109777812185492</v>
      </c>
    </row>
    <row r="297" spans="1:14" x14ac:dyDescent="0.3">
      <c r="A297" t="s">
        <v>345</v>
      </c>
      <c r="B297" t="s">
        <v>8</v>
      </c>
      <c r="C297" s="4">
        <v>45736</v>
      </c>
      <c r="D297" t="s">
        <v>13</v>
      </c>
      <c r="E297" t="s">
        <v>61</v>
      </c>
      <c r="F297">
        <v>3393</v>
      </c>
      <c r="G297">
        <v>104</v>
      </c>
      <c r="H297">
        <v>79</v>
      </c>
      <c r="I297">
        <v>30025</v>
      </c>
      <c r="J297">
        <v>21593</v>
      </c>
      <c r="K297">
        <v>165</v>
      </c>
      <c r="L297" t="s">
        <v>40</v>
      </c>
      <c r="M297" t="s">
        <v>34</v>
      </c>
      <c r="N297">
        <f>(  Posts__2[[#This Row],[Likes]]+Posts__2[[#This Row],[Comments]]+Posts__2[[#This Row],[Shares]] ) / Posts__2[[#This Row],[Impressions]]</f>
        <v>0.1191007493755204</v>
      </c>
    </row>
    <row r="298" spans="1:14" x14ac:dyDescent="0.3">
      <c r="A298" t="s">
        <v>346</v>
      </c>
      <c r="B298" t="s">
        <v>8</v>
      </c>
      <c r="C298" s="4">
        <v>45612</v>
      </c>
      <c r="D298" t="s">
        <v>15</v>
      </c>
      <c r="E298" t="s">
        <v>36</v>
      </c>
      <c r="F298">
        <v>2901</v>
      </c>
      <c r="G298">
        <v>108</v>
      </c>
      <c r="H298">
        <v>86</v>
      </c>
      <c r="I298">
        <v>51777</v>
      </c>
      <c r="J298">
        <v>23773</v>
      </c>
      <c r="K298">
        <v>160</v>
      </c>
      <c r="L298" t="s">
        <v>12</v>
      </c>
      <c r="M298" t="s">
        <v>37</v>
      </c>
      <c r="N298">
        <f>(  Posts__2[[#This Row],[Likes]]+Posts__2[[#This Row],[Comments]]+Posts__2[[#This Row],[Shares]] ) / Posts__2[[#This Row],[Impressions]]</f>
        <v>5.9775576027966085E-2</v>
      </c>
    </row>
    <row r="299" spans="1:14" x14ac:dyDescent="0.3">
      <c r="A299" t="s">
        <v>347</v>
      </c>
      <c r="B299" t="s">
        <v>8</v>
      </c>
      <c r="C299" s="4">
        <v>45838</v>
      </c>
      <c r="D299" t="s">
        <v>15</v>
      </c>
      <c r="E299" t="s">
        <v>47</v>
      </c>
      <c r="F299">
        <v>2275</v>
      </c>
      <c r="G299">
        <v>285</v>
      </c>
      <c r="H299">
        <v>125</v>
      </c>
      <c r="I299">
        <v>43970</v>
      </c>
      <c r="J299">
        <v>74761</v>
      </c>
      <c r="K299">
        <v>83</v>
      </c>
      <c r="L299" t="s">
        <v>5</v>
      </c>
      <c r="M299" t="s">
        <v>34</v>
      </c>
      <c r="N299">
        <f>(  Posts__2[[#This Row],[Likes]]+Posts__2[[#This Row],[Comments]]+Posts__2[[#This Row],[Shares]] ) / Posts__2[[#This Row],[Impressions]]</f>
        <v>6.1064362065044349E-2</v>
      </c>
    </row>
    <row r="300" spans="1:14" x14ac:dyDescent="0.3">
      <c r="A300" t="s">
        <v>348</v>
      </c>
      <c r="B300" t="s">
        <v>8</v>
      </c>
      <c r="C300" s="4">
        <v>45303</v>
      </c>
      <c r="D300" t="s">
        <v>13</v>
      </c>
      <c r="E300" t="s">
        <v>42</v>
      </c>
      <c r="F300">
        <v>2227</v>
      </c>
      <c r="G300">
        <v>494</v>
      </c>
      <c r="H300">
        <v>161</v>
      </c>
      <c r="I300">
        <v>51651</v>
      </c>
      <c r="J300">
        <v>68074</v>
      </c>
      <c r="K300">
        <v>240</v>
      </c>
      <c r="L300" t="s">
        <v>51</v>
      </c>
      <c r="M300" t="s">
        <v>34</v>
      </c>
      <c r="N300">
        <f>(  Posts__2[[#This Row],[Likes]]+Posts__2[[#This Row],[Comments]]+Posts__2[[#This Row],[Shares]] ) / Posts__2[[#This Row],[Impressions]]</f>
        <v>5.5797564422760453E-2</v>
      </c>
    </row>
    <row r="301" spans="1:14" x14ac:dyDescent="0.3">
      <c r="A301" t="s">
        <v>349</v>
      </c>
      <c r="B301" t="s">
        <v>7</v>
      </c>
      <c r="C301" s="4">
        <v>45329</v>
      </c>
      <c r="D301" t="s">
        <v>15</v>
      </c>
      <c r="E301" t="s">
        <v>44</v>
      </c>
      <c r="F301">
        <v>1883</v>
      </c>
      <c r="G301">
        <v>432</v>
      </c>
      <c r="H301">
        <v>397</v>
      </c>
      <c r="I301">
        <v>28759</v>
      </c>
      <c r="J301">
        <v>18691</v>
      </c>
      <c r="K301">
        <v>270</v>
      </c>
      <c r="L301" t="s">
        <v>33</v>
      </c>
      <c r="M301" t="s">
        <v>34</v>
      </c>
      <c r="N301">
        <f>(  Posts__2[[#This Row],[Likes]]+Posts__2[[#This Row],[Comments]]+Posts__2[[#This Row],[Shares]] ) / Posts__2[[#This Row],[Impressions]]</f>
        <v>9.4300914496331587E-2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467455-5E34-4CA6-ACB4-7A76DEAAE3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 4</vt:lpstr>
      <vt:lpstr>Posts (4.1)</vt:lpstr>
      <vt:lpstr>Posts (4.2)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Vishnupriya S</dc:creator>
  <cp:lastModifiedBy>Vishnupriya S</cp:lastModifiedBy>
  <dcterms:created xsi:type="dcterms:W3CDTF">2026-03-01T16:26:31Z</dcterms:created>
  <dcterms:modified xsi:type="dcterms:W3CDTF">2026-03-09T16:27:18Z</dcterms:modified>
</cp:coreProperties>
</file>