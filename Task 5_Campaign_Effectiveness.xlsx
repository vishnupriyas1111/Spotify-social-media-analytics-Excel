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vishn\Desktop\Social Media Analytics for Strategic Branding_Spotify\"/>
    </mc:Choice>
  </mc:AlternateContent>
  <xr:revisionPtr revIDLastSave="0" documentId="13_ncr:1_{50BD8E18-FD5C-4010-8756-A1670F5CD4AB}" xr6:coauthVersionLast="47" xr6:coauthVersionMax="47" xr10:uidLastSave="{00000000-0000-0000-0000-000000000000}"/>
  <bookViews>
    <workbookView xWindow="-108" yWindow="-108" windowWidth="23256" windowHeight="12456" xr2:uid="{439B6094-EE81-4B12-98AC-9906D11E09BC}"/>
  </bookViews>
  <sheets>
    <sheet name="Task 5" sheetId="2" r:id="rId1"/>
    <sheet name="Post (5.1)" sheetId="3" r:id="rId2"/>
    <sheet name="Campaign Metadata" sheetId="6" r:id="rId3"/>
    <sheet name="Engagement Summary" sheetId="5" r:id="rId4"/>
  </sheets>
  <definedNames>
    <definedName name="ExternalData_1" localSheetId="3" hidden="1">'Engagement Summary'!$A$1:$G$201</definedName>
    <definedName name="ExternalData_2" localSheetId="1" hidden="1">'Post (5.1)'!$A$1:$M$301</definedName>
  </definedNames>
  <calcPr calcId="191029"/>
  <pivotCaches>
    <pivotCache cacheId="0" r:id="rId5"/>
    <pivotCache cacheId="1" r:id="rId6"/>
    <pivotCache cacheId="2" r:id="rId7"/>
    <pivotCache cacheId="3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93" i="3" l="1"/>
  <c r="Q205" i="3"/>
  <c r="Q274" i="3"/>
  <c r="P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O2" i="3"/>
  <c r="Q2" i="3" s="1"/>
  <c r="O3" i="3"/>
  <c r="Q3" i="3" s="1"/>
  <c r="O4" i="3"/>
  <c r="Q4" i="3" s="1"/>
  <c r="O5" i="3"/>
  <c r="Q5" i="3" s="1"/>
  <c r="O6" i="3"/>
  <c r="Q6" i="3" s="1"/>
  <c r="O7" i="3"/>
  <c r="Q7" i="3" s="1"/>
  <c r="O8" i="3"/>
  <c r="Q8" i="3" s="1"/>
  <c r="O9" i="3"/>
  <c r="Q9" i="3" s="1"/>
  <c r="O10" i="3"/>
  <c r="Q10" i="3" s="1"/>
  <c r="O11" i="3"/>
  <c r="Q11" i="3" s="1"/>
  <c r="O12" i="3"/>
  <c r="Q12" i="3" s="1"/>
  <c r="O13" i="3"/>
  <c r="Q13" i="3" s="1"/>
  <c r="O14" i="3"/>
  <c r="Q14" i="3" s="1"/>
  <c r="O15" i="3"/>
  <c r="Q15" i="3" s="1"/>
  <c r="O16" i="3"/>
  <c r="Q16" i="3" s="1"/>
  <c r="O17" i="3"/>
  <c r="Q17" i="3" s="1"/>
  <c r="O18" i="3"/>
  <c r="Q18" i="3" s="1"/>
  <c r="O19" i="3"/>
  <c r="Q19" i="3" s="1"/>
  <c r="O20" i="3"/>
  <c r="Q20" i="3" s="1"/>
  <c r="O21" i="3"/>
  <c r="Q21" i="3" s="1"/>
  <c r="O22" i="3"/>
  <c r="Q22" i="3" s="1"/>
  <c r="O23" i="3"/>
  <c r="Q23" i="3" s="1"/>
  <c r="O24" i="3"/>
  <c r="Q24" i="3" s="1"/>
  <c r="O25" i="3"/>
  <c r="Q25" i="3" s="1"/>
  <c r="O26" i="3"/>
  <c r="Q26" i="3" s="1"/>
  <c r="O27" i="3"/>
  <c r="Q27" i="3" s="1"/>
  <c r="O28" i="3"/>
  <c r="Q28" i="3" s="1"/>
  <c r="O29" i="3"/>
  <c r="Q29" i="3" s="1"/>
  <c r="O30" i="3"/>
  <c r="Q30" i="3" s="1"/>
  <c r="O31" i="3"/>
  <c r="Q31" i="3" s="1"/>
  <c r="O32" i="3"/>
  <c r="Q32" i="3" s="1"/>
  <c r="O33" i="3"/>
  <c r="Q33" i="3" s="1"/>
  <c r="O34" i="3"/>
  <c r="Q34" i="3" s="1"/>
  <c r="O35" i="3"/>
  <c r="Q35" i="3" s="1"/>
  <c r="O36" i="3"/>
  <c r="Q36" i="3" s="1"/>
  <c r="O37" i="3"/>
  <c r="Q37" i="3" s="1"/>
  <c r="O38" i="3"/>
  <c r="Q38" i="3" s="1"/>
  <c r="O39" i="3"/>
  <c r="Q39" i="3" s="1"/>
  <c r="O40" i="3"/>
  <c r="Q40" i="3" s="1"/>
  <c r="O41" i="3"/>
  <c r="Q41" i="3" s="1"/>
  <c r="O42" i="3"/>
  <c r="Q42" i="3" s="1"/>
  <c r="O43" i="3"/>
  <c r="Q43" i="3" s="1"/>
  <c r="O44" i="3"/>
  <c r="Q44" i="3" s="1"/>
  <c r="O45" i="3"/>
  <c r="Q45" i="3" s="1"/>
  <c r="O46" i="3"/>
  <c r="Q46" i="3" s="1"/>
  <c r="O47" i="3"/>
  <c r="Q47" i="3" s="1"/>
  <c r="O48" i="3"/>
  <c r="Q48" i="3" s="1"/>
  <c r="O49" i="3"/>
  <c r="Q49" i="3" s="1"/>
  <c r="O50" i="3"/>
  <c r="Q50" i="3" s="1"/>
  <c r="O51" i="3"/>
  <c r="Q51" i="3" s="1"/>
  <c r="O52" i="3"/>
  <c r="Q52" i="3" s="1"/>
  <c r="O53" i="3"/>
  <c r="Q53" i="3" s="1"/>
  <c r="O54" i="3"/>
  <c r="Q54" i="3" s="1"/>
  <c r="O55" i="3"/>
  <c r="Q55" i="3" s="1"/>
  <c r="O56" i="3"/>
  <c r="Q56" i="3" s="1"/>
  <c r="O57" i="3"/>
  <c r="Q57" i="3" s="1"/>
  <c r="O58" i="3"/>
  <c r="Q58" i="3" s="1"/>
  <c r="O59" i="3"/>
  <c r="Q59" i="3" s="1"/>
  <c r="O60" i="3"/>
  <c r="Q60" i="3" s="1"/>
  <c r="O61" i="3"/>
  <c r="Q61" i="3" s="1"/>
  <c r="O62" i="3"/>
  <c r="Q62" i="3" s="1"/>
  <c r="O63" i="3"/>
  <c r="Q63" i="3" s="1"/>
  <c r="O64" i="3"/>
  <c r="Q64" i="3" s="1"/>
  <c r="O65" i="3"/>
  <c r="Q65" i="3" s="1"/>
  <c r="O66" i="3"/>
  <c r="Q66" i="3" s="1"/>
  <c r="O67" i="3"/>
  <c r="Q67" i="3" s="1"/>
  <c r="O68" i="3"/>
  <c r="Q68" i="3" s="1"/>
  <c r="O69" i="3"/>
  <c r="Q69" i="3" s="1"/>
  <c r="O70" i="3"/>
  <c r="Q70" i="3" s="1"/>
  <c r="O71" i="3"/>
  <c r="Q71" i="3" s="1"/>
  <c r="O72" i="3"/>
  <c r="Q72" i="3" s="1"/>
  <c r="O73" i="3"/>
  <c r="Q73" i="3" s="1"/>
  <c r="O74" i="3"/>
  <c r="Q74" i="3" s="1"/>
  <c r="O75" i="3"/>
  <c r="Q75" i="3" s="1"/>
  <c r="O76" i="3"/>
  <c r="Q76" i="3" s="1"/>
  <c r="O77" i="3"/>
  <c r="Q77" i="3" s="1"/>
  <c r="O78" i="3"/>
  <c r="Q78" i="3" s="1"/>
  <c r="O79" i="3"/>
  <c r="Q79" i="3" s="1"/>
  <c r="O80" i="3"/>
  <c r="Q80" i="3" s="1"/>
  <c r="O81" i="3"/>
  <c r="Q81" i="3" s="1"/>
  <c r="O82" i="3"/>
  <c r="Q82" i="3" s="1"/>
  <c r="O83" i="3"/>
  <c r="Q83" i="3" s="1"/>
  <c r="O84" i="3"/>
  <c r="Q84" i="3" s="1"/>
  <c r="O85" i="3"/>
  <c r="Q85" i="3" s="1"/>
  <c r="O86" i="3"/>
  <c r="Q86" i="3" s="1"/>
  <c r="O87" i="3"/>
  <c r="Q87" i="3" s="1"/>
  <c r="O88" i="3"/>
  <c r="Q88" i="3" s="1"/>
  <c r="O89" i="3"/>
  <c r="Q89" i="3" s="1"/>
  <c r="O90" i="3"/>
  <c r="Q90" i="3" s="1"/>
  <c r="O91" i="3"/>
  <c r="Q91" i="3" s="1"/>
  <c r="O92" i="3"/>
  <c r="Q92" i="3" s="1"/>
  <c r="O93" i="3"/>
  <c r="Q93" i="3" s="1"/>
  <c r="O94" i="3"/>
  <c r="Q94" i="3" s="1"/>
  <c r="O95" i="3"/>
  <c r="Q95" i="3" s="1"/>
  <c r="O96" i="3"/>
  <c r="Q96" i="3" s="1"/>
  <c r="O97" i="3"/>
  <c r="Q97" i="3" s="1"/>
  <c r="O98" i="3"/>
  <c r="Q98" i="3" s="1"/>
  <c r="O99" i="3"/>
  <c r="Q99" i="3" s="1"/>
  <c r="O100" i="3"/>
  <c r="Q100" i="3" s="1"/>
  <c r="O101" i="3"/>
  <c r="Q101" i="3" s="1"/>
  <c r="O102" i="3"/>
  <c r="Q102" i="3" s="1"/>
  <c r="O103" i="3"/>
  <c r="Q103" i="3" s="1"/>
  <c r="O104" i="3"/>
  <c r="Q104" i="3" s="1"/>
  <c r="O105" i="3"/>
  <c r="Q105" i="3" s="1"/>
  <c r="O106" i="3"/>
  <c r="Q106" i="3" s="1"/>
  <c r="O107" i="3"/>
  <c r="Q107" i="3" s="1"/>
  <c r="O108" i="3"/>
  <c r="Q108" i="3" s="1"/>
  <c r="O109" i="3"/>
  <c r="Q109" i="3" s="1"/>
  <c r="O110" i="3"/>
  <c r="Q110" i="3" s="1"/>
  <c r="O111" i="3"/>
  <c r="Q111" i="3" s="1"/>
  <c r="O112" i="3"/>
  <c r="Q112" i="3" s="1"/>
  <c r="O113" i="3"/>
  <c r="Q113" i="3" s="1"/>
  <c r="O114" i="3"/>
  <c r="Q114" i="3" s="1"/>
  <c r="O115" i="3"/>
  <c r="Q115" i="3" s="1"/>
  <c r="O116" i="3"/>
  <c r="Q116" i="3" s="1"/>
  <c r="O117" i="3"/>
  <c r="Q117" i="3" s="1"/>
  <c r="O118" i="3"/>
  <c r="Q118" i="3" s="1"/>
  <c r="O119" i="3"/>
  <c r="Q119" i="3" s="1"/>
  <c r="O120" i="3"/>
  <c r="Q120" i="3" s="1"/>
  <c r="O121" i="3"/>
  <c r="Q121" i="3" s="1"/>
  <c r="O122" i="3"/>
  <c r="Q122" i="3" s="1"/>
  <c r="O123" i="3"/>
  <c r="Q123" i="3" s="1"/>
  <c r="O124" i="3"/>
  <c r="Q124" i="3" s="1"/>
  <c r="O125" i="3"/>
  <c r="Q125" i="3" s="1"/>
  <c r="O126" i="3"/>
  <c r="Q126" i="3" s="1"/>
  <c r="O127" i="3"/>
  <c r="Q127" i="3" s="1"/>
  <c r="O128" i="3"/>
  <c r="Q128" i="3" s="1"/>
  <c r="O129" i="3"/>
  <c r="Q129" i="3" s="1"/>
  <c r="O130" i="3"/>
  <c r="Q130" i="3" s="1"/>
  <c r="O131" i="3"/>
  <c r="Q131" i="3" s="1"/>
  <c r="O132" i="3"/>
  <c r="Q132" i="3" s="1"/>
  <c r="O133" i="3"/>
  <c r="Q133" i="3" s="1"/>
  <c r="O134" i="3"/>
  <c r="Q134" i="3" s="1"/>
  <c r="O135" i="3"/>
  <c r="Q135" i="3" s="1"/>
  <c r="O136" i="3"/>
  <c r="Q136" i="3" s="1"/>
  <c r="O137" i="3"/>
  <c r="Q137" i="3" s="1"/>
  <c r="O138" i="3"/>
  <c r="Q138" i="3" s="1"/>
  <c r="O139" i="3"/>
  <c r="Q139" i="3" s="1"/>
  <c r="O140" i="3"/>
  <c r="Q140" i="3" s="1"/>
  <c r="O141" i="3"/>
  <c r="Q141" i="3" s="1"/>
  <c r="O142" i="3"/>
  <c r="Q142" i="3" s="1"/>
  <c r="O143" i="3"/>
  <c r="Q143" i="3" s="1"/>
  <c r="O144" i="3"/>
  <c r="Q144" i="3" s="1"/>
  <c r="O145" i="3"/>
  <c r="Q145" i="3" s="1"/>
  <c r="O146" i="3"/>
  <c r="Q146" i="3" s="1"/>
  <c r="O147" i="3"/>
  <c r="Q147" i="3" s="1"/>
  <c r="O148" i="3"/>
  <c r="Q148" i="3" s="1"/>
  <c r="O149" i="3"/>
  <c r="Q149" i="3" s="1"/>
  <c r="O150" i="3"/>
  <c r="Q150" i="3" s="1"/>
  <c r="O151" i="3"/>
  <c r="Q151" i="3" s="1"/>
  <c r="O152" i="3"/>
  <c r="Q152" i="3" s="1"/>
  <c r="O153" i="3"/>
  <c r="Q153" i="3" s="1"/>
  <c r="O154" i="3"/>
  <c r="Q154" i="3" s="1"/>
  <c r="O155" i="3"/>
  <c r="Q155" i="3" s="1"/>
  <c r="O156" i="3"/>
  <c r="Q156" i="3" s="1"/>
  <c r="O157" i="3"/>
  <c r="Q157" i="3" s="1"/>
  <c r="O158" i="3"/>
  <c r="Q158" i="3" s="1"/>
  <c r="O159" i="3"/>
  <c r="Q159" i="3" s="1"/>
  <c r="O160" i="3"/>
  <c r="Q160" i="3" s="1"/>
  <c r="O161" i="3"/>
  <c r="Q161" i="3" s="1"/>
  <c r="O162" i="3"/>
  <c r="Q162" i="3" s="1"/>
  <c r="O163" i="3"/>
  <c r="Q163" i="3" s="1"/>
  <c r="O164" i="3"/>
  <c r="Q164" i="3" s="1"/>
  <c r="O165" i="3"/>
  <c r="Q165" i="3" s="1"/>
  <c r="O166" i="3"/>
  <c r="Q166" i="3" s="1"/>
  <c r="O167" i="3"/>
  <c r="Q167" i="3" s="1"/>
  <c r="O168" i="3"/>
  <c r="Q168" i="3" s="1"/>
  <c r="O169" i="3"/>
  <c r="Q169" i="3" s="1"/>
  <c r="O170" i="3"/>
  <c r="Q170" i="3" s="1"/>
  <c r="O171" i="3"/>
  <c r="Q171" i="3" s="1"/>
  <c r="O172" i="3"/>
  <c r="Q172" i="3" s="1"/>
  <c r="O173" i="3"/>
  <c r="Q173" i="3" s="1"/>
  <c r="O174" i="3"/>
  <c r="Q174" i="3" s="1"/>
  <c r="O175" i="3"/>
  <c r="Q175" i="3" s="1"/>
  <c r="O176" i="3"/>
  <c r="Q176" i="3" s="1"/>
  <c r="O177" i="3"/>
  <c r="Q177" i="3" s="1"/>
  <c r="O178" i="3"/>
  <c r="Q178" i="3" s="1"/>
  <c r="O179" i="3"/>
  <c r="Q179" i="3" s="1"/>
  <c r="O180" i="3"/>
  <c r="Q180" i="3" s="1"/>
  <c r="O181" i="3"/>
  <c r="Q181" i="3" s="1"/>
  <c r="O182" i="3"/>
  <c r="Q182" i="3" s="1"/>
  <c r="O183" i="3"/>
  <c r="Q183" i="3" s="1"/>
  <c r="O184" i="3"/>
  <c r="Q184" i="3" s="1"/>
  <c r="O185" i="3"/>
  <c r="Q185" i="3" s="1"/>
  <c r="O186" i="3"/>
  <c r="Q186" i="3" s="1"/>
  <c r="O187" i="3"/>
  <c r="Q187" i="3" s="1"/>
  <c r="O188" i="3"/>
  <c r="Q188" i="3" s="1"/>
  <c r="O189" i="3"/>
  <c r="Q189" i="3" s="1"/>
  <c r="O190" i="3"/>
  <c r="Q190" i="3" s="1"/>
  <c r="O191" i="3"/>
  <c r="Q191" i="3" s="1"/>
  <c r="O192" i="3"/>
  <c r="Q192" i="3" s="1"/>
  <c r="O193" i="3"/>
  <c r="O194" i="3"/>
  <c r="Q194" i="3" s="1"/>
  <c r="O195" i="3"/>
  <c r="Q195" i="3" s="1"/>
  <c r="O196" i="3"/>
  <c r="Q196" i="3" s="1"/>
  <c r="O197" i="3"/>
  <c r="Q197" i="3" s="1"/>
  <c r="O198" i="3"/>
  <c r="Q198" i="3" s="1"/>
  <c r="O199" i="3"/>
  <c r="Q199" i="3" s="1"/>
  <c r="O200" i="3"/>
  <c r="Q200" i="3" s="1"/>
  <c r="O201" i="3"/>
  <c r="Q201" i="3" s="1"/>
  <c r="O202" i="3"/>
  <c r="Q202" i="3" s="1"/>
  <c r="O203" i="3"/>
  <c r="Q203" i="3" s="1"/>
  <c r="O204" i="3"/>
  <c r="Q204" i="3" s="1"/>
  <c r="O205" i="3"/>
  <c r="O206" i="3"/>
  <c r="Q206" i="3" s="1"/>
  <c r="O207" i="3"/>
  <c r="Q207" i="3" s="1"/>
  <c r="O208" i="3"/>
  <c r="Q208" i="3" s="1"/>
  <c r="O209" i="3"/>
  <c r="Q209" i="3" s="1"/>
  <c r="O210" i="3"/>
  <c r="Q210" i="3" s="1"/>
  <c r="O211" i="3"/>
  <c r="Q211" i="3" s="1"/>
  <c r="O212" i="3"/>
  <c r="Q212" i="3" s="1"/>
  <c r="O213" i="3"/>
  <c r="Q213" i="3" s="1"/>
  <c r="O214" i="3"/>
  <c r="Q214" i="3" s="1"/>
  <c r="O215" i="3"/>
  <c r="Q215" i="3" s="1"/>
  <c r="O216" i="3"/>
  <c r="Q216" i="3" s="1"/>
  <c r="O217" i="3"/>
  <c r="Q217" i="3" s="1"/>
  <c r="O218" i="3"/>
  <c r="Q218" i="3" s="1"/>
  <c r="O219" i="3"/>
  <c r="Q219" i="3" s="1"/>
  <c r="O220" i="3"/>
  <c r="Q220" i="3" s="1"/>
  <c r="O221" i="3"/>
  <c r="Q221" i="3" s="1"/>
  <c r="O222" i="3"/>
  <c r="Q222" i="3" s="1"/>
  <c r="O223" i="3"/>
  <c r="Q223" i="3" s="1"/>
  <c r="O224" i="3"/>
  <c r="Q224" i="3" s="1"/>
  <c r="O225" i="3"/>
  <c r="Q225" i="3" s="1"/>
  <c r="O226" i="3"/>
  <c r="Q226" i="3" s="1"/>
  <c r="O227" i="3"/>
  <c r="Q227" i="3" s="1"/>
  <c r="O228" i="3"/>
  <c r="Q228" i="3" s="1"/>
  <c r="O229" i="3"/>
  <c r="Q229" i="3" s="1"/>
  <c r="O230" i="3"/>
  <c r="Q230" i="3" s="1"/>
  <c r="O231" i="3"/>
  <c r="Q231" i="3" s="1"/>
  <c r="O232" i="3"/>
  <c r="Q232" i="3" s="1"/>
  <c r="O233" i="3"/>
  <c r="Q233" i="3" s="1"/>
  <c r="O234" i="3"/>
  <c r="Q234" i="3" s="1"/>
  <c r="O235" i="3"/>
  <c r="Q235" i="3" s="1"/>
  <c r="O236" i="3"/>
  <c r="Q236" i="3" s="1"/>
  <c r="O237" i="3"/>
  <c r="Q237" i="3" s="1"/>
  <c r="O238" i="3"/>
  <c r="Q238" i="3" s="1"/>
  <c r="O239" i="3"/>
  <c r="Q239" i="3" s="1"/>
  <c r="O240" i="3"/>
  <c r="Q240" i="3" s="1"/>
  <c r="O241" i="3"/>
  <c r="Q241" i="3" s="1"/>
  <c r="O242" i="3"/>
  <c r="Q242" i="3" s="1"/>
  <c r="O243" i="3"/>
  <c r="Q243" i="3" s="1"/>
  <c r="O244" i="3"/>
  <c r="Q244" i="3" s="1"/>
  <c r="O245" i="3"/>
  <c r="Q245" i="3" s="1"/>
  <c r="O246" i="3"/>
  <c r="Q246" i="3" s="1"/>
  <c r="O247" i="3"/>
  <c r="Q247" i="3" s="1"/>
  <c r="O248" i="3"/>
  <c r="Q248" i="3" s="1"/>
  <c r="O249" i="3"/>
  <c r="Q249" i="3" s="1"/>
  <c r="O250" i="3"/>
  <c r="Q250" i="3" s="1"/>
  <c r="O251" i="3"/>
  <c r="Q251" i="3" s="1"/>
  <c r="O252" i="3"/>
  <c r="Q252" i="3" s="1"/>
  <c r="O253" i="3"/>
  <c r="Q253" i="3" s="1"/>
  <c r="O254" i="3"/>
  <c r="Q254" i="3" s="1"/>
  <c r="O255" i="3"/>
  <c r="Q255" i="3" s="1"/>
  <c r="O256" i="3"/>
  <c r="Q256" i="3" s="1"/>
  <c r="O257" i="3"/>
  <c r="Q257" i="3" s="1"/>
  <c r="O258" i="3"/>
  <c r="Q258" i="3" s="1"/>
  <c r="O259" i="3"/>
  <c r="Q259" i="3" s="1"/>
  <c r="O260" i="3"/>
  <c r="Q260" i="3" s="1"/>
  <c r="O261" i="3"/>
  <c r="Q261" i="3" s="1"/>
  <c r="O262" i="3"/>
  <c r="Q262" i="3" s="1"/>
  <c r="O263" i="3"/>
  <c r="Q263" i="3" s="1"/>
  <c r="O264" i="3"/>
  <c r="Q264" i="3" s="1"/>
  <c r="O265" i="3"/>
  <c r="Q265" i="3" s="1"/>
  <c r="O266" i="3"/>
  <c r="Q266" i="3" s="1"/>
  <c r="O267" i="3"/>
  <c r="Q267" i="3" s="1"/>
  <c r="O268" i="3"/>
  <c r="Q268" i="3" s="1"/>
  <c r="O269" i="3"/>
  <c r="Q269" i="3" s="1"/>
  <c r="O270" i="3"/>
  <c r="Q270" i="3" s="1"/>
  <c r="O271" i="3"/>
  <c r="Q271" i="3" s="1"/>
  <c r="O272" i="3"/>
  <c r="Q272" i="3" s="1"/>
  <c r="O273" i="3"/>
  <c r="Q273" i="3" s="1"/>
  <c r="O274" i="3"/>
  <c r="O275" i="3"/>
  <c r="Q275" i="3" s="1"/>
  <c r="O276" i="3"/>
  <c r="Q276" i="3" s="1"/>
  <c r="O277" i="3"/>
  <c r="Q277" i="3" s="1"/>
  <c r="O278" i="3"/>
  <c r="Q278" i="3" s="1"/>
  <c r="O279" i="3"/>
  <c r="Q279" i="3" s="1"/>
  <c r="O280" i="3"/>
  <c r="Q280" i="3" s="1"/>
  <c r="O281" i="3"/>
  <c r="Q281" i="3" s="1"/>
  <c r="O282" i="3"/>
  <c r="Q282" i="3" s="1"/>
  <c r="O283" i="3"/>
  <c r="Q283" i="3" s="1"/>
  <c r="O284" i="3"/>
  <c r="Q284" i="3" s="1"/>
  <c r="O285" i="3"/>
  <c r="Q285" i="3" s="1"/>
  <c r="O286" i="3"/>
  <c r="Q286" i="3" s="1"/>
  <c r="O287" i="3"/>
  <c r="Q287" i="3" s="1"/>
  <c r="O288" i="3"/>
  <c r="Q288" i="3" s="1"/>
  <c r="O289" i="3"/>
  <c r="Q289" i="3" s="1"/>
  <c r="O290" i="3"/>
  <c r="Q290" i="3" s="1"/>
  <c r="O291" i="3"/>
  <c r="Q291" i="3" s="1"/>
  <c r="O292" i="3"/>
  <c r="Q292" i="3" s="1"/>
  <c r="O293" i="3"/>
  <c r="Q293" i="3" s="1"/>
  <c r="O294" i="3"/>
  <c r="Q294" i="3" s="1"/>
  <c r="O295" i="3"/>
  <c r="Q295" i="3" s="1"/>
  <c r="O296" i="3"/>
  <c r="Q296" i="3" s="1"/>
  <c r="O297" i="3"/>
  <c r="Q297" i="3" s="1"/>
  <c r="O298" i="3"/>
  <c r="Q298" i="3" s="1"/>
  <c r="O299" i="3"/>
  <c r="Q299" i="3" s="1"/>
  <c r="O300" i="3"/>
  <c r="Q300" i="3" s="1"/>
  <c r="O301" i="3"/>
  <c r="Q301" i="3" s="1"/>
  <c r="H201" i="5"/>
  <c r="H200" i="5"/>
  <c r="H199" i="5"/>
  <c r="H198" i="5"/>
  <c r="H197" i="5"/>
  <c r="H196" i="5"/>
  <c r="H195" i="5"/>
  <c r="H194" i="5"/>
  <c r="H193" i="5"/>
  <c r="H192" i="5"/>
  <c r="H191" i="5"/>
  <c r="H190" i="5"/>
  <c r="H189" i="5"/>
  <c r="H188" i="5"/>
  <c r="H187" i="5"/>
  <c r="H186" i="5"/>
  <c r="H185" i="5"/>
  <c r="H184" i="5"/>
  <c r="H183" i="5"/>
  <c r="H182" i="5"/>
  <c r="H181" i="5"/>
  <c r="H180" i="5"/>
  <c r="H179" i="5"/>
  <c r="H178" i="5"/>
  <c r="H177" i="5"/>
  <c r="H176" i="5"/>
  <c r="H175" i="5"/>
  <c r="H174" i="5"/>
  <c r="H173" i="5"/>
  <c r="H172" i="5"/>
  <c r="H171" i="5"/>
  <c r="H170" i="5"/>
  <c r="H169" i="5"/>
  <c r="H168" i="5"/>
  <c r="H167" i="5"/>
  <c r="H166" i="5"/>
  <c r="H165" i="5"/>
  <c r="H164" i="5"/>
  <c r="H163" i="5"/>
  <c r="H162" i="5"/>
  <c r="H161" i="5"/>
  <c r="H160" i="5"/>
  <c r="H159" i="5"/>
  <c r="H158" i="5"/>
  <c r="H157" i="5"/>
  <c r="H156" i="5"/>
  <c r="H155" i="5"/>
  <c r="H154" i="5"/>
  <c r="H153" i="5"/>
  <c r="H152" i="5"/>
  <c r="H151" i="5"/>
  <c r="H150" i="5"/>
  <c r="H149" i="5"/>
  <c r="H148" i="5"/>
  <c r="H147" i="5"/>
  <c r="H146" i="5"/>
  <c r="H145" i="5"/>
  <c r="H144" i="5"/>
  <c r="H143" i="5"/>
  <c r="H142" i="5"/>
  <c r="H141" i="5"/>
  <c r="H140" i="5"/>
  <c r="H139" i="5"/>
  <c r="H138" i="5"/>
  <c r="H137" i="5"/>
  <c r="H136" i="5"/>
  <c r="H135" i="5"/>
  <c r="H134" i="5"/>
  <c r="H133" i="5"/>
  <c r="H132" i="5"/>
  <c r="H131" i="5"/>
  <c r="H130" i="5"/>
  <c r="H129" i="5"/>
  <c r="H128" i="5"/>
  <c r="H127" i="5"/>
  <c r="H126" i="5"/>
  <c r="H125" i="5"/>
  <c r="H124" i="5"/>
  <c r="H123" i="5"/>
  <c r="H122" i="5"/>
  <c r="H121" i="5"/>
  <c r="H120" i="5"/>
  <c r="H119" i="5"/>
  <c r="H118" i="5"/>
  <c r="H117" i="5"/>
  <c r="H116" i="5"/>
  <c r="H115" i="5"/>
  <c r="H114" i="5"/>
  <c r="H113" i="5"/>
  <c r="H112" i="5"/>
  <c r="H111" i="5"/>
  <c r="H110" i="5"/>
  <c r="H109" i="5"/>
  <c r="H108" i="5"/>
  <c r="H107" i="5"/>
  <c r="H106" i="5"/>
  <c r="H105" i="5"/>
  <c r="H104" i="5"/>
  <c r="H103" i="5"/>
  <c r="H102" i="5"/>
  <c r="H101" i="5"/>
  <c r="H100" i="5"/>
  <c r="H99" i="5"/>
  <c r="H98" i="5"/>
  <c r="H97" i="5"/>
  <c r="H96" i="5"/>
  <c r="H95" i="5"/>
  <c r="H94" i="5"/>
  <c r="H9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  <c r="N301" i="3"/>
  <c r="N300" i="3"/>
  <c r="N299" i="3"/>
  <c r="N298" i="3"/>
  <c r="N297" i="3"/>
  <c r="N296" i="3"/>
  <c r="N295" i="3"/>
  <c r="N294" i="3"/>
  <c r="N293" i="3"/>
  <c r="N292" i="3"/>
  <c r="N291" i="3"/>
  <c r="N290" i="3"/>
  <c r="N289" i="3"/>
  <c r="N288" i="3"/>
  <c r="N287" i="3"/>
  <c r="N286" i="3"/>
  <c r="N285" i="3"/>
  <c r="N284" i="3"/>
  <c r="N283" i="3"/>
  <c r="N282" i="3"/>
  <c r="N281" i="3"/>
  <c r="N280" i="3"/>
  <c r="N279" i="3"/>
  <c r="N278" i="3"/>
  <c r="N277" i="3"/>
  <c r="N276" i="3"/>
  <c r="N275" i="3"/>
  <c r="N274" i="3"/>
  <c r="N273" i="3"/>
  <c r="N272" i="3"/>
  <c r="N271" i="3"/>
  <c r="N270" i="3"/>
  <c r="N269" i="3"/>
  <c r="N268" i="3"/>
  <c r="N267" i="3"/>
  <c r="N266" i="3"/>
  <c r="N265" i="3"/>
  <c r="N264" i="3"/>
  <c r="N263" i="3"/>
  <c r="N262" i="3"/>
  <c r="N261" i="3"/>
  <c r="N260" i="3"/>
  <c r="N259" i="3"/>
  <c r="N258" i="3"/>
  <c r="N257" i="3"/>
  <c r="N256" i="3"/>
  <c r="N255" i="3"/>
  <c r="N254" i="3"/>
  <c r="N253" i="3"/>
  <c r="N252" i="3"/>
  <c r="N251" i="3"/>
  <c r="N250" i="3"/>
  <c r="N249" i="3"/>
  <c r="N248" i="3"/>
  <c r="N247" i="3"/>
  <c r="N246" i="3"/>
  <c r="N245" i="3"/>
  <c r="N244" i="3"/>
  <c r="N243" i="3"/>
  <c r="N242" i="3"/>
  <c r="N241" i="3"/>
  <c r="N240" i="3"/>
  <c r="N239" i="3"/>
  <c r="N238" i="3"/>
  <c r="N237" i="3"/>
  <c r="N236" i="3"/>
  <c r="N235" i="3"/>
  <c r="N234" i="3"/>
  <c r="N233" i="3"/>
  <c r="N232" i="3"/>
  <c r="N231" i="3"/>
  <c r="N230" i="3"/>
  <c r="N229" i="3"/>
  <c r="N228" i="3"/>
  <c r="N227" i="3"/>
  <c r="N226" i="3"/>
  <c r="N225" i="3"/>
  <c r="N224" i="3"/>
  <c r="N223" i="3"/>
  <c r="N222" i="3"/>
  <c r="N221" i="3"/>
  <c r="N220" i="3"/>
  <c r="N219" i="3"/>
  <c r="N218" i="3"/>
  <c r="N217" i="3"/>
  <c r="N216" i="3"/>
  <c r="N215" i="3"/>
  <c r="N214" i="3"/>
  <c r="N213" i="3"/>
  <c r="N212" i="3"/>
  <c r="N211" i="3"/>
  <c r="N210" i="3"/>
  <c r="N209" i="3"/>
  <c r="N208" i="3"/>
  <c r="N207" i="3"/>
  <c r="N206" i="3"/>
  <c r="N205" i="3"/>
  <c r="N204" i="3"/>
  <c r="N203" i="3"/>
  <c r="N202" i="3"/>
  <c r="N201" i="3"/>
  <c r="N200" i="3"/>
  <c r="N199" i="3"/>
  <c r="N198" i="3"/>
  <c r="N197" i="3"/>
  <c r="N196" i="3"/>
  <c r="N195" i="3"/>
  <c r="N194" i="3"/>
  <c r="N193" i="3"/>
  <c r="N192" i="3"/>
  <c r="N191" i="3"/>
  <c r="N190" i="3"/>
  <c r="N189" i="3"/>
  <c r="N188" i="3"/>
  <c r="N187" i="3"/>
  <c r="N186" i="3"/>
  <c r="N185" i="3"/>
  <c r="N184" i="3"/>
  <c r="N183" i="3"/>
  <c r="N182" i="3"/>
  <c r="N181" i="3"/>
  <c r="N180" i="3"/>
  <c r="N179" i="3"/>
  <c r="N178" i="3"/>
  <c r="N177" i="3"/>
  <c r="N176" i="3"/>
  <c r="N175" i="3"/>
  <c r="N174" i="3"/>
  <c r="N173" i="3"/>
  <c r="N172" i="3"/>
  <c r="N171" i="3"/>
  <c r="N170" i="3"/>
  <c r="N169" i="3"/>
  <c r="N168" i="3"/>
  <c r="N167" i="3"/>
  <c r="N166" i="3"/>
  <c r="N165" i="3"/>
  <c r="N164" i="3"/>
  <c r="N163" i="3"/>
  <c r="N162" i="3"/>
  <c r="N161" i="3"/>
  <c r="N160" i="3"/>
  <c r="N159" i="3"/>
  <c r="N158" i="3"/>
  <c r="N157" i="3"/>
  <c r="N156" i="3"/>
  <c r="N155" i="3"/>
  <c r="N154" i="3"/>
  <c r="N153" i="3"/>
  <c r="N152" i="3"/>
  <c r="N151" i="3"/>
  <c r="N150" i="3"/>
  <c r="N149" i="3"/>
  <c r="N148" i="3"/>
  <c r="N147" i="3"/>
  <c r="N146" i="3"/>
  <c r="N145" i="3"/>
  <c r="N144" i="3"/>
  <c r="N143" i="3"/>
  <c r="N142" i="3"/>
  <c r="N141" i="3"/>
  <c r="N140" i="3"/>
  <c r="N139" i="3"/>
  <c r="N138" i="3"/>
  <c r="N137" i="3"/>
  <c r="N136" i="3"/>
  <c r="N135" i="3"/>
  <c r="N134" i="3"/>
  <c r="N133" i="3"/>
  <c r="N132" i="3"/>
  <c r="N131" i="3"/>
  <c r="N130" i="3"/>
  <c r="N129" i="3"/>
  <c r="N128" i="3"/>
  <c r="N127" i="3"/>
  <c r="N126" i="3"/>
  <c r="N125" i="3"/>
  <c r="N124" i="3"/>
  <c r="N123" i="3"/>
  <c r="N122" i="3"/>
  <c r="N121" i="3"/>
  <c r="N120" i="3"/>
  <c r="N119" i="3"/>
  <c r="N118" i="3"/>
  <c r="N117" i="3"/>
  <c r="N116" i="3"/>
  <c r="N115" i="3"/>
  <c r="N114" i="3"/>
  <c r="N113" i="3"/>
  <c r="N112" i="3"/>
  <c r="N111" i="3"/>
  <c r="N110" i="3"/>
  <c r="N109" i="3"/>
  <c r="N108" i="3"/>
  <c r="N107" i="3"/>
  <c r="N106" i="3"/>
  <c r="N105" i="3"/>
  <c r="N104" i="3"/>
  <c r="N103" i="3"/>
  <c r="N102" i="3"/>
  <c r="N101" i="3"/>
  <c r="N100" i="3"/>
  <c r="N99" i="3"/>
  <c r="N98" i="3"/>
  <c r="N97" i="3"/>
  <c r="N96" i="3"/>
  <c r="N95" i="3"/>
  <c r="N94" i="3"/>
  <c r="N93" i="3"/>
  <c r="N92" i="3"/>
  <c r="N91" i="3"/>
  <c r="N90" i="3"/>
  <c r="N89" i="3"/>
  <c r="N88" i="3"/>
  <c r="N87" i="3"/>
  <c r="N86" i="3"/>
  <c r="N85" i="3"/>
  <c r="N84" i="3"/>
  <c r="N83" i="3"/>
  <c r="N82" i="3"/>
  <c r="N81" i="3"/>
  <c r="N80" i="3"/>
  <c r="N79" i="3"/>
  <c r="N78" i="3"/>
  <c r="N77" i="3"/>
  <c r="N76" i="3"/>
  <c r="N75" i="3"/>
  <c r="N74" i="3"/>
  <c r="N73" i="3"/>
  <c r="N72" i="3"/>
  <c r="N71" i="3"/>
  <c r="N70" i="3"/>
  <c r="N69" i="3"/>
  <c r="N68" i="3"/>
  <c r="N67" i="3"/>
  <c r="N66" i="3"/>
  <c r="N65" i="3"/>
  <c r="N64" i="3"/>
  <c r="N63" i="3"/>
  <c r="N62" i="3"/>
  <c r="N61" i="3"/>
  <c r="N60" i="3"/>
  <c r="N59" i="3"/>
  <c r="N58" i="3"/>
  <c r="N57" i="3"/>
  <c r="N56" i="3"/>
  <c r="N55" i="3"/>
  <c r="N54" i="3"/>
  <c r="N53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K11" i="2"/>
  <c r="K8" i="2"/>
  <c r="K14" i="2"/>
  <c r="K5" i="2"/>
  <c r="P8" i="2"/>
  <c r="P6" i="2"/>
  <c r="P7" i="2"/>
  <c r="P5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ABE910-1A99-469C-A974-FA83778BB95C}" keepAlive="1" name="Query - Engagement Summary (4)" description="Connection to the 'Engagement Summary (4)' query in the workbook." type="5" refreshedVersion="8" background="1" saveData="1">
    <dbPr connection="Provider=Microsoft.Mashup.OleDb.1;Data Source=$Workbook$;Location=&quot;Engagement Summary (4)&quot;;Extended Properties=&quot;&quot;" command="SELECT * FROM [Engagement Summary (4)]"/>
  </connection>
  <connection id="2" xr16:uid="{40CD812E-7DFF-4828-A96C-72F389B7C214}" keepAlive="1" name="Query - Engagement Summary (6)" description="Connection to the 'Engagement Summary (6)' query in the workbook." type="5" refreshedVersion="8" background="1" saveData="1">
    <dbPr connection="Provider=Microsoft.Mashup.OleDb.1;Data Source=$Workbook$;Location=&quot;Engagement Summary (6)&quot;;Extended Properties=&quot;&quot;" command="SELECT * FROM [Engagement Summary (6)]"/>
  </connection>
  <connection id="3" xr16:uid="{3B4C2F13-B533-4B6F-B538-19DDEED2E8C3}" keepAlive="1" name="Query - Posts (2)" description="Connection to the 'Posts (2)' query in the workbook." type="5" refreshedVersion="8" background="1" saveData="1">
    <dbPr connection="Provider=Microsoft.Mashup.OleDb.1;Data Source=$Workbook$;Location=&quot;Posts (2)&quot;;Extended Properties=&quot;&quot;" command="SELECT * FROM [Posts (2)]"/>
  </connection>
  <connection id="4" xr16:uid="{DAFF63A8-A70C-4F82-A514-115C8844D1B6}" keepAlive="1" name="Query - Posts (4)" description="Connection to the 'Posts (4)' query in the workbook." type="5" refreshedVersion="8" background="1" saveData="1">
    <dbPr connection="Provider=Microsoft.Mashup.OleDb.1;Data Source=$Workbook$;Location=&quot;Posts (4)&quot;;Extended Properties=&quot;&quot;" command="SELECT * FROM [Posts (4)]"/>
  </connection>
</connections>
</file>

<file path=xl/sharedStrings.xml><?xml version="1.0" encoding="utf-8"?>
<sst xmlns="http://schemas.openxmlformats.org/spreadsheetml/2006/main" count="2221" uniqueCount="394">
  <si>
    <t>Campaign status</t>
  </si>
  <si>
    <t>During</t>
  </si>
  <si>
    <t>5.1.1) Total  and  average  impressions,  likes,  clicks  per  campaign</t>
  </si>
  <si>
    <t xml:space="preserve">5.2.1) Campaign with highest ROI </t>
  </si>
  <si>
    <t>5.2.2) Campaign with strongest follower growth</t>
  </si>
  <si>
    <t>Campaigns</t>
  </si>
  <si>
    <t>Total Impressions</t>
  </si>
  <si>
    <t>Average Impressions</t>
  </si>
  <si>
    <t>Total Likes</t>
  </si>
  <si>
    <t>Average Likes</t>
  </si>
  <si>
    <t>Total Clicks</t>
  </si>
  <si>
    <t>Average Clicks</t>
  </si>
  <si>
    <t>Campaign</t>
  </si>
  <si>
    <t>Average of Engagement Rate</t>
  </si>
  <si>
    <t>Engagement Uplift (%)</t>
  </si>
  <si>
    <t>Average Engagement_Rate</t>
  </si>
  <si>
    <t>Average Ad_Spend</t>
  </si>
  <si>
    <t>ROI</t>
  </si>
  <si>
    <t>Sum of Net follower growth</t>
  </si>
  <si>
    <t>ChillVibes</t>
  </si>
  <si>
    <t>SummerBeats</t>
  </si>
  <si>
    <t>IndieWave</t>
  </si>
  <si>
    <t>Before</t>
  </si>
  <si>
    <t>IndieWaves</t>
  </si>
  <si>
    <t>Wrapped2024</t>
  </si>
  <si>
    <t>Grand Total</t>
  </si>
  <si>
    <t>5.1.2) Engagement uplift during vs before campaign</t>
  </si>
  <si>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</si>
  <si>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</si>
  <si>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</si>
  <si>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</si>
  <si>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</si>
  <si>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</si>
  <si>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</si>
  <si>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</si>
  <si>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</si>
  <si>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</si>
  <si>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</si>
  <si>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</si>
  <si>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</si>
  <si>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Engagement Rate</t>
  </si>
  <si>
    <t>SP001</t>
  </si>
  <si>
    <t>Instagram</t>
  </si>
  <si>
    <t>Text</t>
  </si>
  <si>
    <t>Discover fresh beats on Spotify!</t>
  </si>
  <si>
    <t>#SoundtrackOfLife,#NowPlaying</t>
  </si>
  <si>
    <t>SP002</t>
  </si>
  <si>
    <t>Explore the latest podcasts now.</t>
  </si>
  <si>
    <t>#DiscoverWeekly</t>
  </si>
  <si>
    <t>SP003</t>
  </si>
  <si>
    <t>Twitter</t>
  </si>
  <si>
    <t>Story</t>
  </si>
  <si>
    <t>New music just dropped. Hit play!</t>
  </si>
  <si>
    <t>#MusicForEveryone,#NowPlaying</t>
  </si>
  <si>
    <t>SP004</t>
  </si>
  <si>
    <t>Wrapped is here! Relive your top tracks 🎧</t>
  </si>
  <si>
    <t>SP005</t>
  </si>
  <si>
    <t>YouTube</t>
  </si>
  <si>
    <t>Music that moves you-only on Spotify.</t>
  </si>
  <si>
    <t>#DiscoverWeekly,#SpotifyWrapped</t>
  </si>
  <si>
    <t>SP006</t>
  </si>
  <si>
    <t>What's your vibe today? #SpotifyHits</t>
  </si>
  <si>
    <t>SP007</t>
  </si>
  <si>
    <t>Get into the groove with our new drop!</t>
  </si>
  <si>
    <t>SP008</t>
  </si>
  <si>
    <t>#DiscoverWeekly,#MusicForEveryone</t>
  </si>
  <si>
    <t>SP009</t>
  </si>
  <si>
    <t>Top trending tracks updated daily!</t>
  </si>
  <si>
    <t>#NowPlaying</t>
  </si>
  <si>
    <t>SP010</t>
  </si>
  <si>
    <t>SP011</t>
  </si>
  <si>
    <t>#SoundtrackOfLife</t>
  </si>
  <si>
    <t>SP012</t>
  </si>
  <si>
    <t>SP013</t>
  </si>
  <si>
    <t>SP014</t>
  </si>
  <si>
    <t>From pop to podcasts, it's all here.</t>
  </si>
  <si>
    <t>SP015</t>
  </si>
  <si>
    <t>Your weekend playlist is waiting.</t>
  </si>
  <si>
    <t>SP016</t>
  </si>
  <si>
    <t>SP017</t>
  </si>
  <si>
    <t>SP018</t>
  </si>
  <si>
    <t>SP019</t>
  </si>
  <si>
    <t>Reel</t>
  </si>
  <si>
    <t>#DiscoverWeekly,#SoundtrackOfLife</t>
  </si>
  <si>
    <t>SP020</t>
  </si>
  <si>
    <t>SP021</t>
  </si>
  <si>
    <t>SP022</t>
  </si>
  <si>
    <t>SP023</t>
  </si>
  <si>
    <t>SP024</t>
  </si>
  <si>
    <t>SP025</t>
  </si>
  <si>
    <t>SP026</t>
  </si>
  <si>
    <t>SP027</t>
  </si>
  <si>
    <t>SP028</t>
  </si>
  <si>
    <t>SP029</t>
  </si>
  <si>
    <t>SP030</t>
  </si>
  <si>
    <t>SP031</t>
  </si>
  <si>
    <t>SP032</t>
  </si>
  <si>
    <t>SP033</t>
  </si>
  <si>
    <t>SP034</t>
  </si>
  <si>
    <t>SP035</t>
  </si>
  <si>
    <t>SP036</t>
  </si>
  <si>
    <t>SP037</t>
  </si>
  <si>
    <t>SP038</t>
  </si>
  <si>
    <t>SP039</t>
  </si>
  <si>
    <t>SP040</t>
  </si>
  <si>
    <t>SP041</t>
  </si>
  <si>
    <t>SP042</t>
  </si>
  <si>
    <t>SP043</t>
  </si>
  <si>
    <t>SP044</t>
  </si>
  <si>
    <t>SP045</t>
  </si>
  <si>
    <t>SP046</t>
  </si>
  <si>
    <t>SP047</t>
  </si>
  <si>
    <t>SP048</t>
  </si>
  <si>
    <t>SP049</t>
  </si>
  <si>
    <t>SP050</t>
  </si>
  <si>
    <t>SP051</t>
  </si>
  <si>
    <t>SP052</t>
  </si>
  <si>
    <t>SP053</t>
  </si>
  <si>
    <t>SP054</t>
  </si>
  <si>
    <t>SP055</t>
  </si>
  <si>
    <t>SP056</t>
  </si>
  <si>
    <t>SP057</t>
  </si>
  <si>
    <t>SP058</t>
  </si>
  <si>
    <t>SP059</t>
  </si>
  <si>
    <t>SP060</t>
  </si>
  <si>
    <t>SP061</t>
  </si>
  <si>
    <t>SP062</t>
  </si>
  <si>
    <t>SP063</t>
  </si>
  <si>
    <t>SP064</t>
  </si>
  <si>
    <t>SP065</t>
  </si>
  <si>
    <t>SP066</t>
  </si>
  <si>
    <t>SP067</t>
  </si>
  <si>
    <t>SP068</t>
  </si>
  <si>
    <t>SP069</t>
  </si>
  <si>
    <t>SP070</t>
  </si>
  <si>
    <t>SP071</t>
  </si>
  <si>
    <t>SP072</t>
  </si>
  <si>
    <t>SP073</t>
  </si>
  <si>
    <t>SP074</t>
  </si>
  <si>
    <t>SP075</t>
  </si>
  <si>
    <t>SP076</t>
  </si>
  <si>
    <t>SP077</t>
  </si>
  <si>
    <t>SP078</t>
  </si>
  <si>
    <t>SP079</t>
  </si>
  <si>
    <t>SP080</t>
  </si>
  <si>
    <t>SP081</t>
  </si>
  <si>
    <t>SP082</t>
  </si>
  <si>
    <t>SP083</t>
  </si>
  <si>
    <t>SP084</t>
  </si>
  <si>
    <t>SP085</t>
  </si>
  <si>
    <t>SP086</t>
  </si>
  <si>
    <t>SP087</t>
  </si>
  <si>
    <t>SP088</t>
  </si>
  <si>
    <t>SP089</t>
  </si>
  <si>
    <t>SP090</t>
  </si>
  <si>
    <t>SP091</t>
  </si>
  <si>
    <t>SP092</t>
  </si>
  <si>
    <t>SP093</t>
  </si>
  <si>
    <t>SP094</t>
  </si>
  <si>
    <t>SP095</t>
  </si>
  <si>
    <t>SP096</t>
  </si>
  <si>
    <t>SP097</t>
  </si>
  <si>
    <t>SP098</t>
  </si>
  <si>
    <t>SP099</t>
  </si>
  <si>
    <t>SP100</t>
  </si>
  <si>
    <t>SP101</t>
  </si>
  <si>
    <t>SP102</t>
  </si>
  <si>
    <t>SP103</t>
  </si>
  <si>
    <t>SP104</t>
  </si>
  <si>
    <t>SP105</t>
  </si>
  <si>
    <t>SP106</t>
  </si>
  <si>
    <t>SP107</t>
  </si>
  <si>
    <t>SP108</t>
  </si>
  <si>
    <t>SP109</t>
  </si>
  <si>
    <t>SP110</t>
  </si>
  <si>
    <t>SP111</t>
  </si>
  <si>
    <t>SP112</t>
  </si>
  <si>
    <t>SP113</t>
  </si>
  <si>
    <t>SP114</t>
  </si>
  <si>
    <t>SP115</t>
  </si>
  <si>
    <t>SP116</t>
  </si>
  <si>
    <t>SP117</t>
  </si>
  <si>
    <t>SP118</t>
  </si>
  <si>
    <t>SP119</t>
  </si>
  <si>
    <t>SP120</t>
  </si>
  <si>
    <t>SP121</t>
  </si>
  <si>
    <t>SP122</t>
  </si>
  <si>
    <t>SP123</t>
  </si>
  <si>
    <t>SP124</t>
  </si>
  <si>
    <t>SP125</t>
  </si>
  <si>
    <t>SP126</t>
  </si>
  <si>
    <t>SP127</t>
  </si>
  <si>
    <t>SP128</t>
  </si>
  <si>
    <t>SP129</t>
  </si>
  <si>
    <t>SP130</t>
  </si>
  <si>
    <t>SP131</t>
  </si>
  <si>
    <t>SP132</t>
  </si>
  <si>
    <t>SP133</t>
  </si>
  <si>
    <t>SP134</t>
  </si>
  <si>
    <t>SP135</t>
  </si>
  <si>
    <t>SP136</t>
  </si>
  <si>
    <t>SP137</t>
  </si>
  <si>
    <t>SP138</t>
  </si>
  <si>
    <t>SP139</t>
  </si>
  <si>
    <t>SP140</t>
  </si>
  <si>
    <t>SP141</t>
  </si>
  <si>
    <t>SP142</t>
  </si>
  <si>
    <t>SP143</t>
  </si>
  <si>
    <t>SP144</t>
  </si>
  <si>
    <t>SP145</t>
  </si>
  <si>
    <t>SP146</t>
  </si>
  <si>
    <t>SP147</t>
  </si>
  <si>
    <t>SP148</t>
  </si>
  <si>
    <t>SP149</t>
  </si>
  <si>
    <t>SP150</t>
  </si>
  <si>
    <t>SP151</t>
  </si>
  <si>
    <t>SP152</t>
  </si>
  <si>
    <t>SP153</t>
  </si>
  <si>
    <t>SP154</t>
  </si>
  <si>
    <t>SP155</t>
  </si>
  <si>
    <t>SP156</t>
  </si>
  <si>
    <t>SP157</t>
  </si>
  <si>
    <t>SP158</t>
  </si>
  <si>
    <t>SP159</t>
  </si>
  <si>
    <t>SP160</t>
  </si>
  <si>
    <t>SP161</t>
  </si>
  <si>
    <t>SP162</t>
  </si>
  <si>
    <t>SP163</t>
  </si>
  <si>
    <t>SP164</t>
  </si>
  <si>
    <t>SP165</t>
  </si>
  <si>
    <t>SP166</t>
  </si>
  <si>
    <t>SP167</t>
  </si>
  <si>
    <t>SP168</t>
  </si>
  <si>
    <t>SP169</t>
  </si>
  <si>
    <t>SP170</t>
  </si>
  <si>
    <t>SP171</t>
  </si>
  <si>
    <t>SP172</t>
  </si>
  <si>
    <t>SP173</t>
  </si>
  <si>
    <t>SP174</t>
  </si>
  <si>
    <t>SP175</t>
  </si>
  <si>
    <t>SP176</t>
  </si>
  <si>
    <t>SP177</t>
  </si>
  <si>
    <t>SP178</t>
  </si>
  <si>
    <t>SP179</t>
  </si>
  <si>
    <t>SP180</t>
  </si>
  <si>
    <t>SP181</t>
  </si>
  <si>
    <t>SP182</t>
  </si>
  <si>
    <t>SP183</t>
  </si>
  <si>
    <t>SP184</t>
  </si>
  <si>
    <t>SP185</t>
  </si>
  <si>
    <t>SP186</t>
  </si>
  <si>
    <t>SP187</t>
  </si>
  <si>
    <t>SP188</t>
  </si>
  <si>
    <t>SP189</t>
  </si>
  <si>
    <t>SP190</t>
  </si>
  <si>
    <t>SP191</t>
  </si>
  <si>
    <t>SP192</t>
  </si>
  <si>
    <t>SP193</t>
  </si>
  <si>
    <t>SP194</t>
  </si>
  <si>
    <t>SP195</t>
  </si>
  <si>
    <t>SP196</t>
  </si>
  <si>
    <t>SP197</t>
  </si>
  <si>
    <t>SP198</t>
  </si>
  <si>
    <t>SP199</t>
  </si>
  <si>
    <t>SP200</t>
  </si>
  <si>
    <t>SP201</t>
  </si>
  <si>
    <t>SP202</t>
  </si>
  <si>
    <t>SP203</t>
  </si>
  <si>
    <t>SP204</t>
  </si>
  <si>
    <t>SP205</t>
  </si>
  <si>
    <t>SP206</t>
  </si>
  <si>
    <t>SP207</t>
  </si>
  <si>
    <t>SP208</t>
  </si>
  <si>
    <t>SP209</t>
  </si>
  <si>
    <t>SP210</t>
  </si>
  <si>
    <t>SP211</t>
  </si>
  <si>
    <t>SP212</t>
  </si>
  <si>
    <t>SP213</t>
  </si>
  <si>
    <t>SP214</t>
  </si>
  <si>
    <t>SP215</t>
  </si>
  <si>
    <t>SP216</t>
  </si>
  <si>
    <t>SP217</t>
  </si>
  <si>
    <t>SP218</t>
  </si>
  <si>
    <t>SP219</t>
  </si>
  <si>
    <t>SP220</t>
  </si>
  <si>
    <t>SP221</t>
  </si>
  <si>
    <t>SP222</t>
  </si>
  <si>
    <t>SP223</t>
  </si>
  <si>
    <t>SP224</t>
  </si>
  <si>
    <t>SP225</t>
  </si>
  <si>
    <t>SP226</t>
  </si>
  <si>
    <t>SP227</t>
  </si>
  <si>
    <t>SP228</t>
  </si>
  <si>
    <t>SP229</t>
  </si>
  <si>
    <t>SP230</t>
  </si>
  <si>
    <t>SP231</t>
  </si>
  <si>
    <t>SP232</t>
  </si>
  <si>
    <t>SP233</t>
  </si>
  <si>
    <t>SP234</t>
  </si>
  <si>
    <t>SP235</t>
  </si>
  <si>
    <t>SP236</t>
  </si>
  <si>
    <t>SP237</t>
  </si>
  <si>
    <t>SP238</t>
  </si>
  <si>
    <t>SP239</t>
  </si>
  <si>
    <t>SP240</t>
  </si>
  <si>
    <t>SP241</t>
  </si>
  <si>
    <t>SP242</t>
  </si>
  <si>
    <t>SP243</t>
  </si>
  <si>
    <t>SP244</t>
  </si>
  <si>
    <t>SP245</t>
  </si>
  <si>
    <t>SP246</t>
  </si>
  <si>
    <t>SP247</t>
  </si>
  <si>
    <t>SP248</t>
  </si>
  <si>
    <t>SP249</t>
  </si>
  <si>
    <t>SP250</t>
  </si>
  <si>
    <t>SP251</t>
  </si>
  <si>
    <t>SP252</t>
  </si>
  <si>
    <t>SP253</t>
  </si>
  <si>
    <t>SP254</t>
  </si>
  <si>
    <t>SP255</t>
  </si>
  <si>
    <t>SP256</t>
  </si>
  <si>
    <t>SP257</t>
  </si>
  <si>
    <t>SP258</t>
  </si>
  <si>
    <t>SP259</t>
  </si>
  <si>
    <t>SP260</t>
  </si>
  <si>
    <t>SP261</t>
  </si>
  <si>
    <t>SP262</t>
  </si>
  <si>
    <t>SP263</t>
  </si>
  <si>
    <t>SP264</t>
  </si>
  <si>
    <t>SP265</t>
  </si>
  <si>
    <t>SP266</t>
  </si>
  <si>
    <t>SP267</t>
  </si>
  <si>
    <t>SP268</t>
  </si>
  <si>
    <t>SP269</t>
  </si>
  <si>
    <t>SP270</t>
  </si>
  <si>
    <t>SP271</t>
  </si>
  <si>
    <t>SP272</t>
  </si>
  <si>
    <t>SP273</t>
  </si>
  <si>
    <t>SP274</t>
  </si>
  <si>
    <t>SP275</t>
  </si>
  <si>
    <t>SP276</t>
  </si>
  <si>
    <t>SP277</t>
  </si>
  <si>
    <t>SP278</t>
  </si>
  <si>
    <t>SP279</t>
  </si>
  <si>
    <t>SP280</t>
  </si>
  <si>
    <t>SP281</t>
  </si>
  <si>
    <t>SP282</t>
  </si>
  <si>
    <t>SP283</t>
  </si>
  <si>
    <t>SP284</t>
  </si>
  <si>
    <t>SP285</t>
  </si>
  <si>
    <t>SP286</t>
  </si>
  <si>
    <t>SP287</t>
  </si>
  <si>
    <t>SP288</t>
  </si>
  <si>
    <t>SP289</t>
  </si>
  <si>
    <t>SP290</t>
  </si>
  <si>
    <t>SP291</t>
  </si>
  <si>
    <t>SP292</t>
  </si>
  <si>
    <t>SP293</t>
  </si>
  <si>
    <t>SP294</t>
  </si>
  <si>
    <t>SP295</t>
  </si>
  <si>
    <t>SP296</t>
  </si>
  <si>
    <t>SP297</t>
  </si>
  <si>
    <t>SP298</t>
  </si>
  <si>
    <t>SP299</t>
  </si>
  <si>
    <t>SP300</t>
  </si>
  <si>
    <t>Week_Start_Date</t>
  </si>
  <si>
    <t>New_Followers</t>
  </si>
  <si>
    <t>Unfollows</t>
  </si>
  <si>
    <t>Total_Followers</t>
  </si>
  <si>
    <t>Engagement_Rate</t>
  </si>
  <si>
    <t>Ad_Spend</t>
  </si>
  <si>
    <t>Campaign name</t>
  </si>
  <si>
    <t>Net follower growth</t>
  </si>
  <si>
    <t>Start_Date</t>
  </si>
  <si>
    <t>End_Date</t>
  </si>
  <si>
    <t>Objective</t>
  </si>
  <si>
    <t>Total_Budget</t>
  </si>
  <si>
    <t>Target_Platforms</t>
  </si>
  <si>
    <t>Primary_Hashtags</t>
  </si>
  <si>
    <t>Brand Awareness</t>
  </si>
  <si>
    <t>Instagram,YouTube</t>
  </si>
  <si>
    <t>#SpotifyWrapped,#MusicForEveryone</t>
  </si>
  <si>
    <t>Engagement</t>
  </si>
  <si>
    <t>Twitter,YouTube</t>
  </si>
  <si>
    <t>#SpotifyWrapped,#NowPlaying</t>
  </si>
  <si>
    <t>Product Launch</t>
  </si>
  <si>
    <t>Instagram,Twitter</t>
  </si>
  <si>
    <t>#ChillVibes,#SoundtrackOfLife</t>
  </si>
  <si>
    <t>Traffic</t>
  </si>
  <si>
    <t>Facebook,Instagram</t>
  </si>
  <si>
    <t>#DiscoverWeekly,#IndieWave</t>
  </si>
  <si>
    <t>Campaign end date</t>
  </si>
  <si>
    <t>Campaign start date</t>
  </si>
  <si>
    <t>TASK 5: CAMPAIGN EFFECTIVENESS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</si>
</sst>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rgb="FF00008B"/>
      <name val="Calibri"/>
      <family val="2"/>
      <scheme val="minor"/>
    </font>
    <font>
      <sz val="11"/>
      <color rgb="FF00008B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20"/>
      <color theme="1"/>
      <name val="Lucida Handwriting"/>
      <family val="4"/>
    </font>
    <font>
      <b/>
      <sz val="20"/>
      <color rgb="FF403151"/>
      <name val="Lucida Handwriting"/>
      <family val="4"/>
    </font>
  </fonts>
  <fills count="5">
    <fill>
      <patternFill patternType="none"/>
    </fill>
    <fill>
      <patternFill patternType="gray125"/>
    </fill>
    <fill>
      <patternFill patternType="solid">
        <fgColor rgb="FFFFD4B5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6" fillId="0" borderId="0"/>
    <xf numFmtId="0" fontId="1" fillId="0" borderId="0"/>
  </cellStyleXfs>
  <cellXfs count="38">
    <xf numFmtId="0" fontId="0" fillId="0" borderId="0" xfId="0"/>
    <xf numFmtId="0" fontId="0" fillId="0" borderId="1" xfId="0" applyBorder="1"/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1" xfId="0" applyBorder="1" applyAlignment="1">
      <alignment horizontal="left"/>
    </xf>
    <xf numFmtId="2" fontId="0" fillId="0" borderId="1" xfId="0" applyNumberFormat="1" applyBorder="1"/>
    <xf numFmtId="0" fontId="0" fillId="0" borderId="3" xfId="0" applyBorder="1" applyAlignment="1">
      <alignment horizontal="left"/>
    </xf>
    <xf numFmtId="10" fontId="0" fillId="0" borderId="1" xfId="0" applyNumberFormat="1" applyBorder="1"/>
    <xf numFmtId="10" fontId="0" fillId="0" borderId="0" xfId="0" applyNumberFormat="1"/>
    <xf numFmtId="164" fontId="0" fillId="0" borderId="1" xfId="0" applyNumberFormat="1" applyBorder="1"/>
    <xf numFmtId="164" fontId="0" fillId="0" borderId="0" xfId="0" applyNumberFormat="1"/>
    <xf numFmtId="0" fontId="0" fillId="0" borderId="3" xfId="0" applyBorder="1" applyAlignment="1">
      <alignment horizontal="left" indent="1"/>
    </xf>
    <xf numFmtId="10" fontId="0" fillId="0" borderId="3" xfId="0" applyNumberFormat="1" applyBorder="1"/>
    <xf numFmtId="1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2" fontId="0" fillId="2" borderId="1" xfId="0" applyNumberFormat="1" applyFill="1" applyBorder="1"/>
    <xf numFmtId="0" fontId="2" fillId="2" borderId="1" xfId="0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0" fontId="7" fillId="0" borderId="4" xfId="1" applyFont="1" applyBorder="1" applyAlignment="1">
      <alignment horizontal="center" vertical="top"/>
    </xf>
    <xf numFmtId="14" fontId="7" fillId="0" borderId="4" xfId="1" applyNumberFormat="1" applyFont="1" applyBorder="1" applyAlignment="1">
      <alignment horizontal="center" vertical="top"/>
    </xf>
    <xf numFmtId="0" fontId="6" fillId="0" borderId="0" xfId="1"/>
    <xf numFmtId="0" fontId="1" fillId="0" borderId="0" xfId="1" applyFont="1"/>
    <xf numFmtId="14" fontId="1" fillId="0" borderId="0" xfId="1" applyNumberFormat="1" applyFont="1"/>
    <xf numFmtId="14" fontId="6" fillId="0" borderId="0" xfId="1" applyNumberFormat="1"/>
    <xf numFmtId="0" fontId="9" fillId="4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2" fillId="4" borderId="1" xfId="0" applyFont="1" applyFill="1" applyBorder="1"/>
    <xf numFmtId="0" fontId="2" fillId="2" borderId="1" xfId="0" applyFont="1" applyFill="1" applyBorder="1"/>
  </cellXfs>
  <cellStyles count="3">
    <cellStyle name="Normal" xfId="0" builtinId="0"/>
    <cellStyle name="Normal 2" xfId="1" xr:uid="{F9983284-AA6F-4E1D-8721-FB51FC92C231}"/>
    <cellStyle name="Normal 2 2" xfId="2" xr:uid="{B4493746-A3D8-483B-A7FF-00DE82012C4D}"/>
  </cellStyles>
  <dxfs count="140">
    <dxf>
      <alignment horizontal="center"/>
    </dxf>
    <dxf>
      <alignment horizontal="right"/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numFmt numFmtId="14" formatCode="0.00%"/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left style="thin">
          <color indexed="64"/>
        </left>
        <horizontal style="thin">
          <color indexed="64"/>
        </horizontal>
      </border>
    </dxf>
    <dxf>
      <border>
        <right style="thin">
          <color indexed="64"/>
        </right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left/>
        <right/>
        <top/>
        <bottom/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numFmt numFmtId="2" formatCode="0.00"/>
    </dxf>
    <dxf>
      <numFmt numFmtId="2" formatCode="0.0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 patternType="solid">
          <bgColor theme="6" tint="0.59999389629810485"/>
        </patternFill>
      </fill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fill>
        <patternFill>
          <bgColor rgb="FFFFD4B5"/>
        </patternFill>
      </fill>
    </dxf>
    <dxf>
      <alignment horizontal="right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</dxfs>
  <tableStyles count="0" defaultTableStyle="TableStyleMedium2" defaultPivotStyle="PivotStyleLight16"/>
  <colors>
    <mruColors>
      <color rgb="FF1F5663"/>
      <color rgb="FFEEE6F3"/>
      <color rgb="FFEF7421"/>
      <color rgb="FFDE8712"/>
      <color rgb="FFD96617"/>
      <color rgb="FFBF7130"/>
      <color rgb="FF2B7889"/>
      <color rgb="FFBEBABA"/>
      <color rgb="FFC4C0C0"/>
      <color rgb="FFC7C3C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tyles" Target="styles.xml"/><Relationship Id="rId5" Type="http://schemas.openxmlformats.org/officeDocument/2006/relationships/pivotCacheDefinition" Target="pivotCache/pivotCacheDefinition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5.xlsx]Task 5!PivotTable4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Campaigns vs</a:t>
            </a:r>
            <a:r>
              <a:rPr lang="en-US" b="1" baseline="0">
                <a:solidFill>
                  <a:srgbClr val="002060"/>
                </a:solidFill>
              </a:rPr>
              <a:t> net follower growth</a:t>
            </a:r>
            <a:endParaRPr lang="en-US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6333202298275493"/>
          <c:y val="4.0983606557377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95373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5'!$S$4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95373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'Task 5'!$R$5:$R$9</c:f>
              <c:strCache>
                <c:ptCount val="4"/>
                <c:pt idx="0">
                  <c:v>SummerBeats</c:v>
                </c:pt>
                <c:pt idx="1">
                  <c:v>IndieWaves</c:v>
                </c:pt>
                <c:pt idx="2">
                  <c:v>Wrapped2024</c:v>
                </c:pt>
                <c:pt idx="3">
                  <c:v>ChillVibes</c:v>
                </c:pt>
              </c:strCache>
            </c:strRef>
          </c:cat>
          <c:val>
            <c:numRef>
              <c:f>'Task 5'!$S$5:$S$9</c:f>
              <c:numCache>
                <c:formatCode>General</c:formatCode>
                <c:ptCount val="4"/>
                <c:pt idx="0">
                  <c:v>13558</c:v>
                </c:pt>
                <c:pt idx="1">
                  <c:v>12726</c:v>
                </c:pt>
                <c:pt idx="2">
                  <c:v>11361</c:v>
                </c:pt>
                <c:pt idx="3">
                  <c:v>10142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29-499E-91B1-830C94C85F4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1206800"/>
        <c:axId val="1651196240"/>
      </c:barChart>
      <c:catAx>
        <c:axId val="16512068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Campaigns</a:t>
                </a:r>
              </a:p>
            </c:rich>
          </c:tx>
          <c:layout>
            <c:manualLayout>
              <c:xMode val="edge"/>
              <c:yMode val="edge"/>
              <c:x val="0.40839076082728348"/>
              <c:y val="0.907991623997819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196240"/>
        <c:crosses val="autoZero"/>
        <c:auto val="1"/>
        <c:lblAlgn val="ctr"/>
        <c:lblOffset val="100"/>
        <c:noMultiLvlLbl val="0"/>
      </c:catAx>
      <c:valAx>
        <c:axId val="165119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Net</a:t>
                </a:r>
                <a:r>
                  <a:rPr lang="en-IN" b="1" baseline="0">
                    <a:solidFill>
                      <a:schemeClr val="tx1"/>
                    </a:solidFill>
                  </a:rPr>
                  <a:t>_Follower_Growth</a:t>
                </a:r>
                <a:endParaRPr lang="en-IN" b="1">
                  <a:solidFill>
                    <a:schemeClr val="tx1"/>
                  </a:solidFill>
                </a:endParaRPr>
              </a:p>
            </c:rich>
          </c:tx>
          <c:layout>
            <c:manualLayout>
              <c:xMode val="edge"/>
              <c:yMode val="edge"/>
              <c:x val="2.0800832033281331E-2"/>
              <c:y val="0.262697388236306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120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EF4EC"/>
    </a:solidFill>
    <a:ln w="9525" cap="flat" cmpd="sng" algn="ctr">
      <a:solidFill>
        <a:schemeClr val="accent2">
          <a:lumMod val="50000"/>
        </a:schemeClr>
      </a:solidFill>
      <a:round/>
    </a:ln>
    <a:effectLst>
      <a:glow rad="76200">
        <a:srgbClr val="E9B8B6"/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5.xlsx]Task 5!PivotTable2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002060"/>
                </a:solidFill>
              </a:rPr>
              <a:t>Engagement</a:t>
            </a:r>
            <a:r>
              <a:rPr lang="en-US" b="1" baseline="0">
                <a:solidFill>
                  <a:srgbClr val="002060"/>
                </a:solidFill>
              </a:rPr>
              <a:t> before vs during Campaigns</a:t>
            </a:r>
            <a:endParaRPr lang="en-US" b="1">
              <a:solidFill>
                <a:srgbClr val="002060"/>
              </a:solidFill>
            </a:endParaRPr>
          </a:p>
        </c:rich>
      </c:tx>
      <c:layout>
        <c:manualLayout>
          <c:xMode val="edge"/>
          <c:yMode val="edge"/>
          <c:x val="0.20057444523979956"/>
          <c:y val="5.754212905877517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4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5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6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7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2B7889"/>
          </a:solidFill>
          <a:ln>
            <a:noFill/>
          </a:ln>
          <a:effectLst/>
        </c:spPr>
      </c:pivotFmt>
      <c:pivotFmt>
        <c:idx val="11"/>
        <c:spPr>
          <a:solidFill>
            <a:srgbClr val="EF7421"/>
          </a:solidFill>
          <a:ln>
            <a:noFill/>
          </a:ln>
          <a:effectLst/>
        </c:spPr>
      </c:pivotFmt>
      <c:pivotFmt>
        <c:idx val="12"/>
        <c:spPr>
          <a:solidFill>
            <a:srgbClr val="2B7889"/>
          </a:solidFill>
          <a:ln>
            <a:noFill/>
          </a:ln>
          <a:effectLst/>
        </c:spPr>
      </c:pivotFmt>
      <c:pivotFmt>
        <c:idx val="13"/>
        <c:spPr>
          <a:solidFill>
            <a:srgbClr val="EF7421"/>
          </a:solidFill>
          <a:ln>
            <a:noFill/>
          </a:ln>
          <a:effectLst/>
        </c:spPr>
      </c:pivotFmt>
      <c:pivotFmt>
        <c:idx val="14"/>
        <c:spPr>
          <a:solidFill>
            <a:srgbClr val="2B7889"/>
          </a:solidFill>
          <a:ln>
            <a:noFill/>
          </a:ln>
          <a:effectLst/>
        </c:spPr>
      </c:pivotFmt>
      <c:pivotFmt>
        <c:idx val="15"/>
        <c:spPr>
          <a:solidFill>
            <a:srgbClr val="EF7421"/>
          </a:solidFill>
          <a:ln>
            <a:noFill/>
          </a:ln>
          <a:effectLst/>
        </c:spPr>
      </c:pivotFmt>
      <c:pivotFmt>
        <c:idx val="16"/>
        <c:spPr>
          <a:solidFill>
            <a:srgbClr val="2B7889"/>
          </a:solidFill>
          <a:ln>
            <a:noFill/>
          </a:ln>
          <a:effectLst/>
        </c:spPr>
      </c:pivotFmt>
      <c:pivotFmt>
        <c:idx val="17"/>
        <c:spPr>
          <a:solidFill>
            <a:srgbClr val="EF7421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597454863596596"/>
          <c:y val="0.22141195050988541"/>
          <c:w val="0.81247673586256264"/>
          <c:h val="0.5160270040227710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'Task 5'!$J$4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B78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63F-458A-91BB-C0D3469E5CA9}"/>
              </c:ext>
            </c:extLst>
          </c:dPt>
          <c:dPt>
            <c:idx val="1"/>
            <c:invertIfNegative val="0"/>
            <c:bubble3D val="0"/>
            <c:spPr>
              <a:solidFill>
                <a:srgbClr val="EF74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63F-458A-91BB-C0D3469E5CA9}"/>
              </c:ext>
            </c:extLst>
          </c:dPt>
          <c:dPt>
            <c:idx val="2"/>
            <c:invertIfNegative val="0"/>
            <c:bubble3D val="0"/>
            <c:spPr>
              <a:solidFill>
                <a:srgbClr val="2B78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63F-458A-91BB-C0D3469E5CA9}"/>
              </c:ext>
            </c:extLst>
          </c:dPt>
          <c:dPt>
            <c:idx val="3"/>
            <c:invertIfNegative val="0"/>
            <c:bubble3D val="0"/>
            <c:spPr>
              <a:solidFill>
                <a:srgbClr val="EF74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63F-458A-91BB-C0D3469E5CA9}"/>
              </c:ext>
            </c:extLst>
          </c:dPt>
          <c:dPt>
            <c:idx val="4"/>
            <c:invertIfNegative val="0"/>
            <c:bubble3D val="0"/>
            <c:spPr>
              <a:solidFill>
                <a:srgbClr val="2B78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963F-458A-91BB-C0D3469E5CA9}"/>
              </c:ext>
            </c:extLst>
          </c:dPt>
          <c:dPt>
            <c:idx val="5"/>
            <c:invertIfNegative val="0"/>
            <c:bubble3D val="0"/>
            <c:spPr>
              <a:solidFill>
                <a:srgbClr val="EF74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963F-458A-91BB-C0D3469E5CA9}"/>
              </c:ext>
            </c:extLst>
          </c:dPt>
          <c:dPt>
            <c:idx val="6"/>
            <c:invertIfNegative val="0"/>
            <c:bubble3D val="0"/>
            <c:spPr>
              <a:solidFill>
                <a:srgbClr val="2B7889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963F-458A-91BB-C0D3469E5CA9}"/>
              </c:ext>
            </c:extLst>
          </c:dPt>
          <c:dPt>
            <c:idx val="7"/>
            <c:invertIfNegative val="0"/>
            <c:bubble3D val="0"/>
            <c:spPr>
              <a:solidFill>
                <a:srgbClr val="EF742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963F-458A-91BB-C0D3469E5CA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'Task 5'!$I$5:$I$16</c:f>
              <c:multiLvlStrCache>
                <c:ptCount val="8"/>
                <c:lvl>
                  <c:pt idx="0">
                    <c:v>Before</c:v>
                  </c:pt>
                  <c:pt idx="1">
                    <c:v>During</c:v>
                  </c:pt>
                  <c:pt idx="2">
                    <c:v>Before</c:v>
                  </c:pt>
                  <c:pt idx="3">
                    <c:v>During</c:v>
                  </c:pt>
                  <c:pt idx="4">
                    <c:v>Before</c:v>
                  </c:pt>
                  <c:pt idx="5">
                    <c:v>During</c:v>
                  </c:pt>
                  <c:pt idx="6">
                    <c:v>Before</c:v>
                  </c:pt>
                  <c:pt idx="7">
                    <c:v>During</c:v>
                  </c:pt>
                </c:lvl>
                <c:lvl>
                  <c:pt idx="0">
                    <c:v>ChillVibes</c:v>
                  </c:pt>
                  <c:pt idx="2">
                    <c:v>IndieWave</c:v>
                  </c:pt>
                  <c:pt idx="4">
                    <c:v>SummerBeats</c:v>
                  </c:pt>
                  <c:pt idx="6">
                    <c:v>Wrapped2024</c:v>
                  </c:pt>
                </c:lvl>
              </c:multiLvlStrCache>
            </c:multiLvlStrRef>
          </c:cat>
          <c:val>
            <c:numRef>
              <c:f>'Task 5'!$J$5:$J$16</c:f>
              <c:numCache>
                <c:formatCode>0.00%</c:formatCode>
                <c:ptCount val="8"/>
                <c:pt idx="0">
                  <c:v>9.3905541607170212E-2</c:v>
                </c:pt>
                <c:pt idx="1">
                  <c:v>0.12086180294512508</c:v>
                </c:pt>
                <c:pt idx="2">
                  <c:v>8.6490217706148384E-2</c:v>
                </c:pt>
                <c:pt idx="3">
                  <c:v>0.11095871200554182</c:v>
                </c:pt>
                <c:pt idx="4">
                  <c:v>9.0961113010810765E-2</c:v>
                </c:pt>
                <c:pt idx="5">
                  <c:v>7.8574756612039942E-2</c:v>
                </c:pt>
                <c:pt idx="6">
                  <c:v>9.5499996878411195E-2</c:v>
                </c:pt>
                <c:pt idx="7">
                  <c:v>9.5604953356204198E-2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963F-458A-91BB-C0D3469E5CA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71567264"/>
        <c:axId val="771568704"/>
      </c:barChart>
      <c:catAx>
        <c:axId val="7715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68704"/>
        <c:crosses val="autoZero"/>
        <c:auto val="1"/>
        <c:lblAlgn val="ctr"/>
        <c:lblOffset val="100"/>
        <c:noMultiLvlLbl val="0"/>
      </c:catAx>
      <c:valAx>
        <c:axId val="771568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>
                    <a:solidFill>
                      <a:schemeClr val="tx1"/>
                    </a:solidFill>
                  </a:rPr>
                  <a:t>Engagement</a:t>
                </a:r>
              </a:p>
            </c:rich>
          </c:tx>
          <c:layout>
            <c:manualLayout>
              <c:xMode val="edge"/>
              <c:yMode val="edge"/>
              <c:x val="2.0202020202020204E-2"/>
              <c:y val="0.340306999232987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40315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156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7DBDA"/>
    </a:solidFill>
    <a:ln w="9525" cap="flat" cmpd="sng" algn="ctr">
      <a:solidFill>
        <a:srgbClr val="632523"/>
      </a:solidFill>
      <a:round/>
    </a:ln>
    <a:effectLst>
      <a:glow rad="88900">
        <a:srgbClr val="BEBABA"/>
      </a:glow>
      <a:softEdge rad="0"/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655320</xdr:colOff>
      <xdr:row>10</xdr:row>
      <xdr:rowOff>22860</xdr:rowOff>
    </xdr:from>
    <xdr:ext cx="3451860" cy="326898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29543AC-B212-4357-A9DB-30B16C9100D6}"/>
            </a:ext>
          </a:extLst>
        </xdr:cNvPr>
        <xdr:cNvSpPr txBox="1"/>
      </xdr:nvSpPr>
      <xdr:spPr>
        <a:xfrm>
          <a:off x="655320" y="1668780"/>
          <a:ext cx="3451860" cy="3268980"/>
        </a:xfrm>
        <a:prstGeom prst="rect">
          <a:avLst/>
        </a:prstGeom>
        <a:solidFill>
          <a:srgbClr val="EEE6F3"/>
        </a:solidFill>
        <a:ln w="19050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ChillVibes</a:t>
          </a: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achieved the highest total reach of approximately 6.3M impressions, 471k likes and 28.7k clicks indicating the broadest campaign exposure.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IndieWave recorded the highest average impressions per post (42971.33) showing strong per post visibility.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SummerBeats achieved the highest average likes (3099) showing higher audience interaction. 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Wrapped2024 has the highest average clicks of 200.61 but exhibited the lowest total across other metrics indicating higher click efficiency despite lower overall scale.</a:t>
          </a:r>
          <a:endParaRPr lang="en-IN" sz="1100" b="1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oneCellAnchor>
    <xdr:from>
      <xdr:col>8</xdr:col>
      <xdr:colOff>899160</xdr:colOff>
      <xdr:row>37</xdr:row>
      <xdr:rowOff>15240</xdr:rowOff>
    </xdr:from>
    <xdr:ext cx="3253740" cy="370332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8ED855E-8843-46D3-A07B-5D1D830A016E}"/>
            </a:ext>
          </a:extLst>
        </xdr:cNvPr>
        <xdr:cNvSpPr txBox="1"/>
      </xdr:nvSpPr>
      <xdr:spPr>
        <a:xfrm>
          <a:off x="7856220" y="6598920"/>
          <a:ext cx="3253740" cy="3703320"/>
        </a:xfrm>
        <a:prstGeom prst="rect">
          <a:avLst/>
        </a:prstGeom>
        <a:solidFill>
          <a:srgbClr val="EEE6F3"/>
        </a:solidFill>
        <a:ln w="19050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ChillVibes shows the highest engagement uplift of 28.71% indicating that the audience interaction increased significantly during the campaign compared to before the campaign.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IndieWave also has a high uplift in engagement (28.29%) showing the campaigns effectiveness.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Wrapped2024 has very small engagement uplift (0.11%). The campaign did not generate a significant uplift in engagement.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SummerBeats</a:t>
          </a: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recorded a negative uplift of  -13.62% ,indicating that during the campaign there was a decline in engagement rate.Strategies can be made to improve the results here.</a:t>
          </a:r>
          <a:endParaRPr lang="en-IN" sz="1100" b="1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oneCellAnchor>
    <xdr:from>
      <xdr:col>12</xdr:col>
      <xdr:colOff>518160</xdr:colOff>
      <xdr:row>11</xdr:row>
      <xdr:rowOff>167640</xdr:rowOff>
    </xdr:from>
    <xdr:ext cx="3855720" cy="243840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9A2DC6E-F7E9-4367-907B-CAF6C59AFDF2}"/>
            </a:ext>
          </a:extLst>
        </xdr:cNvPr>
        <xdr:cNvSpPr txBox="1"/>
      </xdr:nvSpPr>
      <xdr:spPr>
        <a:xfrm>
          <a:off x="12755880" y="1996440"/>
          <a:ext cx="3855720" cy="2438400"/>
        </a:xfrm>
        <a:prstGeom prst="rect">
          <a:avLst/>
        </a:prstGeom>
        <a:solidFill>
          <a:srgbClr val="EEE6F3"/>
        </a:solidFill>
        <a:ln w="19050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ChillVibes</a:t>
          </a: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campaign recorded the highest ROI with the least average ad spend. This indicates that this campaign is the most efficient in generating engagement 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Though IndieWaves and SummerBeats gained higher engagement levels, their higher ad spend reduced the overall efficiency.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Wrapped2024 has the lowest ROI but it shows lower engagement despite the comparatively higher ad spend.</a:t>
          </a:r>
          <a:endParaRPr lang="en-IN" sz="1100" b="1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oneCellAnchor>
    <xdr:from>
      <xdr:col>17</xdr:col>
      <xdr:colOff>731520</xdr:colOff>
      <xdr:row>27</xdr:row>
      <xdr:rowOff>167640</xdr:rowOff>
    </xdr:from>
    <xdr:ext cx="3573780" cy="15468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F059153-0807-4274-9C98-FEB3C07F5723}"/>
            </a:ext>
          </a:extLst>
        </xdr:cNvPr>
        <xdr:cNvSpPr txBox="1"/>
      </xdr:nvSpPr>
      <xdr:spPr>
        <a:xfrm>
          <a:off x="18486120" y="4922520"/>
          <a:ext cx="3573780" cy="1546860"/>
        </a:xfrm>
        <a:prstGeom prst="rect">
          <a:avLst/>
        </a:prstGeom>
        <a:solidFill>
          <a:srgbClr val="EEE6F3"/>
        </a:solidFill>
        <a:ln w="19050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SummerBeats</a:t>
          </a: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is the campaign with the strongest follower growth (13,558).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IndieWaves and Wrapped2024 shows moderate growth.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ChillVibes recorded the lowest follower growth .</a:t>
          </a: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 baseline="0">
            <a:solidFill>
              <a:schemeClr val="accent5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  <a:p>
          <a:pPr marL="171450" indent="-171450">
            <a:buFont typeface="Wingdings" panose="05000000000000000000" pitchFamily="2" charset="2"/>
            <a:buChar char="v"/>
          </a:pPr>
          <a:endParaRPr lang="en-IN" sz="1100" b="1">
            <a:solidFill>
              <a:schemeClr val="accent5">
                <a:lumMod val="50000"/>
              </a:schemeClr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  <xdr:twoCellAnchor>
    <xdr:from>
      <xdr:col>17</xdr:col>
      <xdr:colOff>7620</xdr:colOff>
      <xdr:row>10</xdr:row>
      <xdr:rowOff>152400</xdr:rowOff>
    </xdr:from>
    <xdr:to>
      <xdr:col>21</xdr:col>
      <xdr:colOff>685800</xdr:colOff>
      <xdr:row>26</xdr:row>
      <xdr:rowOff>15240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D04F11-3FB9-4B82-9050-9398ECEB5A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</xdr:colOff>
      <xdr:row>19</xdr:row>
      <xdr:rowOff>49530</xdr:rowOff>
    </xdr:from>
    <xdr:to>
      <xdr:col>11</xdr:col>
      <xdr:colOff>891540</xdr:colOff>
      <xdr:row>36</xdr:row>
      <xdr:rowOff>30480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0F31C7-C827-4558-95DD-BEBC333D3B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312420</xdr:colOff>
      <xdr:row>16</xdr:row>
      <xdr:rowOff>99060</xdr:rowOff>
    </xdr:from>
    <xdr:to>
      <xdr:col>10</xdr:col>
      <xdr:colOff>1120140</xdr:colOff>
      <xdr:row>18</xdr:row>
      <xdr:rowOff>68580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7010B00-8B18-A6F5-19CC-7FD8F66AAFF5}"/>
            </a:ext>
          </a:extLst>
        </xdr:cNvPr>
        <xdr:cNvSpPr txBox="1"/>
      </xdr:nvSpPr>
      <xdr:spPr>
        <a:xfrm>
          <a:off x="7269480" y="2842260"/>
          <a:ext cx="3589020" cy="335280"/>
        </a:xfrm>
        <a:prstGeom prst="rect">
          <a:avLst/>
        </a:prstGeom>
        <a:solidFill>
          <a:srgbClr val="EEE6F3"/>
        </a:solidFill>
        <a:ln w="19050" cmpd="sng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Engagement</a:t>
          </a: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Uplift = (during-before / before) * 100</a:t>
          </a:r>
          <a:endParaRPr lang="en-IN" sz="1100" b="1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twoCellAnchor>
  <xdr:oneCellAnchor>
    <xdr:from>
      <xdr:col>12</xdr:col>
      <xdr:colOff>388620</xdr:colOff>
      <xdr:row>9</xdr:row>
      <xdr:rowOff>76200</xdr:rowOff>
    </xdr:from>
    <xdr:ext cx="4160520" cy="27231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730CF13-C633-65D0-0D6D-7B1B85BBD31E}"/>
            </a:ext>
          </a:extLst>
        </xdr:cNvPr>
        <xdr:cNvSpPr txBox="1"/>
      </xdr:nvSpPr>
      <xdr:spPr>
        <a:xfrm>
          <a:off x="12626340" y="1539240"/>
          <a:ext cx="4160520" cy="272319"/>
        </a:xfrm>
        <a:prstGeom prst="rect">
          <a:avLst/>
        </a:prstGeom>
        <a:solidFill>
          <a:srgbClr val="EEE6F3"/>
        </a:solidFill>
        <a:ln w="19050">
          <a:solidFill>
            <a:srgbClr val="1F5663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IN" sz="1100" b="1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ROI</a:t>
          </a:r>
          <a:r>
            <a:rPr lang="en-IN" sz="1100" b="1" baseline="0">
              <a:solidFill>
                <a:srgbClr val="1F5663"/>
              </a:solidFill>
              <a:latin typeface="Ebrima" panose="02000000000000000000" pitchFamily="2" charset="0"/>
              <a:ea typeface="Ebrima" panose="02000000000000000000" pitchFamily="2" charset="0"/>
              <a:cs typeface="Ebrima" panose="02000000000000000000" pitchFamily="2" charset="0"/>
            </a:rPr>
            <a:t> = (Average engagement rate / Average Ad Spend) * 100</a:t>
          </a:r>
          <a:endParaRPr lang="en-IN" sz="1100" b="1">
            <a:solidFill>
              <a:srgbClr val="1F5663"/>
            </a:solidFill>
            <a:latin typeface="Ebrima" panose="02000000000000000000" pitchFamily="2" charset="0"/>
            <a:ea typeface="Ebrima" panose="02000000000000000000" pitchFamily="2" charset="0"/>
            <a:cs typeface="Ebrima" panose="02000000000000000000" pitchFamily="2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vishn/Desktop/Excel%20Project%20INS/Spotify%20(20th).xlsx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3.681052430555" createdVersion="8" refreshedVersion="8" minRefreshableVersion="3" recordCount="300" xr:uid="{EA4F9270-8346-47EF-8098-3C3808AADC40}">
  <cacheSource type="worksheet">
    <worksheetSource name="Posts__2" r:id="rId2"/>
  </cacheSource>
  <cacheFields count="14">
    <cacheField name="Post ID" numFmtId="0">
      <sharedItems count="300">
        <s v="SP001"/>
        <s v="SP002"/>
        <s v="SP003"/>
        <s v="SP004"/>
        <s v="SP005"/>
        <s v="SP006"/>
        <s v="SP007"/>
        <s v="SP008"/>
        <s v="SP009"/>
        <s v="SP010"/>
        <s v="SP011"/>
        <s v="SP012"/>
        <s v="SP013"/>
        <s v="SP014"/>
        <s v="SP015"/>
        <s v="SP016"/>
        <s v="SP017"/>
        <s v="SP018"/>
        <s v="SP019"/>
        <s v="SP020"/>
        <s v="SP021"/>
        <s v="SP022"/>
        <s v="SP023"/>
        <s v="SP024"/>
        <s v="SP025"/>
        <s v="SP026"/>
        <s v="SP027"/>
        <s v="SP028"/>
        <s v="SP029"/>
        <s v="SP030"/>
        <s v="SP031"/>
        <s v="SP032"/>
        <s v="SP033"/>
        <s v="SP034"/>
        <s v="SP035"/>
        <s v="SP036"/>
        <s v="SP037"/>
        <s v="SP038"/>
        <s v="SP039"/>
        <s v="SP040"/>
        <s v="SP041"/>
        <s v="SP042"/>
        <s v="SP043"/>
        <s v="SP044"/>
        <s v="SP045"/>
        <s v="SP046"/>
        <s v="SP047"/>
        <s v="SP048"/>
        <s v="SP049"/>
        <s v="SP050"/>
        <s v="SP051"/>
        <s v="SP052"/>
        <s v="SP053"/>
        <s v="SP054"/>
        <s v="SP055"/>
        <s v="SP056"/>
        <s v="SP057"/>
        <s v="SP058"/>
        <s v="SP059"/>
        <s v="SP060"/>
        <s v="SP061"/>
        <s v="SP062"/>
        <s v="SP063"/>
        <s v="SP064"/>
        <s v="SP065"/>
        <s v="SP066"/>
        <s v="SP067"/>
        <s v="SP068"/>
        <s v="SP069"/>
        <s v="SP070"/>
        <s v="SP071"/>
        <s v="SP072"/>
        <s v="SP073"/>
        <s v="SP074"/>
        <s v="SP075"/>
        <s v="SP076"/>
        <s v="SP077"/>
        <s v="SP078"/>
        <s v="SP079"/>
        <s v="SP080"/>
        <s v="SP081"/>
        <s v="SP082"/>
        <s v="SP083"/>
        <s v="SP084"/>
        <s v="SP085"/>
        <s v="SP086"/>
        <s v="SP087"/>
        <s v="SP088"/>
        <s v="SP089"/>
        <s v="SP090"/>
        <s v="SP091"/>
        <s v="SP092"/>
        <s v="SP093"/>
        <s v="SP094"/>
        <s v="SP095"/>
        <s v="SP096"/>
        <s v="SP097"/>
        <s v="SP098"/>
        <s v="SP099"/>
        <s v="SP100"/>
        <s v="SP101"/>
        <s v="SP102"/>
        <s v="SP103"/>
        <s v="SP104"/>
        <s v="SP105"/>
        <s v="SP106"/>
        <s v="SP107"/>
        <s v="SP108"/>
        <s v="SP109"/>
        <s v="SP110"/>
        <s v="SP111"/>
        <s v="SP112"/>
        <s v="SP113"/>
        <s v="SP114"/>
        <s v="SP115"/>
        <s v="SP116"/>
        <s v="SP117"/>
        <s v="SP118"/>
        <s v="SP119"/>
        <s v="SP120"/>
        <s v="SP121"/>
        <s v="SP122"/>
        <s v="SP123"/>
        <s v="SP124"/>
        <s v="SP125"/>
        <s v="SP126"/>
        <s v="SP127"/>
        <s v="SP128"/>
        <s v="SP129"/>
        <s v="SP130"/>
        <s v="SP131"/>
        <s v="SP132"/>
        <s v="SP133"/>
        <s v="SP134"/>
        <s v="SP135"/>
        <s v="SP136"/>
        <s v="SP137"/>
        <s v="SP138"/>
        <s v="SP139"/>
        <s v="SP140"/>
        <s v="SP141"/>
        <s v="SP142"/>
        <s v="SP143"/>
        <s v="SP144"/>
        <s v="SP145"/>
        <s v="SP146"/>
        <s v="SP147"/>
        <s v="SP148"/>
        <s v="SP149"/>
        <s v="SP150"/>
        <s v="SP151"/>
        <s v="SP152"/>
        <s v="SP153"/>
        <s v="SP154"/>
        <s v="SP155"/>
        <s v="SP156"/>
        <s v="SP157"/>
        <s v="SP158"/>
        <s v="SP159"/>
        <s v="SP160"/>
        <s v="SP161"/>
        <s v="SP162"/>
        <s v="SP163"/>
        <s v="SP164"/>
        <s v="SP165"/>
        <s v="SP166"/>
        <s v="SP167"/>
        <s v="SP168"/>
        <s v="SP169"/>
        <s v="SP170"/>
        <s v="SP171"/>
        <s v="SP172"/>
        <s v="SP173"/>
        <s v="SP174"/>
        <s v="SP175"/>
        <s v="SP176"/>
        <s v="SP177"/>
        <s v="SP178"/>
        <s v="SP179"/>
        <s v="SP180"/>
        <s v="SP181"/>
        <s v="SP182"/>
        <s v="SP183"/>
        <s v="SP184"/>
        <s v="SP185"/>
        <s v="SP186"/>
        <s v="SP187"/>
        <s v="SP188"/>
        <s v="SP189"/>
        <s v="SP190"/>
        <s v="SP191"/>
        <s v="SP192"/>
        <s v="SP193"/>
        <s v="SP194"/>
        <s v="SP195"/>
        <s v="SP196"/>
        <s v="SP197"/>
        <s v="SP198"/>
        <s v="SP199"/>
        <s v="SP200"/>
        <s v="SP201"/>
        <s v="SP202"/>
        <s v="SP203"/>
        <s v="SP204"/>
        <s v="SP205"/>
        <s v="SP206"/>
        <s v="SP207"/>
        <s v="SP208"/>
        <s v="SP209"/>
        <s v="SP210"/>
        <s v="SP211"/>
        <s v="SP212"/>
        <s v="SP213"/>
        <s v="SP214"/>
        <s v="SP215"/>
        <s v="SP216"/>
        <s v="SP217"/>
        <s v="SP218"/>
        <s v="SP219"/>
        <s v="SP220"/>
        <s v="SP221"/>
        <s v="SP222"/>
        <s v="SP223"/>
        <s v="SP224"/>
        <s v="SP225"/>
        <s v="SP226"/>
        <s v="SP227"/>
        <s v="SP228"/>
        <s v="SP229"/>
        <s v="SP230"/>
        <s v="SP231"/>
        <s v="SP232"/>
        <s v="SP233"/>
        <s v="SP234"/>
        <s v="SP235"/>
        <s v="SP236"/>
        <s v="SP237"/>
        <s v="SP238"/>
        <s v="SP239"/>
        <s v="SP240"/>
        <s v="SP241"/>
        <s v="SP242"/>
        <s v="SP243"/>
        <s v="SP244"/>
        <s v="SP245"/>
        <s v="SP246"/>
        <s v="SP247"/>
        <s v="SP248"/>
        <s v="SP249"/>
        <s v="SP250"/>
        <s v="SP251"/>
        <s v="SP252"/>
        <s v="SP253"/>
        <s v="SP254"/>
        <s v="SP255"/>
        <s v="SP256"/>
        <s v="SP257"/>
        <s v="SP258"/>
        <s v="SP259"/>
        <s v="SP260"/>
        <s v="SP261"/>
        <s v="SP262"/>
        <s v="SP263"/>
        <s v="SP264"/>
        <s v="SP265"/>
        <s v="SP266"/>
        <s v="SP267"/>
        <s v="SP268"/>
        <s v="SP269"/>
        <s v="SP270"/>
        <s v="SP271"/>
        <s v="SP272"/>
        <s v="SP273"/>
        <s v="SP274"/>
        <s v="SP275"/>
        <s v="SP276"/>
        <s v="SP277"/>
        <s v="SP278"/>
        <s v="SP279"/>
        <s v="SP280"/>
        <s v="SP281"/>
        <s v="SP282"/>
        <s v="SP283"/>
        <s v="SP284"/>
        <s v="SP285"/>
        <s v="SP286"/>
        <s v="SP287"/>
        <s v="SP288"/>
        <s v="SP289"/>
        <s v="SP290"/>
        <s v="SP291"/>
        <s v="SP292"/>
        <s v="SP293"/>
        <s v="SP294"/>
        <s v="SP295"/>
        <s v="SP296"/>
        <s v="SP297"/>
        <s v="SP298"/>
        <s v="SP299"/>
        <s v="SP300"/>
      </sharedItems>
    </cacheField>
    <cacheField name="Platform" numFmtId="0">
      <sharedItems count="3">
        <s v="Instagram"/>
        <s v="Twitter"/>
        <s v="YouTube"/>
      </sharedItems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 count="3">
        <s v="Text"/>
        <s v="Story"/>
        <s v="Reel"/>
      </sharedItems>
    </cacheField>
    <cacheField name="Post Text" numFmtId="0">
      <sharedItems count="10">
        <s v="Discover fresh beats on Spotify!"/>
        <s v="Explore the latest podcasts now."/>
        <s v="New music just dropped. Hit play!"/>
        <s v="Wrapped is here! Relive your top tracks 🎧"/>
        <s v="Music that moves you-only on Spotify."/>
        <s v="What's your vibe today? #SpotifyHits"/>
        <s v="Get into the groove with our new drop!"/>
        <s v="Top trending tracks updated daily!"/>
        <s v="From pop to podcasts, it's all here."/>
        <s v="Your weekend playlist is waiting."/>
      </sharedItems>
    </cacheField>
    <cacheField name="Likes" numFmtId="0">
      <sharedItems containsSemiMixedTypes="0" containsString="0" containsNumber="1" containsInteger="1" minValue="1010" maxValue="4995" count="290">
        <n v="2414"/>
        <n v="1934"/>
        <n v="3092"/>
        <n v="3173"/>
        <n v="2748"/>
        <n v="3882"/>
        <n v="4674"/>
        <n v="1428"/>
        <n v="4432"/>
        <n v="2357"/>
        <n v="1971"/>
        <n v="1485"/>
        <n v="3956"/>
        <n v="2460"/>
        <n v="3476"/>
        <n v="4049"/>
        <n v="1514"/>
        <n v="4281"/>
        <n v="1751"/>
        <n v="3753"/>
        <n v="1678"/>
        <n v="4896"/>
        <n v="2786"/>
        <n v="2607"/>
        <n v="4013"/>
        <n v="2707"/>
        <n v="2824"/>
        <n v="3558"/>
        <n v="3418"/>
        <n v="2411"/>
        <n v="4036"/>
        <n v="2776"/>
        <n v="4929"/>
        <n v="1015"/>
        <n v="3316"/>
        <n v="2274"/>
        <n v="4095"/>
        <n v="1230"/>
        <n v="1341"/>
        <n v="3615"/>
        <n v="4001"/>
        <n v="3451"/>
        <n v="4891"/>
        <n v="1452"/>
        <n v="3806"/>
        <n v="2923"/>
        <n v="3361"/>
        <n v="3074"/>
        <n v="4276"/>
        <n v="4401"/>
        <n v="4161"/>
        <n v="2613"/>
        <n v="2842"/>
        <n v="4851"/>
        <n v="1828"/>
        <n v="2422"/>
        <n v="2683"/>
        <n v="3135"/>
        <n v="1105"/>
        <n v="3437"/>
        <n v="1959"/>
        <n v="1035"/>
        <n v="4478"/>
        <n v="1488"/>
        <n v="4836"/>
        <n v="4563"/>
        <n v="3276"/>
        <n v="1316"/>
        <n v="4811"/>
        <n v="4218"/>
        <n v="1360"/>
        <n v="1085"/>
        <n v="1763"/>
        <n v="1554"/>
        <n v="2464"/>
        <n v="2418"/>
        <n v="2494"/>
        <n v="4781"/>
        <n v="2284"/>
        <n v="4234"/>
        <n v="2102"/>
        <n v="4845"/>
        <n v="4247"/>
        <n v="2965"/>
        <n v="1371"/>
        <n v="4796"/>
        <n v="2601"/>
        <n v="3336"/>
        <n v="1165"/>
        <n v="1948"/>
        <n v="1100"/>
        <n v="4628"/>
        <n v="2319"/>
        <n v="2895"/>
        <n v="3878"/>
        <n v="4969"/>
        <n v="1984"/>
        <n v="3004"/>
        <n v="3169"/>
        <n v="3036"/>
        <n v="1830"/>
        <n v="2587"/>
        <n v="2878"/>
        <n v="4619"/>
        <n v="4090"/>
        <n v="4581"/>
        <n v="3253"/>
        <n v="4955"/>
        <n v="1333"/>
        <n v="1616"/>
        <n v="1803"/>
        <n v="4177"/>
        <n v="1311"/>
        <n v="1516"/>
        <n v="2023"/>
        <n v="2134"/>
        <n v="2266"/>
        <n v="3916"/>
        <n v="1022"/>
        <n v="2911"/>
        <n v="3277"/>
        <n v="2956"/>
        <n v="3208"/>
        <n v="1456"/>
        <n v="1902"/>
        <n v="3219"/>
        <n v="1261"/>
        <n v="1564"/>
        <n v="4006"/>
        <n v="1976"/>
        <n v="1583"/>
        <n v="2870"/>
        <n v="3728"/>
        <n v="4965"/>
        <n v="1131"/>
        <n v="2754"/>
        <n v="1856"/>
        <n v="3543"/>
        <n v="4283"/>
        <n v="2329"/>
        <n v="4287"/>
        <n v="2633"/>
        <n v="2383"/>
        <n v="4752"/>
        <n v="3890"/>
        <n v="2311"/>
        <n v="2962"/>
        <n v="3118"/>
        <n v="3805"/>
        <n v="2525"/>
        <n v="3563"/>
        <n v="1437"/>
        <n v="4425"/>
        <n v="4609"/>
        <n v="1558"/>
        <n v="1889"/>
        <n v="3086"/>
        <n v="3414"/>
        <n v="1342"/>
        <n v="4383"/>
        <n v="4294"/>
        <n v="2762"/>
        <n v="3782"/>
        <n v="4318"/>
        <n v="2335"/>
        <n v="4023"/>
        <n v="3948"/>
        <n v="4598"/>
        <n v="2665"/>
        <n v="3469"/>
        <n v="4823"/>
        <n v="3812"/>
        <n v="2387"/>
        <n v="3929"/>
        <n v="2191"/>
        <n v="3204"/>
        <n v="2408"/>
        <n v="2733"/>
        <n v="4618"/>
        <n v="4210"/>
        <n v="3987"/>
        <n v="4957"/>
        <n v="2605"/>
        <n v="4221"/>
        <n v="4422"/>
        <n v="1211"/>
        <n v="2784"/>
        <n v="3634"/>
        <n v="1771"/>
        <n v="1424"/>
        <n v="1079"/>
        <n v="2033"/>
        <n v="1839"/>
        <n v="2340"/>
        <n v="2080"/>
        <n v="4214"/>
        <n v="3792"/>
        <n v="3989"/>
        <n v="2857"/>
        <n v="1403"/>
        <n v="3071"/>
        <n v="1010"/>
        <n v="1295"/>
        <n v="1433"/>
        <n v="4902"/>
        <n v="2659"/>
        <n v="2599"/>
        <n v="1765"/>
        <n v="2169"/>
        <n v="4303"/>
        <n v="1519"/>
        <n v="2569"/>
        <n v="2778"/>
        <n v="3611"/>
        <n v="1224"/>
        <n v="4673"/>
        <n v="1432"/>
        <n v="2174"/>
        <n v="4308"/>
        <n v="1060"/>
        <n v="4653"/>
        <n v="1701"/>
        <n v="1673"/>
        <n v="4310"/>
        <n v="2752"/>
        <n v="3818"/>
        <n v="2101"/>
        <n v="2519"/>
        <n v="4502"/>
        <n v="2478"/>
        <n v="4984"/>
        <n v="4774"/>
        <n v="2145"/>
        <n v="4315"/>
        <n v="2267"/>
        <n v="4375"/>
        <n v="3817"/>
        <n v="2981"/>
        <n v="3300"/>
        <n v="4722"/>
        <n v="3529"/>
        <n v="4782"/>
        <n v="1848"/>
        <n v="4676"/>
        <n v="1994"/>
        <n v="4995"/>
        <n v="2291"/>
        <n v="2304"/>
        <n v="3413"/>
        <n v="1453"/>
        <n v="1651"/>
        <n v="3341"/>
        <n v="2972"/>
        <n v="4963"/>
        <n v="2399"/>
        <n v="2162"/>
        <n v="4341"/>
        <n v="2448"/>
        <n v="2471"/>
        <n v="2692"/>
        <n v="4621"/>
        <n v="1409"/>
        <n v="3029"/>
        <n v="2229"/>
        <n v="2691"/>
        <n v="2110"/>
        <n v="2177"/>
        <n v="1205"/>
        <n v="3194"/>
        <n v="3507"/>
        <n v="4471"/>
        <n v="4931"/>
        <n v="2604"/>
        <n v="4197"/>
        <n v="1914"/>
        <n v="1334"/>
        <n v="3359"/>
        <n v="2172"/>
        <n v="4877"/>
        <n v="4918"/>
        <n v="2088"/>
        <n v="3061"/>
        <n v="1265"/>
        <n v="1436"/>
        <n v="2244"/>
        <n v="3393"/>
        <n v="2901"/>
        <n v="2275"/>
        <n v="2227"/>
        <n v="1883"/>
      </sharedItems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 count="300">
        <n v="21181"/>
        <n v="29129"/>
        <n v="47533"/>
        <n v="29604"/>
        <n v="24401"/>
        <n v="58748"/>
        <n v="20756"/>
        <n v="21148"/>
        <n v="59016"/>
        <n v="21566"/>
        <n v="31316"/>
        <n v="38419"/>
        <n v="58162"/>
        <n v="36702"/>
        <n v="37492"/>
        <n v="48182"/>
        <n v="41364"/>
        <n v="32278"/>
        <n v="31826"/>
        <n v="29138"/>
        <n v="55668"/>
        <n v="28621"/>
        <n v="42000"/>
        <n v="28712"/>
        <n v="54605"/>
        <n v="55302"/>
        <n v="31004"/>
        <n v="49612"/>
        <n v="57431"/>
        <n v="26665"/>
        <n v="56284"/>
        <n v="43365"/>
        <n v="32181"/>
        <n v="38127"/>
        <n v="40095"/>
        <n v="43066"/>
        <n v="45300"/>
        <n v="44629"/>
        <n v="51386"/>
        <n v="27492"/>
        <n v="41265"/>
        <n v="44853"/>
        <n v="48746"/>
        <n v="51556"/>
        <n v="36148"/>
        <n v="23993"/>
        <n v="39838"/>
        <n v="24104"/>
        <n v="43443"/>
        <n v="24890"/>
        <n v="45884"/>
        <n v="21645"/>
        <n v="57660"/>
        <n v="58075"/>
        <n v="52115"/>
        <n v="23428"/>
        <n v="31233"/>
        <n v="39192"/>
        <n v="53581"/>
        <n v="45503"/>
        <n v="44558"/>
        <n v="54036"/>
        <n v="37302"/>
        <n v="51035"/>
        <n v="53805"/>
        <n v="58792"/>
        <n v="30619"/>
        <n v="20580"/>
        <n v="44692"/>
        <n v="51964"/>
        <n v="28914"/>
        <n v="20368"/>
        <n v="36528"/>
        <n v="53342"/>
        <n v="41947"/>
        <n v="38665"/>
        <n v="30589"/>
        <n v="22580"/>
        <n v="35535"/>
        <n v="37400"/>
        <n v="56623"/>
        <n v="43650"/>
        <n v="34578"/>
        <n v="29785"/>
        <n v="57685"/>
        <n v="36140"/>
        <n v="53435"/>
        <n v="30752"/>
        <n v="32368"/>
        <n v="22117"/>
        <n v="20659"/>
        <n v="30321"/>
        <n v="25641"/>
        <n v="36686"/>
        <n v="21202"/>
        <n v="24223"/>
        <n v="41763"/>
        <n v="59552"/>
        <n v="40681"/>
        <n v="36090"/>
        <n v="45012"/>
        <n v="23776"/>
        <n v="31870"/>
        <n v="36266"/>
        <n v="52090"/>
        <n v="21334"/>
        <n v="52853"/>
        <n v="41991"/>
        <n v="35221"/>
        <n v="25397"/>
        <n v="33644"/>
        <n v="36174"/>
        <n v="54342"/>
        <n v="46176"/>
        <n v="57451"/>
        <n v="37148"/>
        <n v="58981"/>
        <n v="54524"/>
        <n v="44338"/>
        <n v="53759"/>
        <n v="48989"/>
        <n v="51468"/>
        <n v="59083"/>
        <n v="46328"/>
        <n v="33347"/>
        <n v="56072"/>
        <n v="53485"/>
        <n v="24615"/>
        <n v="48879"/>
        <n v="59888"/>
        <n v="42075"/>
        <n v="49964"/>
        <n v="51696"/>
        <n v="30256"/>
        <n v="37621"/>
        <n v="22827"/>
        <n v="32793"/>
        <n v="48437"/>
        <n v="27762"/>
        <n v="29428"/>
        <n v="58007"/>
        <n v="43679"/>
        <n v="53004"/>
        <n v="49577"/>
        <n v="40792"/>
        <n v="40869"/>
        <n v="39187"/>
        <n v="48017"/>
        <n v="56994"/>
        <n v="30349"/>
        <n v="52508"/>
        <n v="37100"/>
        <n v="52395"/>
        <n v="51875"/>
        <n v="41085"/>
        <n v="53048"/>
        <n v="24610"/>
        <n v="33698"/>
        <n v="25405"/>
        <n v="46225"/>
        <n v="22824"/>
        <n v="25386"/>
        <n v="34146"/>
        <n v="51712"/>
        <n v="27355"/>
        <n v="53239"/>
        <n v="29828"/>
        <n v="33757"/>
        <n v="52172"/>
        <n v="32347"/>
        <n v="26114"/>
        <n v="26795"/>
        <n v="43147"/>
        <n v="52952"/>
        <n v="54808"/>
        <n v="46493"/>
        <n v="32470"/>
        <n v="59838"/>
        <n v="39745"/>
        <n v="58329"/>
        <n v="59606"/>
        <n v="47235"/>
        <n v="22020"/>
        <n v="47599"/>
        <n v="37980"/>
        <n v="22571"/>
        <n v="37762"/>
        <n v="45122"/>
        <n v="49199"/>
        <n v="32201"/>
        <n v="45080"/>
        <n v="56165"/>
        <n v="26532"/>
        <n v="58366"/>
        <n v="40256"/>
        <n v="48810"/>
        <n v="59517"/>
        <n v="43786"/>
        <n v="32991"/>
        <n v="56290"/>
        <n v="35459"/>
        <n v="24916"/>
        <n v="30971"/>
        <n v="47293"/>
        <n v="54592"/>
        <n v="57569"/>
        <n v="51519"/>
        <n v="54223"/>
        <n v="44013"/>
        <n v="47229"/>
        <n v="48350"/>
        <n v="54541"/>
        <n v="31674"/>
        <n v="23090"/>
        <n v="37525"/>
        <n v="41313"/>
        <n v="26109"/>
        <n v="39575"/>
        <n v="51611"/>
        <n v="38372"/>
        <n v="26247"/>
        <n v="44768"/>
        <n v="54232"/>
        <n v="45260"/>
        <n v="40634"/>
        <n v="54938"/>
        <n v="36955"/>
        <n v="57194"/>
        <n v="56876"/>
        <n v="47496"/>
        <n v="29847"/>
        <n v="44606"/>
        <n v="39038"/>
        <n v="25127"/>
        <n v="41791"/>
        <n v="36245"/>
        <n v="39198"/>
        <n v="59272"/>
        <n v="32900"/>
        <n v="52346"/>
        <n v="53323"/>
        <n v="35780"/>
        <n v="27904"/>
        <n v="57468"/>
        <n v="46434"/>
        <n v="20677"/>
        <n v="56773"/>
        <n v="27911"/>
        <n v="26570"/>
        <n v="29793"/>
        <n v="57819"/>
        <n v="45917"/>
        <n v="49500"/>
        <n v="34431"/>
        <n v="49319"/>
        <n v="52645"/>
        <n v="44680"/>
        <n v="52980"/>
        <n v="32140"/>
        <n v="43369"/>
        <n v="51740"/>
        <n v="44386"/>
        <n v="51603"/>
        <n v="46719"/>
        <n v="50081"/>
        <n v="25737"/>
        <n v="48254"/>
        <n v="45818"/>
        <n v="56979"/>
        <n v="58923"/>
        <n v="23815"/>
        <n v="56921"/>
        <n v="51133"/>
        <n v="49965"/>
        <n v="58530"/>
        <n v="47276"/>
        <n v="23341"/>
        <n v="56371"/>
        <n v="20410"/>
        <n v="44862"/>
        <n v="56701"/>
        <n v="58468"/>
        <n v="56048"/>
        <n v="27660"/>
        <n v="56910"/>
        <n v="33861"/>
        <n v="30515"/>
        <n v="52673"/>
        <n v="53269"/>
        <n v="23927"/>
        <n v="46544"/>
        <n v="26640"/>
        <n v="41312"/>
        <n v="58488"/>
        <n v="25834"/>
        <n v="30025"/>
        <n v="51777"/>
        <n v="43970"/>
        <n v="51651"/>
        <n v="28759"/>
      </sharedItems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 count="165">
        <n v="133"/>
        <n v="273"/>
        <n v="121"/>
        <n v="272"/>
        <n v="200"/>
        <n v="149"/>
        <n v="212"/>
        <n v="120"/>
        <n v="171"/>
        <n v="284"/>
        <n v="88"/>
        <n v="86"/>
        <n v="213"/>
        <n v="264"/>
        <n v="179"/>
        <n v="172"/>
        <n v="83"/>
        <n v="235"/>
        <n v="95"/>
        <n v="90"/>
        <n v="230"/>
        <n v="84"/>
        <n v="103"/>
        <n v="174"/>
        <n v="232"/>
        <n v="147"/>
        <n v="268"/>
        <n v="206"/>
        <n v="202"/>
        <n v="197"/>
        <n v="279"/>
        <n v="138"/>
        <n v="289"/>
        <n v="287"/>
        <n v="265"/>
        <n v="80"/>
        <n v="195"/>
        <n v="125"/>
        <n v="275"/>
        <n v="211"/>
        <n v="154"/>
        <n v="290"/>
        <n v="201"/>
        <n v="92"/>
        <n v="191"/>
        <n v="148"/>
        <n v="215"/>
        <n v="261"/>
        <n v="87"/>
        <n v="239"/>
        <n v="190"/>
        <n v="259"/>
        <n v="291"/>
        <n v="177"/>
        <n v="220"/>
        <n v="116"/>
        <n v="182"/>
        <n v="237"/>
        <n v="205"/>
        <n v="109"/>
        <n v="227"/>
        <n v="267"/>
        <n v="221"/>
        <n v="107"/>
        <n v="135"/>
        <n v="193"/>
        <n v="270"/>
        <n v="101"/>
        <n v="207"/>
        <n v="128"/>
        <n v="157"/>
        <n v="184"/>
        <n v="180"/>
        <n v="122"/>
        <n v="169"/>
        <n v="160"/>
        <n v="298"/>
        <n v="111"/>
        <n v="82"/>
        <n v="98"/>
        <n v="241"/>
        <n v="114"/>
        <n v="258"/>
        <n v="181"/>
        <n v="218"/>
        <n v="282"/>
        <n v="263"/>
        <n v="132"/>
        <n v="91"/>
        <n v="102"/>
        <n v="118"/>
        <n v="164"/>
        <n v="131"/>
        <n v="194"/>
        <n v="170"/>
        <n v="141"/>
        <n v="251"/>
        <n v="245"/>
        <n v="176"/>
        <n v="277"/>
        <n v="236"/>
        <n v="299"/>
        <n v="173"/>
        <n v="113"/>
        <n v="145"/>
        <n v="224"/>
        <n v="139"/>
        <n v="196"/>
        <n v="127"/>
        <n v="199"/>
        <n v="296"/>
        <n v="105"/>
        <n v="208"/>
        <n v="286"/>
        <n v="219"/>
        <n v="158"/>
        <n v="216"/>
        <n v="293"/>
        <n v="100"/>
        <n v="256"/>
        <n v="168"/>
        <n v="288"/>
        <n v="175"/>
        <n v="278"/>
        <n v="269"/>
        <n v="150"/>
        <n v="178"/>
        <n v="161"/>
        <n v="85"/>
        <n v="281"/>
        <n v="112"/>
        <n v="204"/>
        <n v="240"/>
        <n v="222"/>
        <n v="276"/>
        <n v="117"/>
        <n v="155"/>
        <n v="186"/>
        <n v="255"/>
        <n v="271"/>
        <n v="294"/>
        <n v="257"/>
        <n v="246"/>
        <n v="297"/>
        <n v="214"/>
        <n v="104"/>
        <n v="159"/>
        <n v="130"/>
        <n v="163"/>
        <n v="225"/>
        <n v="96"/>
        <n v="262"/>
        <n v="248"/>
        <n v="146"/>
        <n v="185"/>
        <n v="210"/>
        <n v="126"/>
        <n v="234"/>
        <n v="143"/>
        <n v="295"/>
        <n v="228"/>
        <n v="198"/>
        <n v="156"/>
        <n v="106"/>
        <n v="165"/>
      </sharedItems>
    </cacheField>
    <cacheField name="Hashtags Used" numFmtId="0">
      <sharedItems count="8">
        <s v="#SoundtrackOfLife,#NowPlaying"/>
        <s v="#DiscoverWeekly"/>
        <s v="#MusicForEveryone,#NowPlaying"/>
        <s v="#DiscoverWeekly,#SpotifyWrapped"/>
        <s v="#DiscoverWeekly,#MusicForEveryone"/>
        <s v="#NowPlaying"/>
        <s v="#SoundtrackOfLife"/>
        <s v="#DiscoverWeekly,#SoundtrackOfLife"/>
      </sharedItems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 Rate" numFmtId="0">
      <sharedItems containsSemiMixedTypes="0" containsString="0" containsNumber="1" minValue="2.50275284149232E-2" maxValue="0.26064752360763155"/>
    </cacheField>
  </cacheFields>
  <extLst>
    <ext xmlns:x14="http://schemas.microsoft.com/office/spreadsheetml/2009/9/main" uri="{725AE2AE-9491-48be-B2B4-4EB974FC3084}">
      <x14:pivotCacheDefinition pivotCacheId="1224656485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77.675785995372" createdVersion="8" refreshedVersion="8" minRefreshableVersion="3" recordCount="200" xr:uid="{CE17DE72-F7D0-4433-B374-7D52B8925FB4}">
  <cacheSource type="worksheet">
    <worksheetSource name="Engagement_Summary68" r:id="rId2"/>
  </cacheSource>
  <cacheFields count="13">
    <cacheField name="Week_Start_Date" numFmtId="14">
      <sharedItems containsSemiMixedTypes="0" containsNonDate="0" containsDate="1" containsString="0" minDate="2024-06-03T00:00:00" maxDate="2025-09-09T00:00:00" count="67">
        <d v="2024-06-03T00:00:00"/>
        <d v="2024-06-10T00:00:00"/>
        <d v="2024-06-17T00:00:00"/>
        <d v="2024-06-24T00:00:00"/>
        <d v="2024-07-01T00:00:00"/>
        <d v="2024-07-08T00:00:00"/>
        <d v="2024-07-15T00:00:00"/>
        <d v="2024-07-22T00:00:00"/>
        <d v="2024-07-29T00:00:00"/>
        <d v="2024-08-05T00:00:00"/>
        <d v="2024-08-12T00:00:00"/>
        <d v="2024-08-19T00:00:00"/>
        <d v="2024-08-26T00:00:00"/>
        <d v="2024-09-02T00:00:00"/>
        <d v="2024-09-09T00:00:00"/>
        <d v="2024-09-16T00:00:00"/>
        <d v="2024-09-23T00:00:00"/>
        <d v="2024-09-30T00:00:00"/>
        <d v="2024-10-07T00:00:00"/>
        <d v="2024-10-14T00:00:00"/>
        <d v="2024-10-21T00:00:00"/>
        <d v="2024-10-28T00:00:00"/>
        <d v="2024-11-04T00:00:00"/>
        <d v="2024-11-11T00:00:00"/>
        <d v="2024-11-18T00:00:00"/>
        <d v="2024-11-25T00:00:00"/>
        <d v="2024-12-02T00:00:00"/>
        <d v="2024-12-09T00:00:00"/>
        <d v="2024-12-16T00:00:00"/>
        <d v="2024-12-23T00:00:00"/>
        <d v="2024-12-30T00:00:00"/>
        <d v="2025-01-06T00:00:00"/>
        <d v="2025-01-13T00:00:00"/>
        <d v="2025-01-20T00:00:00"/>
        <d v="2025-01-27T00:00:00"/>
        <d v="2025-02-03T00:00:00"/>
        <d v="2025-02-10T00:00:00"/>
        <d v="2025-02-17T00:00:00"/>
        <d v="2025-02-24T00:00:00"/>
        <d v="2025-03-03T00:00:00"/>
        <d v="2025-03-10T00:00:00"/>
        <d v="2025-03-17T00:00:00"/>
        <d v="2025-03-24T00:00:00"/>
        <d v="2025-03-31T00:00:00"/>
        <d v="2025-04-07T00:00:00"/>
        <d v="2025-04-14T00:00:00"/>
        <d v="2025-04-21T00:00:00"/>
        <d v="2025-04-28T00:00:00"/>
        <d v="2025-05-05T00:00:00"/>
        <d v="2025-05-12T00:00:00"/>
        <d v="2025-05-19T00:00:00"/>
        <d v="2025-05-26T00:00:00"/>
        <d v="2025-06-02T00:00:00"/>
        <d v="2025-06-09T00:00:00"/>
        <d v="2025-06-16T00:00:00"/>
        <d v="2025-06-23T00:00:00"/>
        <d v="2025-06-30T00:00:00"/>
        <d v="2025-07-07T00:00:00"/>
        <d v="2025-07-14T00:00:00"/>
        <d v="2025-07-21T00:00:00"/>
        <d v="2025-07-28T00:00:00"/>
        <d v="2025-08-04T00:00:00"/>
        <d v="2025-08-11T00:00:00"/>
        <d v="2025-08-18T00:00:00"/>
        <d v="2025-08-25T00:00:00"/>
        <d v="2025-09-01T00:00:00"/>
        <d v="2025-09-08T00:00:00"/>
      </sharedItems>
      <fieldGroup par="12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Net follower growth" numFmtId="0">
      <sharedItems containsSemiMixedTypes="0" containsString="0" containsNumber="1" containsInteger="1" minValue="250" maxValue="1397"/>
    </cacheField>
    <cacheField name="Campaign name" numFmtId="0">
      <sharedItems containsBlank="1" count="5">
        <m/>
        <s v="SummerBeats"/>
        <s v="Wrapped2024"/>
        <s v="ChillVibes"/>
        <s v="IndieWaves"/>
      </sharedItems>
    </cacheField>
    <cacheField name="Campaign status" numFmtId="0">
      <sharedItems containsBlank="1" count="2">
        <m/>
        <s v="During"/>
      </sharedItems>
    </cacheField>
    <cacheField name="Months (Week_Start_Date)" numFmtId="0" databaseField="0">
      <fieldGroup base="0">
        <rangePr groupBy="months" startDate="2024-06-03T00:00:00" endDate="2025-09-09T00:00:00"/>
        <groupItems count="14">
          <s v="&lt;03-06-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9-09-2025"/>
        </groupItems>
      </fieldGroup>
    </cacheField>
    <cacheField name="Quarters (Week_Start_Date)" numFmtId="0" databaseField="0">
      <fieldGroup base="0">
        <rangePr groupBy="quarters" startDate="2024-06-03T00:00:00" endDate="2025-09-09T00:00:00"/>
        <groupItems count="6">
          <s v="&lt;03-06-2024"/>
          <s v="Qtr1"/>
          <s v="Qtr2"/>
          <s v="Qtr3"/>
          <s v="Qtr4"/>
          <s v="&gt;09-09-2025"/>
        </groupItems>
      </fieldGroup>
    </cacheField>
    <cacheField name="Years (Week_Start_Date)" numFmtId="0" databaseField="0">
      <fieldGroup base="0">
        <rangePr groupBy="years" startDate="2024-06-03T00:00:00" endDate="2025-09-09T00:00:00"/>
        <groupItems count="4">
          <s v="&lt;03-06-2024"/>
          <s v="2024"/>
          <s v="2025"/>
          <s v="&gt;09-09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86.831403472221" createdVersion="8" refreshedVersion="8" minRefreshableVersion="3" recordCount="300" xr:uid="{581B35A9-973B-4AC0-BBF8-6EC1D24F4EB4}">
  <cacheSource type="worksheet">
    <worksheetSource name="Posts__2"/>
  </cacheSource>
  <cacheFields count="17">
    <cacheField name="Post ID" numFmtId="0">
      <sharedItems/>
    </cacheField>
    <cacheField name="Platform" numFmtId="0">
      <sharedItems/>
    </cacheField>
    <cacheField name="Date" numFmtId="14">
      <sharedItems containsSemiMixedTypes="0" containsNonDate="0" containsDate="1" containsString="0" minDate="2024-01-01T00:00:00" maxDate="2025-07-02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1010" maxValue="4995"/>
    </cacheField>
    <cacheField name="Shares" numFmtId="0">
      <sharedItems containsSemiMixedTypes="0" containsString="0" containsNumber="1" containsInteger="1" minValue="100" maxValue="499"/>
    </cacheField>
    <cacheField name="Comments" numFmtId="0">
      <sharedItems containsSemiMixedTypes="0" containsString="0" containsNumber="1" containsInteger="1" minValue="51" maxValue="400"/>
    </cacheField>
    <cacheField name="Impressions" numFmtId="0">
      <sharedItems containsSemiMixedTypes="0" containsString="0" containsNumber="1" containsInteger="1" minValue="20368" maxValue="59888"/>
    </cacheField>
    <cacheField name="Reach" numFmtId="0">
      <sharedItems containsSemiMixedTypes="0" containsString="0" containsNumber="1" containsInteger="1" minValue="18091" maxValue="74761"/>
    </cacheField>
    <cacheField name="Clicks" numFmtId="0">
      <sharedItems containsSemiMixedTypes="0" containsString="0" containsNumber="1" containsInteger="1" minValue="80" maxValue="299"/>
    </cacheField>
    <cacheField name="Hashtags Used" numFmtId="0">
      <sharedItems/>
    </cacheField>
    <cacheField name="Campaign_Name" numFmtId="0">
      <sharedItems count="4">
        <s v="ChillVibes"/>
        <s v="IndieWave"/>
        <s v="Wrapped2024"/>
        <s v="SummerBeats"/>
      </sharedItems>
    </cacheField>
    <cacheField name="Engagement Rate" numFmtId="0">
      <sharedItems containsSemiMixedTypes="0" containsString="0" containsNumber="1" minValue="2.50275284149232E-2" maxValue="0.26064752360763155"/>
    </cacheField>
    <cacheField name="Campaign start date" numFmtId="14">
      <sharedItems containsSemiMixedTypes="0" containsNonDate="0" containsDate="1" containsString="0" minDate="2024-06-15T00:00:00" maxDate="2025-03-02T00:00:00"/>
    </cacheField>
    <cacheField name="Campaign end date" numFmtId="14">
      <sharedItems containsSemiMixedTypes="0" containsNonDate="0" containsDate="1" containsString="0" minDate="2024-07-15T00:00:00" maxDate="2025-04-01T00:00:00"/>
    </cacheField>
    <cacheField name="Campaign status" numFmtId="0">
      <sharedItems count="2">
        <s v="Before"/>
        <s v="Du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shnupriya S" refreshedDate="46086.857681481481" createdVersion="8" refreshedVersion="8" minRefreshableVersion="3" recordCount="200" xr:uid="{3766B8D1-44CB-4198-85BF-8125C38D4794}">
  <cacheSource type="worksheet">
    <worksheetSource name="Engagement_Summary6" r:id="rId2"/>
  </cacheSource>
  <cacheFields count="10">
    <cacheField name="Week_Start_Date" numFmtId="14">
      <sharedItems containsSemiMixedTypes="0" containsNonDate="0" containsDate="1" containsString="0" minDate="2024-06-03T00:00:00" maxDate="2025-09-09T00:00:00"/>
    </cacheField>
    <cacheField name="Platform" numFmtId="0">
      <sharedItems/>
    </cacheField>
    <cacheField name="New_Followers" numFmtId="0">
      <sharedItems containsSemiMixedTypes="0" containsString="0" containsNumber="1" containsInteger="1" minValue="503" maxValue="1490"/>
    </cacheField>
    <cacheField name="Unfollows" numFmtId="0">
      <sharedItems containsSemiMixedTypes="0" containsString="0" containsNumber="1" containsInteger="1" minValue="50" maxValue="296"/>
    </cacheField>
    <cacheField name="Total_Followers" numFmtId="0">
      <sharedItems containsSemiMixedTypes="0" containsString="0" containsNumber="1" containsInteger="1" minValue="61445" maxValue="397607"/>
    </cacheField>
    <cacheField name="Engagement_Rate" numFmtId="0">
      <sharedItems containsSemiMixedTypes="0" containsString="0" containsNumber="1" minValue="3.08" maxValue="9.99"/>
    </cacheField>
    <cacheField name="Ad_Spend" numFmtId="0">
      <sharedItems containsSemiMixedTypes="0" containsString="0" containsNumber="1" containsInteger="1" minValue="5281" maxValue="27829"/>
    </cacheField>
    <cacheField name="Followers_Growth" numFmtId="2">
      <sharedItems containsSemiMixedTypes="0" containsString="0" containsNumber="1" minValue="7.9729048800556188E-2" maxValue="1.7836234485988602"/>
    </cacheField>
    <cacheField name="Campaign name" numFmtId="0">
      <sharedItems containsBlank="1" count="5">
        <m/>
        <s v="SummerBeats"/>
        <s v="Wrapped2024"/>
        <s v="ChillVibes"/>
        <s v="IndieWaves"/>
      </sharedItems>
    </cacheField>
    <cacheField name="Campaign status" numFmtId="0">
      <sharedItems containsBlank="1" count="2">
        <m/>
        <s v="Dur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x v="0"/>
    <x v="0"/>
    <d v="2025-05-04T00:00:00"/>
    <x v="0"/>
    <x v="0"/>
    <x v="0"/>
    <n v="245"/>
    <n v="137"/>
    <x v="0"/>
    <n v="45292"/>
    <x v="0"/>
    <x v="0"/>
    <x v="0"/>
    <n v="0.13200509890939993"/>
  </r>
  <r>
    <x v="1"/>
    <x v="0"/>
    <d v="2025-02-01T00:00:00"/>
    <x v="0"/>
    <x v="1"/>
    <x v="1"/>
    <n v="210"/>
    <n v="393"/>
    <x v="1"/>
    <n v="73287"/>
    <x v="1"/>
    <x v="1"/>
    <x v="1"/>
    <n v="8.7095334546328396E-2"/>
  </r>
  <r>
    <x v="2"/>
    <x v="1"/>
    <d v="2024-12-03T00:00:00"/>
    <x v="1"/>
    <x v="2"/>
    <x v="2"/>
    <n v="177"/>
    <n v="81"/>
    <x v="2"/>
    <n v="29220"/>
    <x v="2"/>
    <x v="2"/>
    <x v="0"/>
    <n v="7.0477352576105018E-2"/>
  </r>
  <r>
    <x v="3"/>
    <x v="0"/>
    <d v="2024-12-03T00:00:00"/>
    <x v="0"/>
    <x v="3"/>
    <x v="3"/>
    <n v="229"/>
    <n v="197"/>
    <x v="3"/>
    <n v="21809"/>
    <x v="3"/>
    <x v="0"/>
    <x v="0"/>
    <n v="0.1215714092690177"/>
  </r>
  <r>
    <x v="4"/>
    <x v="2"/>
    <d v="2024-04-06T00:00:00"/>
    <x v="0"/>
    <x v="4"/>
    <x v="4"/>
    <n v="145"/>
    <n v="315"/>
    <x v="4"/>
    <n v="61182"/>
    <x v="4"/>
    <x v="3"/>
    <x v="1"/>
    <n v="0.1314700217204213"/>
  </r>
  <r>
    <x v="5"/>
    <x v="2"/>
    <d v="2024-06-13T00:00:00"/>
    <x v="0"/>
    <x v="5"/>
    <x v="5"/>
    <n v="239"/>
    <n v="275"/>
    <x v="5"/>
    <n v="44646"/>
    <x v="5"/>
    <x v="3"/>
    <x v="1"/>
    <n v="7.4828079253761837E-2"/>
  </r>
  <r>
    <x v="6"/>
    <x v="1"/>
    <d v="2024-12-19T00:00:00"/>
    <x v="1"/>
    <x v="6"/>
    <x v="6"/>
    <n v="409"/>
    <n v="327"/>
    <x v="6"/>
    <n v="63599"/>
    <x v="6"/>
    <x v="0"/>
    <x v="0"/>
    <n v="0.26064752360763155"/>
  </r>
  <r>
    <x v="7"/>
    <x v="1"/>
    <d v="2024-05-09T00:00:00"/>
    <x v="1"/>
    <x v="3"/>
    <x v="7"/>
    <n v="347"/>
    <n v="67"/>
    <x v="7"/>
    <n v="19712"/>
    <x v="7"/>
    <x v="4"/>
    <x v="0"/>
    <n v="8.7100435029317191E-2"/>
  </r>
  <r>
    <x v="8"/>
    <x v="1"/>
    <d v="2025-06-15T00:00:00"/>
    <x v="0"/>
    <x v="7"/>
    <x v="8"/>
    <n v="223"/>
    <n v="299"/>
    <x v="8"/>
    <n v="21742"/>
    <x v="8"/>
    <x v="5"/>
    <x v="0"/>
    <n v="8.3943337400027115E-2"/>
  </r>
  <r>
    <x v="9"/>
    <x v="1"/>
    <d v="2024-12-04T00:00:00"/>
    <x v="0"/>
    <x v="3"/>
    <x v="9"/>
    <n v="274"/>
    <n v="172"/>
    <x v="9"/>
    <n v="66829"/>
    <x v="9"/>
    <x v="5"/>
    <x v="0"/>
    <n v="0.12997310581470833"/>
  </r>
  <r>
    <x v="10"/>
    <x v="1"/>
    <d v="2024-03-06T00:00:00"/>
    <x v="0"/>
    <x v="0"/>
    <x v="10"/>
    <n v="370"/>
    <n v="306"/>
    <x v="10"/>
    <n v="27897"/>
    <x v="10"/>
    <x v="6"/>
    <x v="1"/>
    <n v="8.4525482181632389E-2"/>
  </r>
  <r>
    <x v="11"/>
    <x v="0"/>
    <d v="2024-05-14T00:00:00"/>
    <x v="0"/>
    <x v="0"/>
    <x v="11"/>
    <n v="353"/>
    <n v="244"/>
    <x v="11"/>
    <n v="38556"/>
    <x v="11"/>
    <x v="0"/>
    <x v="0"/>
    <n v="5.4191936281527367E-2"/>
  </r>
  <r>
    <x v="12"/>
    <x v="1"/>
    <d v="2025-06-18T00:00:00"/>
    <x v="1"/>
    <x v="0"/>
    <x v="12"/>
    <n v="319"/>
    <n v="61"/>
    <x v="12"/>
    <n v="28720"/>
    <x v="12"/>
    <x v="2"/>
    <x v="0"/>
    <n v="7.4550393727863554E-2"/>
  </r>
  <r>
    <x v="13"/>
    <x v="1"/>
    <d v="2024-10-08T00:00:00"/>
    <x v="0"/>
    <x v="8"/>
    <x v="13"/>
    <n v="409"/>
    <n v="253"/>
    <x v="13"/>
    <n v="46122"/>
    <x v="13"/>
    <x v="5"/>
    <x v="0"/>
    <n v="8.5063484278785892E-2"/>
  </r>
  <r>
    <x v="14"/>
    <x v="1"/>
    <d v="2024-05-06T00:00:00"/>
    <x v="0"/>
    <x v="9"/>
    <x v="14"/>
    <n v="355"/>
    <n v="396"/>
    <x v="14"/>
    <n v="27285"/>
    <x v="14"/>
    <x v="5"/>
    <x v="0"/>
    <n v="0.11274405206444041"/>
  </r>
  <r>
    <x v="15"/>
    <x v="1"/>
    <d v="2024-12-29T00:00:00"/>
    <x v="1"/>
    <x v="2"/>
    <x v="15"/>
    <n v="377"/>
    <n v="94"/>
    <x v="15"/>
    <n v="42875"/>
    <x v="15"/>
    <x v="2"/>
    <x v="0"/>
    <n v="9.3810966751068869E-2"/>
  </r>
  <r>
    <x v="16"/>
    <x v="1"/>
    <d v="2024-06-10T00:00:00"/>
    <x v="0"/>
    <x v="5"/>
    <x v="16"/>
    <n v="164"/>
    <n v="275"/>
    <x v="16"/>
    <n v="44389"/>
    <x v="16"/>
    <x v="5"/>
    <x v="0"/>
    <n v="4.7214969538729328E-2"/>
  </r>
  <r>
    <x v="17"/>
    <x v="0"/>
    <d v="2024-02-03T00:00:00"/>
    <x v="1"/>
    <x v="4"/>
    <x v="17"/>
    <n v="101"/>
    <n v="163"/>
    <x v="17"/>
    <n v="53382"/>
    <x v="17"/>
    <x v="5"/>
    <x v="2"/>
    <n v="0.1408079806679472"/>
  </r>
  <r>
    <x v="18"/>
    <x v="2"/>
    <d v="2024-06-15T00:00:00"/>
    <x v="2"/>
    <x v="6"/>
    <x v="18"/>
    <n v="143"/>
    <n v="151"/>
    <x v="18"/>
    <n v="47729"/>
    <x v="18"/>
    <x v="7"/>
    <x v="3"/>
    <n v="6.4255640042732362E-2"/>
  </r>
  <r>
    <x v="19"/>
    <x v="0"/>
    <d v="2024-07-05T00:00:00"/>
    <x v="0"/>
    <x v="9"/>
    <x v="19"/>
    <n v="411"/>
    <n v="308"/>
    <x v="19"/>
    <n v="27678"/>
    <x v="19"/>
    <x v="1"/>
    <x v="1"/>
    <n v="0.15347655981879332"/>
  </r>
  <r>
    <x v="20"/>
    <x v="0"/>
    <d v="2024-11-07T00:00:00"/>
    <x v="1"/>
    <x v="3"/>
    <x v="20"/>
    <n v="423"/>
    <n v="323"/>
    <x v="20"/>
    <n v="37945"/>
    <x v="20"/>
    <x v="5"/>
    <x v="2"/>
    <n v="4.3543867212761371E-2"/>
  </r>
  <r>
    <x v="21"/>
    <x v="0"/>
    <d v="2025-06-15T00:00:00"/>
    <x v="0"/>
    <x v="5"/>
    <x v="21"/>
    <n v="466"/>
    <n v="233"/>
    <x v="21"/>
    <n v="34270"/>
    <x v="21"/>
    <x v="0"/>
    <x v="0"/>
    <n v="0.19548583208133888"/>
  </r>
  <r>
    <x v="22"/>
    <x v="2"/>
    <d v="2024-06-09T00:00:00"/>
    <x v="2"/>
    <x v="8"/>
    <x v="22"/>
    <n v="368"/>
    <n v="208"/>
    <x v="22"/>
    <n v="39967"/>
    <x v="22"/>
    <x v="7"/>
    <x v="3"/>
    <n v="8.0047619047619048E-2"/>
  </r>
  <r>
    <x v="23"/>
    <x v="1"/>
    <d v="2024-10-18T00:00:00"/>
    <x v="0"/>
    <x v="2"/>
    <x v="23"/>
    <n v="379"/>
    <n v="180"/>
    <x v="23"/>
    <n v="61620"/>
    <x v="23"/>
    <x v="6"/>
    <x v="1"/>
    <n v="0.11026748397882419"/>
  </r>
  <r>
    <x v="24"/>
    <x v="2"/>
    <d v="2024-10-10T00:00:00"/>
    <x v="2"/>
    <x v="8"/>
    <x v="24"/>
    <n v="320"/>
    <n v="92"/>
    <x v="24"/>
    <n v="60169"/>
    <x v="24"/>
    <x v="7"/>
    <x v="3"/>
    <n v="8.1036535115831879E-2"/>
  </r>
  <r>
    <x v="25"/>
    <x v="1"/>
    <d v="2025-05-14T00:00:00"/>
    <x v="1"/>
    <x v="8"/>
    <x v="25"/>
    <n v="103"/>
    <n v="51"/>
    <x v="25"/>
    <n v="18801"/>
    <x v="25"/>
    <x v="4"/>
    <x v="0"/>
    <n v="5.173411449857148E-2"/>
  </r>
  <r>
    <x v="26"/>
    <x v="0"/>
    <d v="2024-11-29T00:00:00"/>
    <x v="0"/>
    <x v="5"/>
    <x v="26"/>
    <n v="425"/>
    <n v="274"/>
    <x v="26"/>
    <n v="53488"/>
    <x v="26"/>
    <x v="0"/>
    <x v="0"/>
    <n v="0.11363049929041415"/>
  </r>
  <r>
    <x v="27"/>
    <x v="2"/>
    <d v="2024-03-05T00:00:00"/>
    <x v="2"/>
    <x v="1"/>
    <x v="27"/>
    <n v="314"/>
    <n v="199"/>
    <x v="27"/>
    <n v="53929"/>
    <x v="27"/>
    <x v="7"/>
    <x v="3"/>
    <n v="8.205676046117874E-2"/>
  </r>
  <r>
    <x v="28"/>
    <x v="1"/>
    <d v="2025-03-18T00:00:00"/>
    <x v="1"/>
    <x v="1"/>
    <x v="28"/>
    <n v="188"/>
    <n v="387"/>
    <x v="28"/>
    <n v="36933"/>
    <x v="28"/>
    <x v="2"/>
    <x v="0"/>
    <n v="6.9526910553533799E-2"/>
  </r>
  <r>
    <x v="29"/>
    <x v="1"/>
    <d v="2025-04-26T00:00:00"/>
    <x v="0"/>
    <x v="0"/>
    <x v="29"/>
    <n v="194"/>
    <n v="168"/>
    <x v="29"/>
    <n v="71699"/>
    <x v="29"/>
    <x v="5"/>
    <x v="0"/>
    <n v="0.10399399962497656"/>
  </r>
  <r>
    <x v="30"/>
    <x v="0"/>
    <d v="2025-01-01T00:00:00"/>
    <x v="0"/>
    <x v="2"/>
    <x v="30"/>
    <n v="112"/>
    <n v="382"/>
    <x v="30"/>
    <n v="29440"/>
    <x v="30"/>
    <x v="0"/>
    <x v="0"/>
    <n v="8.0484684812735408E-2"/>
  </r>
  <r>
    <x v="31"/>
    <x v="1"/>
    <d v="2024-05-07T00:00:00"/>
    <x v="1"/>
    <x v="1"/>
    <x v="31"/>
    <n v="307"/>
    <n v="178"/>
    <x v="31"/>
    <n v="48408"/>
    <x v="31"/>
    <x v="0"/>
    <x v="0"/>
    <n v="7.519889311656866E-2"/>
  </r>
  <r>
    <x v="32"/>
    <x v="1"/>
    <d v="2024-10-09T00:00:00"/>
    <x v="1"/>
    <x v="0"/>
    <x v="32"/>
    <n v="182"/>
    <n v="95"/>
    <x v="32"/>
    <n v="31084"/>
    <x v="32"/>
    <x v="4"/>
    <x v="0"/>
    <n v="0.16177247444144061"/>
  </r>
  <r>
    <x v="33"/>
    <x v="0"/>
    <d v="2025-01-09T00:00:00"/>
    <x v="0"/>
    <x v="2"/>
    <x v="33"/>
    <n v="366"/>
    <n v="308"/>
    <x v="33"/>
    <n v="63790"/>
    <x v="33"/>
    <x v="0"/>
    <x v="0"/>
    <n v="4.4299315445747112E-2"/>
  </r>
  <r>
    <x v="34"/>
    <x v="1"/>
    <d v="2025-05-08T00:00:00"/>
    <x v="1"/>
    <x v="9"/>
    <x v="34"/>
    <n v="332"/>
    <n v="268"/>
    <x v="34"/>
    <n v="36913"/>
    <x v="34"/>
    <x v="2"/>
    <x v="0"/>
    <n v="9.7668038408779148E-2"/>
  </r>
  <r>
    <x v="35"/>
    <x v="0"/>
    <d v="2024-05-04T00:00:00"/>
    <x v="0"/>
    <x v="3"/>
    <x v="35"/>
    <n v="243"/>
    <n v="222"/>
    <x v="35"/>
    <n v="59174"/>
    <x v="35"/>
    <x v="1"/>
    <x v="1"/>
    <n v="6.3600055728416843E-2"/>
  </r>
  <r>
    <x v="36"/>
    <x v="1"/>
    <d v="2025-05-27T00:00:00"/>
    <x v="1"/>
    <x v="1"/>
    <x v="36"/>
    <n v="385"/>
    <n v="400"/>
    <x v="36"/>
    <n v="31795"/>
    <x v="35"/>
    <x v="2"/>
    <x v="0"/>
    <n v="0.10772626931567329"/>
  </r>
  <r>
    <x v="37"/>
    <x v="0"/>
    <d v="2024-09-10T00:00:00"/>
    <x v="1"/>
    <x v="2"/>
    <x v="37"/>
    <n v="309"/>
    <n v="207"/>
    <x v="37"/>
    <n v="40699"/>
    <x v="36"/>
    <x v="5"/>
    <x v="2"/>
    <n v="3.9122543637545096E-2"/>
  </r>
  <r>
    <x v="38"/>
    <x v="0"/>
    <d v="2024-11-25T00:00:00"/>
    <x v="0"/>
    <x v="8"/>
    <x v="38"/>
    <n v="472"/>
    <n v="238"/>
    <x v="38"/>
    <n v="51706"/>
    <x v="0"/>
    <x v="1"/>
    <x v="1"/>
    <n v="3.9913595142645857E-2"/>
  </r>
  <r>
    <x v="39"/>
    <x v="1"/>
    <d v="2025-06-10T00:00:00"/>
    <x v="0"/>
    <x v="1"/>
    <x v="39"/>
    <n v="192"/>
    <n v="162"/>
    <x v="39"/>
    <n v="35341"/>
    <x v="37"/>
    <x v="5"/>
    <x v="0"/>
    <n v="0.14436927106067218"/>
  </r>
  <r>
    <x v="40"/>
    <x v="0"/>
    <d v="2024-04-19T00:00:00"/>
    <x v="0"/>
    <x v="2"/>
    <x v="40"/>
    <n v="353"/>
    <n v="129"/>
    <x v="40"/>
    <n v="37279"/>
    <x v="38"/>
    <x v="0"/>
    <x v="0"/>
    <n v="0.10863928268508422"/>
  </r>
  <r>
    <x v="41"/>
    <x v="0"/>
    <d v="2025-01-26T00:00:00"/>
    <x v="1"/>
    <x v="5"/>
    <x v="41"/>
    <n v="363"/>
    <n v="393"/>
    <x v="41"/>
    <n v="69032"/>
    <x v="39"/>
    <x v="5"/>
    <x v="2"/>
    <n v="9.379528682585335E-2"/>
  </r>
  <r>
    <x v="42"/>
    <x v="0"/>
    <d v="2025-02-14T00:00:00"/>
    <x v="0"/>
    <x v="7"/>
    <x v="42"/>
    <n v="450"/>
    <n v="387"/>
    <x v="42"/>
    <n v="37312"/>
    <x v="40"/>
    <x v="0"/>
    <x v="0"/>
    <n v="0.11750707750379519"/>
  </r>
  <r>
    <x v="43"/>
    <x v="0"/>
    <d v="2024-09-06T00:00:00"/>
    <x v="0"/>
    <x v="2"/>
    <x v="43"/>
    <n v="281"/>
    <n v="326"/>
    <x v="43"/>
    <n v="62599"/>
    <x v="41"/>
    <x v="1"/>
    <x v="1"/>
    <n v="3.9937155714174881E-2"/>
  </r>
  <r>
    <x v="44"/>
    <x v="2"/>
    <d v="2024-07-14T00:00:00"/>
    <x v="0"/>
    <x v="9"/>
    <x v="44"/>
    <n v="114"/>
    <n v="278"/>
    <x v="44"/>
    <n v="24209"/>
    <x v="42"/>
    <x v="3"/>
    <x v="1"/>
    <n v="0.11613367267898639"/>
  </r>
  <r>
    <x v="45"/>
    <x v="0"/>
    <d v="2024-02-12T00:00:00"/>
    <x v="0"/>
    <x v="1"/>
    <x v="45"/>
    <n v="330"/>
    <n v="250"/>
    <x v="45"/>
    <n v="74590"/>
    <x v="43"/>
    <x v="1"/>
    <x v="1"/>
    <n v="0.14600091693410577"/>
  </r>
  <r>
    <x v="46"/>
    <x v="2"/>
    <d v="2024-03-14T00:00:00"/>
    <x v="2"/>
    <x v="8"/>
    <x v="46"/>
    <n v="188"/>
    <n v="358"/>
    <x v="46"/>
    <n v="24536"/>
    <x v="7"/>
    <x v="7"/>
    <x v="3"/>
    <n v="9.8072192379135503E-2"/>
  </r>
  <r>
    <x v="47"/>
    <x v="0"/>
    <d v="2025-02-05T00:00:00"/>
    <x v="1"/>
    <x v="4"/>
    <x v="47"/>
    <n v="371"/>
    <n v="348"/>
    <x v="47"/>
    <n v="57803"/>
    <x v="12"/>
    <x v="5"/>
    <x v="2"/>
    <n v="0.15735977431131762"/>
  </r>
  <r>
    <x v="48"/>
    <x v="1"/>
    <d v="2024-08-29T00:00:00"/>
    <x v="1"/>
    <x v="6"/>
    <x v="48"/>
    <n v="227"/>
    <n v="223"/>
    <x v="48"/>
    <n v="41005"/>
    <x v="44"/>
    <x v="4"/>
    <x v="0"/>
    <n v="0.1087862256289851"/>
  </r>
  <r>
    <x v="49"/>
    <x v="1"/>
    <d v="2025-04-22T00:00:00"/>
    <x v="0"/>
    <x v="0"/>
    <x v="49"/>
    <n v="421"/>
    <n v="216"/>
    <x v="49"/>
    <n v="54361"/>
    <x v="45"/>
    <x v="5"/>
    <x v="0"/>
    <n v="0.20241060666934513"/>
  </r>
  <r>
    <x v="50"/>
    <x v="2"/>
    <d v="2024-05-13T00:00:00"/>
    <x v="2"/>
    <x v="1"/>
    <x v="50"/>
    <n v="481"/>
    <n v="61"/>
    <x v="50"/>
    <n v="48955"/>
    <x v="46"/>
    <x v="7"/>
    <x v="3"/>
    <n v="0.10249760265016128"/>
  </r>
  <r>
    <x v="51"/>
    <x v="1"/>
    <d v="2024-09-04T00:00:00"/>
    <x v="1"/>
    <x v="2"/>
    <x v="51"/>
    <n v="455"/>
    <n v="228"/>
    <x v="51"/>
    <n v="61334"/>
    <x v="47"/>
    <x v="4"/>
    <x v="0"/>
    <n v="0.15227535227535227"/>
  </r>
  <r>
    <x v="52"/>
    <x v="1"/>
    <d v="2024-08-12T00:00:00"/>
    <x v="1"/>
    <x v="5"/>
    <x v="52"/>
    <n v="213"/>
    <n v="331"/>
    <x v="52"/>
    <n v="68606"/>
    <x v="48"/>
    <x v="2"/>
    <x v="0"/>
    <n v="5.8723551855705859E-2"/>
  </r>
  <r>
    <x v="53"/>
    <x v="0"/>
    <d v="2025-03-06T00:00:00"/>
    <x v="0"/>
    <x v="6"/>
    <x v="53"/>
    <n v="460"/>
    <n v="212"/>
    <x v="53"/>
    <n v="59574"/>
    <x v="49"/>
    <x v="1"/>
    <x v="1"/>
    <n v="9.5101162290142052E-2"/>
  </r>
  <r>
    <x v="54"/>
    <x v="1"/>
    <d v="2024-05-08T00:00:00"/>
    <x v="0"/>
    <x v="1"/>
    <x v="54"/>
    <n v="450"/>
    <n v="214"/>
    <x v="54"/>
    <n v="19166"/>
    <x v="50"/>
    <x v="5"/>
    <x v="0"/>
    <n v="4.781732706514439E-2"/>
  </r>
  <r>
    <x v="55"/>
    <x v="0"/>
    <d v="2025-02-19T00:00:00"/>
    <x v="1"/>
    <x v="8"/>
    <x v="55"/>
    <n v="455"/>
    <n v="376"/>
    <x v="55"/>
    <n v="46775"/>
    <x v="51"/>
    <x v="5"/>
    <x v="2"/>
    <n v="0.13885094758408742"/>
  </r>
  <r>
    <x v="56"/>
    <x v="0"/>
    <d v="2024-01-08T00:00:00"/>
    <x v="0"/>
    <x v="7"/>
    <x v="56"/>
    <n v="405"/>
    <n v="223"/>
    <x v="56"/>
    <n v="58106"/>
    <x v="52"/>
    <x v="1"/>
    <x v="1"/>
    <n v="0.10600966926007749"/>
  </r>
  <r>
    <x v="57"/>
    <x v="2"/>
    <d v="2024-07-17T00:00:00"/>
    <x v="0"/>
    <x v="7"/>
    <x v="57"/>
    <n v="110"/>
    <n v="215"/>
    <x v="57"/>
    <n v="24744"/>
    <x v="53"/>
    <x v="3"/>
    <x v="1"/>
    <n v="8.8283323127168814E-2"/>
  </r>
  <r>
    <x v="58"/>
    <x v="2"/>
    <d v="2024-08-10T00:00:00"/>
    <x v="0"/>
    <x v="8"/>
    <x v="58"/>
    <n v="181"/>
    <n v="55"/>
    <x v="58"/>
    <n v="74048"/>
    <x v="54"/>
    <x v="3"/>
    <x v="1"/>
    <n v="2.50275284149232E-2"/>
  </r>
  <r>
    <x v="59"/>
    <x v="2"/>
    <d v="2024-04-16T00:00:00"/>
    <x v="0"/>
    <x v="0"/>
    <x v="6"/>
    <n v="326"/>
    <n v="62"/>
    <x v="59"/>
    <n v="46814"/>
    <x v="55"/>
    <x v="3"/>
    <x v="1"/>
    <n v="0.11124541239039185"/>
  </r>
  <r>
    <x v="60"/>
    <x v="2"/>
    <d v="2024-01-01T00:00:00"/>
    <x v="2"/>
    <x v="1"/>
    <x v="59"/>
    <n v="129"/>
    <n v="359"/>
    <x v="60"/>
    <n v="30854"/>
    <x v="8"/>
    <x v="7"/>
    <x v="3"/>
    <n v="8.8087436599488311E-2"/>
  </r>
  <r>
    <x v="61"/>
    <x v="1"/>
    <d v="2024-11-03T00:00:00"/>
    <x v="1"/>
    <x v="3"/>
    <x v="60"/>
    <n v="316"/>
    <n v="82"/>
    <x v="61"/>
    <n v="69015"/>
    <x v="56"/>
    <x v="2"/>
    <x v="0"/>
    <n v="4.3619068768968837E-2"/>
  </r>
  <r>
    <x v="62"/>
    <x v="1"/>
    <d v="2024-07-07T00:00:00"/>
    <x v="0"/>
    <x v="2"/>
    <x v="61"/>
    <n v="137"/>
    <n v="184"/>
    <x v="62"/>
    <n v="68953"/>
    <x v="57"/>
    <x v="6"/>
    <x v="1"/>
    <n v="3.6351938233874857E-2"/>
  </r>
  <r>
    <x v="63"/>
    <x v="1"/>
    <d v="2025-01-22T00:00:00"/>
    <x v="1"/>
    <x v="2"/>
    <x v="62"/>
    <n v="101"/>
    <n v="121"/>
    <x v="63"/>
    <n v="58207"/>
    <x v="58"/>
    <x v="2"/>
    <x v="0"/>
    <n v="9.2093661212893113E-2"/>
  </r>
  <r>
    <x v="64"/>
    <x v="2"/>
    <d v="2024-05-26T00:00:00"/>
    <x v="0"/>
    <x v="8"/>
    <x v="63"/>
    <n v="327"/>
    <n v="110"/>
    <x v="64"/>
    <n v="30239"/>
    <x v="59"/>
    <x v="3"/>
    <x v="1"/>
    <n v="3.5777344113000653E-2"/>
  </r>
  <r>
    <x v="65"/>
    <x v="0"/>
    <d v="2025-04-16T00:00:00"/>
    <x v="0"/>
    <x v="3"/>
    <x v="64"/>
    <n v="331"/>
    <n v="140"/>
    <x v="65"/>
    <n v="47711"/>
    <x v="60"/>
    <x v="0"/>
    <x v="0"/>
    <n v="9.0267383317458164E-2"/>
  </r>
  <r>
    <x v="66"/>
    <x v="2"/>
    <d v="2024-04-02T00:00:00"/>
    <x v="2"/>
    <x v="9"/>
    <x v="65"/>
    <n v="488"/>
    <n v="356"/>
    <x v="66"/>
    <n v="23328"/>
    <x v="61"/>
    <x v="7"/>
    <x v="3"/>
    <n v="0.17658969920637513"/>
  </r>
  <r>
    <x v="67"/>
    <x v="1"/>
    <d v="2024-03-28T00:00:00"/>
    <x v="0"/>
    <x v="4"/>
    <x v="66"/>
    <n v="421"/>
    <n v="114"/>
    <x v="67"/>
    <n v="30324"/>
    <x v="62"/>
    <x v="6"/>
    <x v="1"/>
    <n v="0.18517978620019437"/>
  </r>
  <r>
    <x v="68"/>
    <x v="1"/>
    <d v="2024-12-17T00:00:00"/>
    <x v="1"/>
    <x v="4"/>
    <x v="67"/>
    <n v="472"/>
    <n v="286"/>
    <x v="68"/>
    <n v="53343"/>
    <x v="60"/>
    <x v="4"/>
    <x v="0"/>
    <n v="4.6406515707509172E-2"/>
  </r>
  <r>
    <x v="69"/>
    <x v="1"/>
    <d v="2025-01-05T00:00:00"/>
    <x v="0"/>
    <x v="3"/>
    <x v="68"/>
    <n v="473"/>
    <n v="254"/>
    <x v="69"/>
    <n v="68795"/>
    <x v="63"/>
    <x v="5"/>
    <x v="0"/>
    <n v="0.10657378184897237"/>
  </r>
  <r>
    <x v="70"/>
    <x v="1"/>
    <d v="2024-01-11T00:00:00"/>
    <x v="0"/>
    <x v="5"/>
    <x v="69"/>
    <n v="247"/>
    <n v="183"/>
    <x v="70"/>
    <n v="18310"/>
    <x v="64"/>
    <x v="6"/>
    <x v="1"/>
    <n v="0.1607525766064882"/>
  </r>
  <r>
    <x v="71"/>
    <x v="0"/>
    <d v="2024-10-11T00:00:00"/>
    <x v="0"/>
    <x v="8"/>
    <x v="70"/>
    <n v="249"/>
    <n v="52"/>
    <x v="71"/>
    <n v="42152"/>
    <x v="65"/>
    <x v="1"/>
    <x v="1"/>
    <n v="8.1549489395129612E-2"/>
  </r>
  <r>
    <x v="72"/>
    <x v="2"/>
    <d v="2025-05-06T00:00:00"/>
    <x v="2"/>
    <x v="0"/>
    <x v="71"/>
    <n v="496"/>
    <n v="320"/>
    <x v="72"/>
    <n v="38599"/>
    <x v="66"/>
    <x v="7"/>
    <x v="3"/>
    <n v="5.2042268944371438E-2"/>
  </r>
  <r>
    <x v="73"/>
    <x v="1"/>
    <d v="2024-05-19T00:00:00"/>
    <x v="1"/>
    <x v="6"/>
    <x v="72"/>
    <n v="206"/>
    <n v="187"/>
    <x v="73"/>
    <n v="25095"/>
    <x v="10"/>
    <x v="4"/>
    <x v="0"/>
    <n v="4.0418432004799221E-2"/>
  </r>
  <r>
    <x v="74"/>
    <x v="1"/>
    <d v="2024-01-22T00:00:00"/>
    <x v="1"/>
    <x v="8"/>
    <x v="73"/>
    <n v="455"/>
    <n v="158"/>
    <x v="74"/>
    <n v="48578"/>
    <x v="67"/>
    <x v="0"/>
    <x v="0"/>
    <n v="5.1660428636136076E-2"/>
  </r>
  <r>
    <x v="75"/>
    <x v="0"/>
    <d v="2024-07-14T00:00:00"/>
    <x v="0"/>
    <x v="3"/>
    <x v="74"/>
    <n v="401"/>
    <n v="78"/>
    <x v="75"/>
    <n v="73593"/>
    <x v="68"/>
    <x v="1"/>
    <x v="1"/>
    <n v="7.611534979956032E-2"/>
  </r>
  <r>
    <x v="76"/>
    <x v="1"/>
    <d v="2025-05-28T00:00:00"/>
    <x v="0"/>
    <x v="8"/>
    <x v="75"/>
    <n v="161"/>
    <n v="360"/>
    <x v="76"/>
    <n v="41383"/>
    <x v="10"/>
    <x v="5"/>
    <x v="0"/>
    <n v="9.6080290300434801E-2"/>
  </r>
  <r>
    <x v="77"/>
    <x v="1"/>
    <d v="2025-01-21T00:00:00"/>
    <x v="1"/>
    <x v="0"/>
    <x v="76"/>
    <n v="494"/>
    <n v="55"/>
    <x v="77"/>
    <n v="22214"/>
    <x v="59"/>
    <x v="2"/>
    <x v="0"/>
    <n v="0.13476527900797167"/>
  </r>
  <r>
    <x v="78"/>
    <x v="2"/>
    <d v="2024-01-13T00:00:00"/>
    <x v="2"/>
    <x v="2"/>
    <x v="77"/>
    <n v="191"/>
    <n v="122"/>
    <x v="78"/>
    <n v="50777"/>
    <x v="69"/>
    <x v="7"/>
    <x v="3"/>
    <n v="0.14335162515829464"/>
  </r>
  <r>
    <x v="79"/>
    <x v="0"/>
    <d v="2025-06-17T00:00:00"/>
    <x v="0"/>
    <x v="4"/>
    <x v="78"/>
    <n v="187"/>
    <n v="260"/>
    <x v="79"/>
    <n v="65014"/>
    <x v="70"/>
    <x v="0"/>
    <x v="0"/>
    <n v="7.3021390374331557E-2"/>
  </r>
  <r>
    <x v="80"/>
    <x v="1"/>
    <d v="2025-03-07T00:00:00"/>
    <x v="0"/>
    <x v="6"/>
    <x v="79"/>
    <n v="486"/>
    <n v="276"/>
    <x v="80"/>
    <n v="41343"/>
    <x v="71"/>
    <x v="6"/>
    <x v="1"/>
    <n v="8.8232696960599044E-2"/>
  </r>
  <r>
    <x v="81"/>
    <x v="0"/>
    <d v="2024-08-26T00:00:00"/>
    <x v="0"/>
    <x v="9"/>
    <x v="80"/>
    <n v="181"/>
    <n v="306"/>
    <x v="81"/>
    <n v="50079"/>
    <x v="56"/>
    <x v="1"/>
    <x v="1"/>
    <n v="5.9312714776632303E-2"/>
  </r>
  <r>
    <x v="82"/>
    <x v="1"/>
    <d v="2025-01-03T00:00:00"/>
    <x v="1"/>
    <x v="6"/>
    <x v="81"/>
    <n v="158"/>
    <n v="84"/>
    <x v="82"/>
    <n v="51480"/>
    <x v="72"/>
    <x v="0"/>
    <x v="0"/>
    <n v="0.1471166637746544"/>
  </r>
  <r>
    <x v="83"/>
    <x v="1"/>
    <d v="2024-08-03T00:00:00"/>
    <x v="0"/>
    <x v="9"/>
    <x v="82"/>
    <n v="390"/>
    <n v="213"/>
    <x v="83"/>
    <n v="57768"/>
    <x v="73"/>
    <x v="5"/>
    <x v="0"/>
    <n v="0.16283364109451065"/>
  </r>
  <r>
    <x v="84"/>
    <x v="0"/>
    <d v="2024-08-18T00:00:00"/>
    <x v="0"/>
    <x v="1"/>
    <x v="83"/>
    <n v="328"/>
    <n v="171"/>
    <x v="84"/>
    <n v="67536"/>
    <x v="13"/>
    <x v="0"/>
    <x v="0"/>
    <n v="6.0050273034584378E-2"/>
  </r>
  <r>
    <x v="85"/>
    <x v="1"/>
    <d v="2025-05-14T00:00:00"/>
    <x v="1"/>
    <x v="3"/>
    <x v="84"/>
    <n v="139"/>
    <n v="96"/>
    <x v="85"/>
    <n v="39395"/>
    <x v="74"/>
    <x v="0"/>
    <x v="0"/>
    <n v="4.4438295517432211E-2"/>
  </r>
  <r>
    <x v="86"/>
    <x v="1"/>
    <d v="2024-04-23T00:00:00"/>
    <x v="1"/>
    <x v="0"/>
    <x v="56"/>
    <n v="496"/>
    <n v="89"/>
    <x v="86"/>
    <n v="30334"/>
    <x v="75"/>
    <x v="0"/>
    <x v="0"/>
    <n v="6.1158416768035934E-2"/>
  </r>
  <r>
    <x v="87"/>
    <x v="1"/>
    <d v="2025-02-17T00:00:00"/>
    <x v="1"/>
    <x v="5"/>
    <x v="85"/>
    <n v="427"/>
    <n v="339"/>
    <x v="87"/>
    <n v="33870"/>
    <x v="76"/>
    <x v="0"/>
    <x v="0"/>
    <n v="0.18086628511966701"/>
  </r>
  <r>
    <x v="88"/>
    <x v="0"/>
    <d v="2024-12-04T00:00:00"/>
    <x v="0"/>
    <x v="3"/>
    <x v="86"/>
    <n v="336"/>
    <n v="260"/>
    <x v="88"/>
    <n v="49028"/>
    <x v="7"/>
    <x v="0"/>
    <x v="0"/>
    <n v="9.8770390509144837E-2"/>
  </r>
  <r>
    <x v="89"/>
    <x v="1"/>
    <d v="2024-07-22T00:00:00"/>
    <x v="1"/>
    <x v="3"/>
    <x v="87"/>
    <n v="229"/>
    <n v="337"/>
    <x v="89"/>
    <n v="26205"/>
    <x v="75"/>
    <x v="2"/>
    <x v="0"/>
    <n v="0.17642537414658407"/>
  </r>
  <r>
    <x v="90"/>
    <x v="1"/>
    <d v="2025-04-27T00:00:00"/>
    <x v="0"/>
    <x v="1"/>
    <x v="88"/>
    <n v="294"/>
    <n v="163"/>
    <x v="90"/>
    <n v="45926"/>
    <x v="77"/>
    <x v="6"/>
    <x v="1"/>
    <n v="7.8512996756861422E-2"/>
  </r>
  <r>
    <x v="91"/>
    <x v="2"/>
    <d v="2024-03-25T00:00:00"/>
    <x v="2"/>
    <x v="1"/>
    <x v="89"/>
    <n v="155"/>
    <n v="315"/>
    <x v="91"/>
    <n v="57121"/>
    <x v="78"/>
    <x v="7"/>
    <x v="3"/>
    <n v="7.974671020085089E-2"/>
  </r>
  <r>
    <x v="92"/>
    <x v="0"/>
    <d v="2024-02-29T00:00:00"/>
    <x v="0"/>
    <x v="8"/>
    <x v="90"/>
    <n v="229"/>
    <n v="312"/>
    <x v="92"/>
    <n v="34601"/>
    <x v="74"/>
    <x v="1"/>
    <x v="1"/>
    <n v="6.3999063999063993E-2"/>
  </r>
  <r>
    <x v="93"/>
    <x v="1"/>
    <d v="2024-11-13T00:00:00"/>
    <x v="1"/>
    <x v="7"/>
    <x v="91"/>
    <n v="257"/>
    <n v="397"/>
    <x v="93"/>
    <n v="54683"/>
    <x v="79"/>
    <x v="0"/>
    <x v="0"/>
    <n v="0.1439786294499264"/>
  </r>
  <r>
    <x v="94"/>
    <x v="0"/>
    <d v="2024-03-22T00:00:00"/>
    <x v="1"/>
    <x v="0"/>
    <x v="92"/>
    <n v="484"/>
    <n v="193"/>
    <x v="94"/>
    <n v="18091"/>
    <x v="80"/>
    <x v="5"/>
    <x v="2"/>
    <n v="0.14130742382794076"/>
  </r>
  <r>
    <x v="95"/>
    <x v="1"/>
    <d v="2024-03-16T00:00:00"/>
    <x v="1"/>
    <x v="3"/>
    <x v="93"/>
    <n v="292"/>
    <n v="90"/>
    <x v="95"/>
    <n v="54626"/>
    <x v="81"/>
    <x v="0"/>
    <x v="0"/>
    <n v="0.13528464682326713"/>
  </r>
  <r>
    <x v="96"/>
    <x v="0"/>
    <d v="2024-01-26T00:00:00"/>
    <x v="0"/>
    <x v="5"/>
    <x v="94"/>
    <n v="431"/>
    <n v="97"/>
    <x v="96"/>
    <n v="29729"/>
    <x v="44"/>
    <x v="1"/>
    <x v="1"/>
    <n v="0.10550008380623997"/>
  </r>
  <r>
    <x v="97"/>
    <x v="1"/>
    <d v="2024-03-15T00:00:00"/>
    <x v="1"/>
    <x v="6"/>
    <x v="95"/>
    <n v="433"/>
    <n v="237"/>
    <x v="97"/>
    <n v="23885"/>
    <x v="70"/>
    <x v="4"/>
    <x v="0"/>
    <n v="9.4690354648038683E-2"/>
  </r>
  <r>
    <x v="98"/>
    <x v="1"/>
    <d v="2024-10-15T00:00:00"/>
    <x v="0"/>
    <x v="3"/>
    <x v="96"/>
    <n v="481"/>
    <n v="356"/>
    <x v="98"/>
    <n v="63111"/>
    <x v="82"/>
    <x v="5"/>
    <x v="0"/>
    <n v="6.934441139598338E-2"/>
  </r>
  <r>
    <x v="99"/>
    <x v="0"/>
    <d v="2024-07-21T00:00:00"/>
    <x v="0"/>
    <x v="0"/>
    <x v="97"/>
    <n v="415"/>
    <n v="218"/>
    <x v="99"/>
    <n v="37073"/>
    <x v="83"/>
    <x v="1"/>
    <x v="1"/>
    <n v="0.10077583818232197"/>
  </r>
  <r>
    <x v="100"/>
    <x v="1"/>
    <d v="2024-10-12T00:00:00"/>
    <x v="0"/>
    <x v="6"/>
    <x v="98"/>
    <n v="386"/>
    <n v="175"/>
    <x v="100"/>
    <n v="38508"/>
    <x v="84"/>
    <x v="5"/>
    <x v="0"/>
    <n v="8.2866791077934779E-2"/>
  </r>
  <r>
    <x v="101"/>
    <x v="1"/>
    <d v="2024-10-26T00:00:00"/>
    <x v="0"/>
    <x v="0"/>
    <x v="99"/>
    <n v="293"/>
    <n v="115"/>
    <x v="101"/>
    <n v="46386"/>
    <x v="85"/>
    <x v="5"/>
    <x v="0"/>
    <n v="0.14485195154777927"/>
  </r>
  <r>
    <x v="102"/>
    <x v="0"/>
    <d v="2024-02-14T00:00:00"/>
    <x v="0"/>
    <x v="4"/>
    <x v="100"/>
    <n v="112"/>
    <n v="181"/>
    <x v="102"/>
    <n v="55742"/>
    <x v="86"/>
    <x v="0"/>
    <x v="0"/>
    <n v="6.6614370881706936E-2"/>
  </r>
  <r>
    <x v="103"/>
    <x v="1"/>
    <d v="2024-05-01T00:00:00"/>
    <x v="1"/>
    <x v="5"/>
    <x v="101"/>
    <n v="447"/>
    <n v="183"/>
    <x v="103"/>
    <n v="32877"/>
    <x v="87"/>
    <x v="4"/>
    <x v="0"/>
    <n v="8.8705674736667947E-2"/>
  </r>
  <r>
    <x v="104"/>
    <x v="1"/>
    <d v="2024-09-18T00:00:00"/>
    <x v="0"/>
    <x v="0"/>
    <x v="102"/>
    <n v="265"/>
    <n v="91"/>
    <x v="104"/>
    <n v="28924"/>
    <x v="0"/>
    <x v="5"/>
    <x v="0"/>
    <n v="6.2084853138798232E-2"/>
  </r>
  <r>
    <x v="105"/>
    <x v="1"/>
    <d v="2025-01-20T00:00:00"/>
    <x v="1"/>
    <x v="2"/>
    <x v="103"/>
    <n v="272"/>
    <n v="57"/>
    <x v="105"/>
    <n v="46292"/>
    <x v="88"/>
    <x v="0"/>
    <x v="0"/>
    <n v="0.23193025217961938"/>
  </r>
  <r>
    <x v="106"/>
    <x v="1"/>
    <d v="2025-01-13T00:00:00"/>
    <x v="0"/>
    <x v="4"/>
    <x v="104"/>
    <n v="209"/>
    <n v="278"/>
    <x v="106"/>
    <n v="57084"/>
    <x v="89"/>
    <x v="6"/>
    <x v="1"/>
    <n v="8.6598679355949518E-2"/>
  </r>
  <r>
    <x v="107"/>
    <x v="2"/>
    <d v="2024-09-07T00:00:00"/>
    <x v="2"/>
    <x v="4"/>
    <x v="5"/>
    <n v="342"/>
    <n v="374"/>
    <x v="107"/>
    <n v="48554"/>
    <x v="90"/>
    <x v="7"/>
    <x v="3"/>
    <n v="0.10949965468790931"/>
  </r>
  <r>
    <x v="108"/>
    <x v="0"/>
    <d v="2024-11-21T00:00:00"/>
    <x v="0"/>
    <x v="4"/>
    <x v="105"/>
    <n v="181"/>
    <n v="112"/>
    <x v="108"/>
    <n v="28797"/>
    <x v="91"/>
    <x v="0"/>
    <x v="0"/>
    <n v="0.13838335084182732"/>
  </r>
  <r>
    <x v="109"/>
    <x v="0"/>
    <d v="2024-06-26T00:00:00"/>
    <x v="0"/>
    <x v="2"/>
    <x v="106"/>
    <n v="483"/>
    <n v="336"/>
    <x v="109"/>
    <n v="51485"/>
    <x v="92"/>
    <x v="1"/>
    <x v="1"/>
    <n v="0.16033389770445328"/>
  </r>
  <r>
    <x v="110"/>
    <x v="2"/>
    <d v="2024-07-20T00:00:00"/>
    <x v="2"/>
    <x v="4"/>
    <x v="107"/>
    <n v="299"/>
    <n v="345"/>
    <x v="110"/>
    <n v="43547"/>
    <x v="93"/>
    <x v="7"/>
    <x v="3"/>
    <n v="0.16641897515158721"/>
  </r>
  <r>
    <x v="111"/>
    <x v="0"/>
    <d v="2025-02-16T00:00:00"/>
    <x v="0"/>
    <x v="9"/>
    <x v="108"/>
    <n v="286"/>
    <n v="298"/>
    <x v="111"/>
    <n v="34517"/>
    <x v="94"/>
    <x v="0"/>
    <x v="0"/>
    <n v="5.2993862995521647E-2"/>
  </r>
  <r>
    <x v="112"/>
    <x v="0"/>
    <d v="2024-09-09T00:00:00"/>
    <x v="0"/>
    <x v="2"/>
    <x v="109"/>
    <n v="360"/>
    <n v="180"/>
    <x v="112"/>
    <n v="18796"/>
    <x v="85"/>
    <x v="0"/>
    <x v="0"/>
    <n v="3.9674653122814763E-2"/>
  </r>
  <r>
    <x v="113"/>
    <x v="1"/>
    <d v="2024-07-16T00:00:00"/>
    <x v="0"/>
    <x v="7"/>
    <x v="110"/>
    <n v="273"/>
    <n v="287"/>
    <x v="113"/>
    <n v="25488"/>
    <x v="95"/>
    <x v="5"/>
    <x v="0"/>
    <n v="5.1173769923769923E-2"/>
  </r>
  <r>
    <x v="114"/>
    <x v="0"/>
    <d v="2025-04-15T00:00:00"/>
    <x v="0"/>
    <x v="1"/>
    <x v="111"/>
    <n v="489"/>
    <n v="331"/>
    <x v="114"/>
    <n v="73793"/>
    <x v="96"/>
    <x v="1"/>
    <x v="1"/>
    <n v="8.6978468608031198E-2"/>
  </r>
  <r>
    <x v="115"/>
    <x v="0"/>
    <d v="2025-05-04T00:00:00"/>
    <x v="1"/>
    <x v="2"/>
    <x v="112"/>
    <n v="181"/>
    <n v="361"/>
    <x v="115"/>
    <n v="44875"/>
    <x v="97"/>
    <x v="5"/>
    <x v="2"/>
    <n v="4.9881554861634543E-2"/>
  </r>
  <r>
    <x v="116"/>
    <x v="0"/>
    <d v="2024-02-18T00:00:00"/>
    <x v="1"/>
    <x v="8"/>
    <x v="113"/>
    <n v="215"/>
    <n v="332"/>
    <x v="116"/>
    <n v="36118"/>
    <x v="39"/>
    <x v="5"/>
    <x v="2"/>
    <n v="3.4977365592309385E-2"/>
  </r>
  <r>
    <x v="117"/>
    <x v="1"/>
    <d v="2024-05-16T00:00:00"/>
    <x v="1"/>
    <x v="4"/>
    <x v="114"/>
    <n v="124"/>
    <n v="99"/>
    <x v="117"/>
    <n v="34790"/>
    <x v="36"/>
    <x v="4"/>
    <x v="0"/>
    <n v="4.1192869195216787E-2"/>
  </r>
  <r>
    <x v="118"/>
    <x v="1"/>
    <d v="2025-05-29T00:00:00"/>
    <x v="1"/>
    <x v="4"/>
    <x v="115"/>
    <n v="322"/>
    <n v="114"/>
    <x v="118"/>
    <n v="52165"/>
    <x v="98"/>
    <x v="2"/>
    <x v="0"/>
    <n v="5.7963823356939871E-2"/>
  </r>
  <r>
    <x v="119"/>
    <x v="0"/>
    <d v="2025-01-17T00:00:00"/>
    <x v="0"/>
    <x v="7"/>
    <x v="116"/>
    <n v="126"/>
    <n v="140"/>
    <x v="119"/>
    <n v="46834"/>
    <x v="99"/>
    <x v="1"/>
    <x v="1"/>
    <n v="4.7099090384865788E-2"/>
  </r>
  <r>
    <x v="120"/>
    <x v="0"/>
    <d v="2025-04-30T00:00:00"/>
    <x v="1"/>
    <x v="2"/>
    <x v="117"/>
    <n v="459"/>
    <n v="229"/>
    <x v="120"/>
    <n v="39768"/>
    <x v="4"/>
    <x v="5"/>
    <x v="2"/>
    <n v="9.3980281287635997E-2"/>
  </r>
  <r>
    <x v="121"/>
    <x v="1"/>
    <d v="2024-02-24T00:00:00"/>
    <x v="1"/>
    <x v="4"/>
    <x v="118"/>
    <n v="463"/>
    <n v="360"/>
    <x v="121"/>
    <n v="24279"/>
    <x v="20"/>
    <x v="4"/>
    <x v="0"/>
    <n v="3.5847516903707161E-2"/>
  </r>
  <r>
    <x v="122"/>
    <x v="2"/>
    <d v="2024-05-12T00:00:00"/>
    <x v="0"/>
    <x v="8"/>
    <x v="119"/>
    <n v="467"/>
    <n v="94"/>
    <x v="122"/>
    <n v="49762"/>
    <x v="100"/>
    <x v="3"/>
    <x v="1"/>
    <n v="5.8764788517847777E-2"/>
  </r>
  <r>
    <x v="123"/>
    <x v="1"/>
    <d v="2024-05-09T00:00:00"/>
    <x v="1"/>
    <x v="2"/>
    <x v="120"/>
    <n v="423"/>
    <n v="259"/>
    <x v="123"/>
    <n v="44293"/>
    <x v="101"/>
    <x v="0"/>
    <x v="0"/>
    <n v="8.5455879813503707E-2"/>
  </r>
  <r>
    <x v="124"/>
    <x v="1"/>
    <d v="2024-11-06T00:00:00"/>
    <x v="0"/>
    <x v="8"/>
    <x v="121"/>
    <n v="381"/>
    <n v="345"/>
    <x v="124"/>
    <n v="22558"/>
    <x v="102"/>
    <x v="5"/>
    <x v="0"/>
    <n v="0.11041472996071611"/>
  </r>
  <r>
    <x v="125"/>
    <x v="1"/>
    <d v="2024-01-04T00:00:00"/>
    <x v="1"/>
    <x v="5"/>
    <x v="122"/>
    <n v="476"/>
    <n v="277"/>
    <x v="125"/>
    <n v="21061"/>
    <x v="103"/>
    <x v="2"/>
    <x v="0"/>
    <n v="7.064131830503638E-2"/>
  </r>
  <r>
    <x v="126"/>
    <x v="1"/>
    <d v="2024-01-28T00:00:00"/>
    <x v="0"/>
    <x v="4"/>
    <x v="123"/>
    <n v="265"/>
    <n v="137"/>
    <x v="126"/>
    <n v="59729"/>
    <x v="104"/>
    <x v="6"/>
    <x v="1"/>
    <n v="3.4738711788351875E-2"/>
  </r>
  <r>
    <x v="127"/>
    <x v="0"/>
    <d v="2024-02-22T00:00:00"/>
    <x v="0"/>
    <x v="2"/>
    <x v="124"/>
    <n v="394"/>
    <n v="279"/>
    <x v="127"/>
    <n v="51330"/>
    <x v="98"/>
    <x v="0"/>
    <x v="0"/>
    <n v="0.10461100954702417"/>
  </r>
  <r>
    <x v="128"/>
    <x v="1"/>
    <d v="2025-07-01T00:00:00"/>
    <x v="1"/>
    <x v="1"/>
    <x v="125"/>
    <n v="424"/>
    <n v="267"/>
    <x v="128"/>
    <n v="37691"/>
    <x v="105"/>
    <x v="4"/>
    <x v="0"/>
    <n v="7.9993453221219743E-2"/>
  </r>
  <r>
    <x v="129"/>
    <x v="2"/>
    <d v="2024-01-10T00:00:00"/>
    <x v="0"/>
    <x v="1"/>
    <x v="126"/>
    <n v="190"/>
    <n v="233"/>
    <x v="129"/>
    <n v="51449"/>
    <x v="58"/>
    <x v="3"/>
    <x v="1"/>
    <n v="2.811915575741384E-2"/>
  </r>
  <r>
    <x v="130"/>
    <x v="1"/>
    <d v="2025-03-20T00:00:00"/>
    <x v="0"/>
    <x v="9"/>
    <x v="127"/>
    <n v="362"/>
    <n v="371"/>
    <x v="130"/>
    <n v="66659"/>
    <x v="58"/>
    <x v="6"/>
    <x v="1"/>
    <n v="5.4592988710635768E-2"/>
  </r>
  <r>
    <x v="131"/>
    <x v="1"/>
    <d v="2024-09-28T00:00:00"/>
    <x v="0"/>
    <x v="5"/>
    <x v="128"/>
    <n v="420"/>
    <n v="194"/>
    <x v="131"/>
    <n v="20685"/>
    <x v="45"/>
    <x v="5"/>
    <x v="0"/>
    <n v="9.2466575934672959E-2"/>
  </r>
  <r>
    <x v="132"/>
    <x v="2"/>
    <d v="2024-01-27T00:00:00"/>
    <x v="0"/>
    <x v="9"/>
    <x v="129"/>
    <n v="262"/>
    <n v="218"/>
    <x v="132"/>
    <n v="44846"/>
    <x v="106"/>
    <x v="3"/>
    <x v="1"/>
    <n v="4.7508511296812134E-2"/>
  </r>
  <r>
    <x v="133"/>
    <x v="1"/>
    <d v="2025-05-15T00:00:00"/>
    <x v="0"/>
    <x v="2"/>
    <x v="130"/>
    <n v="433"/>
    <n v="249"/>
    <x v="133"/>
    <n v="47066"/>
    <x v="107"/>
    <x v="5"/>
    <x v="0"/>
    <n v="7.4861184558434685E-2"/>
  </r>
  <r>
    <x v="134"/>
    <x v="1"/>
    <d v="2024-10-04T00:00:00"/>
    <x v="1"/>
    <x v="1"/>
    <x v="131"/>
    <n v="380"/>
    <n v="393"/>
    <x v="134"/>
    <n v="71794"/>
    <x v="108"/>
    <x v="2"/>
    <x v="0"/>
    <n v="9.6834214933149046E-2"/>
  </r>
  <r>
    <x v="135"/>
    <x v="1"/>
    <d v="2024-11-19T00:00:00"/>
    <x v="0"/>
    <x v="7"/>
    <x v="132"/>
    <n v="271"/>
    <n v="275"/>
    <x v="135"/>
    <n v="37034"/>
    <x v="109"/>
    <x v="5"/>
    <x v="0"/>
    <n v="0.18723441538528934"/>
  </r>
  <r>
    <x v="136"/>
    <x v="1"/>
    <d v="2024-04-05T00:00:00"/>
    <x v="1"/>
    <x v="2"/>
    <x v="133"/>
    <n v="175"/>
    <n v="307"/>
    <x v="136"/>
    <n v="43412"/>
    <x v="110"/>
    <x v="0"/>
    <x v="0"/>
    <n v="0.16610252187966945"/>
  </r>
  <r>
    <x v="137"/>
    <x v="1"/>
    <d v="2024-11-28T00:00:00"/>
    <x v="1"/>
    <x v="2"/>
    <x v="134"/>
    <n v="100"/>
    <n v="116"/>
    <x v="137"/>
    <n v="72704"/>
    <x v="100"/>
    <x v="4"/>
    <x v="0"/>
    <n v="2.7809319322005904E-2"/>
  </r>
  <r>
    <x v="138"/>
    <x v="1"/>
    <d v="2025-03-09T00:00:00"/>
    <x v="0"/>
    <x v="9"/>
    <x v="135"/>
    <n v="215"/>
    <n v="264"/>
    <x v="138"/>
    <n v="70203"/>
    <x v="32"/>
    <x v="5"/>
    <x v="0"/>
    <n v="0.11645414595490239"/>
  </r>
  <r>
    <x v="139"/>
    <x v="1"/>
    <d v="2024-08-27T00:00:00"/>
    <x v="1"/>
    <x v="2"/>
    <x v="136"/>
    <n v="357"/>
    <n v="348"/>
    <x v="139"/>
    <n v="70206"/>
    <x v="100"/>
    <x v="2"/>
    <x v="0"/>
    <n v="8.702596166915863E-2"/>
  </r>
  <r>
    <x v="140"/>
    <x v="2"/>
    <d v="2024-10-01T00:00:00"/>
    <x v="2"/>
    <x v="1"/>
    <x v="137"/>
    <n v="334"/>
    <n v="218"/>
    <x v="140"/>
    <n v="24792"/>
    <x v="1"/>
    <x v="7"/>
    <x v="3"/>
    <n v="7.0594928198320889E-2"/>
  </r>
  <r>
    <x v="141"/>
    <x v="0"/>
    <d v="2024-12-21T00:00:00"/>
    <x v="1"/>
    <x v="2"/>
    <x v="65"/>
    <n v="398"/>
    <n v="163"/>
    <x v="141"/>
    <n v="48760"/>
    <x v="43"/>
    <x v="5"/>
    <x v="2"/>
    <n v="0.11731037798484398"/>
  </r>
  <r>
    <x v="142"/>
    <x v="0"/>
    <d v="2024-06-17T00:00:00"/>
    <x v="0"/>
    <x v="0"/>
    <x v="138"/>
    <n v="471"/>
    <n v="156"/>
    <x v="142"/>
    <n v="25678"/>
    <x v="111"/>
    <x v="1"/>
    <x v="1"/>
    <n v="9.2634518149573616E-2"/>
  </r>
  <r>
    <x v="143"/>
    <x v="0"/>
    <d v="2025-02-14T00:00:00"/>
    <x v="0"/>
    <x v="0"/>
    <x v="139"/>
    <n v="373"/>
    <n v="291"/>
    <x v="143"/>
    <n v="28002"/>
    <x v="78"/>
    <x v="0"/>
    <x v="0"/>
    <n v="6.0370736430199488E-2"/>
  </r>
  <r>
    <x v="144"/>
    <x v="1"/>
    <d v="2025-05-28T00:00:00"/>
    <x v="1"/>
    <x v="7"/>
    <x v="140"/>
    <n v="273"/>
    <n v="122"/>
    <x v="144"/>
    <n v="23878"/>
    <x v="99"/>
    <x v="2"/>
    <x v="0"/>
    <n v="0.11477740733477153"/>
  </r>
  <r>
    <x v="145"/>
    <x v="0"/>
    <d v="2025-05-22T00:00:00"/>
    <x v="0"/>
    <x v="0"/>
    <x v="141"/>
    <n v="318"/>
    <n v="380"/>
    <x v="145"/>
    <n v="64474"/>
    <x v="97"/>
    <x v="1"/>
    <x v="1"/>
    <n v="8.1504318676747664E-2"/>
  </r>
  <r>
    <x v="146"/>
    <x v="1"/>
    <d v="2024-01-21T00:00:00"/>
    <x v="1"/>
    <x v="0"/>
    <x v="142"/>
    <n v="136"/>
    <n v="302"/>
    <x v="146"/>
    <n v="22133"/>
    <x v="112"/>
    <x v="2"/>
    <x v="0"/>
    <n v="7.1988159338556151E-2"/>
  </r>
  <r>
    <x v="147"/>
    <x v="1"/>
    <d v="2025-02-08T00:00:00"/>
    <x v="1"/>
    <x v="9"/>
    <x v="143"/>
    <n v="334"/>
    <n v="56"/>
    <x v="147"/>
    <n v="55534"/>
    <x v="66"/>
    <x v="4"/>
    <x v="0"/>
    <n v="0.10708707332819627"/>
  </r>
  <r>
    <x v="148"/>
    <x v="1"/>
    <d v="2025-04-13T00:00:00"/>
    <x v="0"/>
    <x v="8"/>
    <x v="144"/>
    <n v="408"/>
    <n v="338"/>
    <x v="148"/>
    <n v="32621"/>
    <x v="113"/>
    <x v="6"/>
    <x v="1"/>
    <n v="8.1341895638137346E-2"/>
  </r>
  <r>
    <x v="149"/>
    <x v="1"/>
    <d v="2024-05-30T00:00:00"/>
    <x v="1"/>
    <x v="9"/>
    <x v="145"/>
    <n v="207"/>
    <n v="363"/>
    <x v="149"/>
    <n v="32925"/>
    <x v="10"/>
    <x v="2"/>
    <x v="0"/>
    <n v="9.4928992718046723E-2"/>
  </r>
  <r>
    <x v="150"/>
    <x v="0"/>
    <d v="2024-08-12T00:00:00"/>
    <x v="1"/>
    <x v="0"/>
    <x v="146"/>
    <n v="400"/>
    <n v="280"/>
    <x v="150"/>
    <n v="58329"/>
    <x v="114"/>
    <x v="5"/>
    <x v="2"/>
    <n v="6.9360859297630834E-2"/>
  </r>
  <r>
    <x v="151"/>
    <x v="0"/>
    <d v="2024-09-27T00:00:00"/>
    <x v="0"/>
    <x v="0"/>
    <x v="147"/>
    <n v="116"/>
    <n v="195"/>
    <x v="151"/>
    <n v="62629"/>
    <x v="3"/>
    <x v="1"/>
    <x v="1"/>
    <n v="9.2425876010781671E-2"/>
  </r>
  <r>
    <x v="152"/>
    <x v="1"/>
    <d v="2025-06-11T00:00:00"/>
    <x v="1"/>
    <x v="1"/>
    <x v="148"/>
    <n v="453"/>
    <n v="63"/>
    <x v="152"/>
    <n v="72934"/>
    <x v="48"/>
    <x v="4"/>
    <x v="0"/>
    <n v="8.2469701307376658E-2"/>
  </r>
  <r>
    <x v="153"/>
    <x v="0"/>
    <d v="2024-11-19T00:00:00"/>
    <x v="0"/>
    <x v="5"/>
    <x v="149"/>
    <n v="272"/>
    <n v="294"/>
    <x v="153"/>
    <n v="24732"/>
    <x v="43"/>
    <x v="1"/>
    <x v="1"/>
    <n v="5.9585542168674697E-2"/>
  </r>
  <r>
    <x v="154"/>
    <x v="0"/>
    <d v="2024-04-25T00:00:00"/>
    <x v="0"/>
    <x v="4"/>
    <x v="150"/>
    <n v="483"/>
    <n v="227"/>
    <x v="154"/>
    <n v="26393"/>
    <x v="100"/>
    <x v="0"/>
    <x v="0"/>
    <n v="0.10400389436534015"/>
  </r>
  <r>
    <x v="155"/>
    <x v="2"/>
    <d v="2024-09-03T00:00:00"/>
    <x v="2"/>
    <x v="5"/>
    <x v="151"/>
    <n v="494"/>
    <n v="129"/>
    <x v="155"/>
    <n v="44090"/>
    <x v="20"/>
    <x v="7"/>
    <x v="3"/>
    <n v="3.8832755240536872E-2"/>
  </r>
  <r>
    <x v="156"/>
    <x v="2"/>
    <d v="2025-03-02T00:00:00"/>
    <x v="0"/>
    <x v="8"/>
    <x v="152"/>
    <n v="185"/>
    <n v="162"/>
    <x v="156"/>
    <n v="21342"/>
    <x v="115"/>
    <x v="3"/>
    <x v="1"/>
    <n v="0.19390491670052823"/>
  </r>
  <r>
    <x v="157"/>
    <x v="1"/>
    <d v="2025-03-21T00:00:00"/>
    <x v="1"/>
    <x v="2"/>
    <x v="153"/>
    <n v="427"/>
    <n v="395"/>
    <x v="157"/>
    <n v="29259"/>
    <x v="116"/>
    <x v="4"/>
    <x v="0"/>
    <n v="0.16116683482699271"/>
  </r>
  <r>
    <x v="158"/>
    <x v="0"/>
    <d v="2024-04-12T00:00:00"/>
    <x v="1"/>
    <x v="6"/>
    <x v="154"/>
    <n v="352"/>
    <n v="202"/>
    <x v="158"/>
    <n v="69941"/>
    <x v="114"/>
    <x v="5"/>
    <x v="2"/>
    <n v="8.3133241487896081E-2"/>
  </r>
  <r>
    <x v="159"/>
    <x v="2"/>
    <d v="2024-02-08T00:00:00"/>
    <x v="2"/>
    <x v="7"/>
    <x v="155"/>
    <n v="298"/>
    <n v="122"/>
    <x v="159"/>
    <n v="74305"/>
    <x v="117"/>
    <x v="7"/>
    <x v="3"/>
    <n v="4.9951325040562468E-2"/>
  </r>
  <r>
    <x v="160"/>
    <x v="0"/>
    <d v="2025-05-26T00:00:00"/>
    <x v="0"/>
    <x v="0"/>
    <x v="156"/>
    <n v="148"/>
    <n v="310"/>
    <x v="160"/>
    <n v="58103"/>
    <x v="38"/>
    <x v="1"/>
    <x v="1"/>
    <n v="0.1552751489660007"/>
  </r>
  <r>
    <x v="161"/>
    <x v="0"/>
    <d v="2024-11-14T00:00:00"/>
    <x v="0"/>
    <x v="4"/>
    <x v="55"/>
    <n v="318"/>
    <n v="118"/>
    <x v="161"/>
    <n v="20873"/>
    <x v="118"/>
    <x v="0"/>
    <x v="0"/>
    <n v="0.11258173796580792"/>
  </r>
  <r>
    <x v="162"/>
    <x v="2"/>
    <d v="2024-08-09T00:00:00"/>
    <x v="2"/>
    <x v="8"/>
    <x v="157"/>
    <n v="154"/>
    <n v="204"/>
    <x v="162"/>
    <n v="44633"/>
    <x v="119"/>
    <x v="7"/>
    <x v="3"/>
    <n v="0.11046681895390383"/>
  </r>
  <r>
    <x v="163"/>
    <x v="0"/>
    <d v="2025-06-27T00:00:00"/>
    <x v="1"/>
    <x v="5"/>
    <x v="158"/>
    <n v="332"/>
    <n v="163"/>
    <x v="163"/>
    <n v="57922"/>
    <x v="120"/>
    <x v="5"/>
    <x v="2"/>
    <n v="3.5523669554455448E-2"/>
  </r>
  <r>
    <x v="164"/>
    <x v="0"/>
    <d v="2024-05-08T00:00:00"/>
    <x v="1"/>
    <x v="4"/>
    <x v="0"/>
    <n v="220"/>
    <n v="280"/>
    <x v="164"/>
    <n v="50562"/>
    <x v="82"/>
    <x v="5"/>
    <x v="2"/>
    <n v="0.10652531529884847"/>
  </r>
  <r>
    <x v="165"/>
    <x v="0"/>
    <d v="2024-04-05T00:00:00"/>
    <x v="0"/>
    <x v="2"/>
    <x v="159"/>
    <n v="352"/>
    <n v="176"/>
    <x v="165"/>
    <n v="34168"/>
    <x v="121"/>
    <x v="1"/>
    <x v="1"/>
    <n v="9.2244407295403744E-2"/>
  </r>
  <r>
    <x v="166"/>
    <x v="2"/>
    <d v="2025-01-27T00:00:00"/>
    <x v="0"/>
    <x v="3"/>
    <x v="160"/>
    <n v="423"/>
    <n v="93"/>
    <x v="166"/>
    <n v="73144"/>
    <x v="76"/>
    <x v="3"/>
    <x v="1"/>
    <n v="0.1612578785034196"/>
  </r>
  <r>
    <x v="167"/>
    <x v="0"/>
    <d v="2024-04-03T00:00:00"/>
    <x v="0"/>
    <x v="7"/>
    <x v="161"/>
    <n v="339"/>
    <n v="323"/>
    <x v="167"/>
    <n v="68511"/>
    <x v="2"/>
    <x v="0"/>
    <x v="0"/>
    <n v="0.10143081434961637"/>
  </r>
  <r>
    <x v="168"/>
    <x v="2"/>
    <d v="2025-01-03T00:00:00"/>
    <x v="0"/>
    <x v="2"/>
    <x v="162"/>
    <n v="484"/>
    <n v="144"/>
    <x v="168"/>
    <n v="59386"/>
    <x v="122"/>
    <x v="3"/>
    <x v="1"/>
    <n v="8.4528099363643333E-2"/>
  </r>
  <r>
    <x v="169"/>
    <x v="1"/>
    <d v="2024-11-23T00:00:00"/>
    <x v="0"/>
    <x v="2"/>
    <x v="163"/>
    <n v="371"/>
    <n v="329"/>
    <x v="169"/>
    <n v="68956"/>
    <x v="51"/>
    <x v="6"/>
    <x v="1"/>
    <n v="0.15513030574705536"/>
  </r>
  <r>
    <x v="170"/>
    <x v="0"/>
    <d v="2024-09-01T00:00:00"/>
    <x v="1"/>
    <x v="3"/>
    <x v="164"/>
    <n v="150"/>
    <n v="75"/>
    <x v="170"/>
    <n v="57549"/>
    <x v="64"/>
    <x v="5"/>
    <x v="2"/>
    <n v="9.8031707130274953E-2"/>
  </r>
  <r>
    <x v="171"/>
    <x v="2"/>
    <d v="2024-04-18T00:00:00"/>
    <x v="0"/>
    <x v="1"/>
    <x v="165"/>
    <n v="293"/>
    <n v="91"/>
    <x v="171"/>
    <n v="28924"/>
    <x v="123"/>
    <x v="3"/>
    <x v="1"/>
    <n v="0.16447098339242397"/>
  </r>
  <r>
    <x v="172"/>
    <x v="0"/>
    <d v="2024-06-04T00:00:00"/>
    <x v="0"/>
    <x v="6"/>
    <x v="166"/>
    <n v="151"/>
    <n v="249"/>
    <x v="172"/>
    <n v="63136"/>
    <x v="20"/>
    <x v="1"/>
    <x v="1"/>
    <n v="0.10077178019329269"/>
  </r>
  <r>
    <x v="173"/>
    <x v="2"/>
    <d v="2025-04-02T00:00:00"/>
    <x v="0"/>
    <x v="3"/>
    <x v="167"/>
    <n v="455"/>
    <n v="378"/>
    <x v="173"/>
    <n v="58504"/>
    <x v="124"/>
    <x v="3"/>
    <x v="1"/>
    <n v="0.10256458679558846"/>
  </r>
  <r>
    <x v="174"/>
    <x v="1"/>
    <d v="2025-04-01T00:00:00"/>
    <x v="1"/>
    <x v="4"/>
    <x v="168"/>
    <n v="143"/>
    <n v="315"/>
    <x v="174"/>
    <n v="29818"/>
    <x v="79"/>
    <x v="4"/>
    <x v="0"/>
    <n v="5.6980732739746021E-2"/>
  </r>
  <r>
    <x v="175"/>
    <x v="0"/>
    <d v="2024-07-02T00:00:00"/>
    <x v="0"/>
    <x v="7"/>
    <x v="169"/>
    <n v="371"/>
    <n v="76"/>
    <x v="175"/>
    <n v="26906"/>
    <x v="125"/>
    <x v="0"/>
    <x v="0"/>
    <n v="8.4227733207149463E-2"/>
  </r>
  <r>
    <x v="176"/>
    <x v="1"/>
    <d v="2024-11-10T00:00:00"/>
    <x v="0"/>
    <x v="1"/>
    <x v="170"/>
    <n v="489"/>
    <n v="302"/>
    <x v="176"/>
    <n v="31861"/>
    <x v="126"/>
    <x v="6"/>
    <x v="1"/>
    <n v="0.1728980597474592"/>
  </r>
  <r>
    <x v="177"/>
    <x v="0"/>
    <d v="2024-12-14T00:00:00"/>
    <x v="1"/>
    <x v="8"/>
    <x v="171"/>
    <n v="321"/>
    <n v="289"/>
    <x v="177"/>
    <n v="36337"/>
    <x v="127"/>
    <x v="5"/>
    <x v="2"/>
    <n v="7.3899528727564417E-2"/>
  </r>
  <r>
    <x v="178"/>
    <x v="1"/>
    <d v="2024-11-19T00:00:00"/>
    <x v="0"/>
    <x v="1"/>
    <x v="172"/>
    <n v="353"/>
    <n v="78"/>
    <x v="178"/>
    <n v="69226"/>
    <x v="112"/>
    <x v="6"/>
    <x v="1"/>
    <n v="7.090200025160398E-2"/>
  </r>
  <r>
    <x v="179"/>
    <x v="1"/>
    <d v="2025-04-30T00:00:00"/>
    <x v="1"/>
    <x v="3"/>
    <x v="173"/>
    <n v="275"/>
    <n v="330"/>
    <x v="179"/>
    <n v="33196"/>
    <x v="128"/>
    <x v="2"/>
    <x v="0"/>
    <n v="7.7731488624869283E-2"/>
  </r>
  <r>
    <x v="180"/>
    <x v="1"/>
    <d v="2024-03-19T00:00:00"/>
    <x v="0"/>
    <x v="8"/>
    <x v="174"/>
    <n v="288"/>
    <n v="83"/>
    <x v="180"/>
    <n v="24765"/>
    <x v="129"/>
    <x v="6"/>
    <x v="1"/>
    <n v="4.2982250109049422E-2"/>
  </r>
  <r>
    <x v="181"/>
    <x v="0"/>
    <d v="2024-03-19T00:00:00"/>
    <x v="0"/>
    <x v="8"/>
    <x v="102"/>
    <n v="278"/>
    <n v="255"/>
    <x v="181"/>
    <n v="57922"/>
    <x v="130"/>
    <x v="0"/>
    <x v="0"/>
    <n v="7.2213401079707848E-2"/>
  </r>
  <r>
    <x v="182"/>
    <x v="1"/>
    <d v="2024-07-23T00:00:00"/>
    <x v="0"/>
    <x v="7"/>
    <x v="175"/>
    <n v="398"/>
    <n v="85"/>
    <x v="182"/>
    <n v="58353"/>
    <x v="113"/>
    <x v="6"/>
    <x v="1"/>
    <n v="0.16743869209809265"/>
  </r>
  <r>
    <x v="183"/>
    <x v="1"/>
    <d v="2024-07-13T00:00:00"/>
    <x v="1"/>
    <x v="6"/>
    <x v="176"/>
    <n v="323"/>
    <n v="251"/>
    <x v="183"/>
    <n v="35543"/>
    <x v="33"/>
    <x v="2"/>
    <x v="0"/>
    <n v="6.2648374965860634E-2"/>
  </r>
  <r>
    <x v="184"/>
    <x v="2"/>
    <d v="2025-04-22T00:00:00"/>
    <x v="2"/>
    <x v="2"/>
    <x v="177"/>
    <n v="297"/>
    <n v="235"/>
    <x v="184"/>
    <n v="33058"/>
    <x v="114"/>
    <x v="7"/>
    <x v="3"/>
    <n v="8.5966298051606105E-2"/>
  </r>
  <r>
    <x v="185"/>
    <x v="1"/>
    <d v="2024-06-16T00:00:00"/>
    <x v="1"/>
    <x v="1"/>
    <x v="178"/>
    <n v="312"/>
    <n v="254"/>
    <x v="185"/>
    <n v="29453"/>
    <x v="29"/>
    <x v="2"/>
    <x v="0"/>
    <n v="0.22967524699836073"/>
  </r>
  <r>
    <x v="186"/>
    <x v="2"/>
    <d v="2025-05-18T00:00:00"/>
    <x v="2"/>
    <x v="3"/>
    <x v="179"/>
    <n v="319"/>
    <n v="350"/>
    <x v="186"/>
    <n v="55162"/>
    <x v="131"/>
    <x v="7"/>
    <x v="3"/>
    <n v="0.12920396165457337"/>
  </r>
  <r>
    <x v="187"/>
    <x v="0"/>
    <d v="2025-06-06T00:00:00"/>
    <x v="0"/>
    <x v="3"/>
    <x v="180"/>
    <n v="171"/>
    <n v="274"/>
    <x v="187"/>
    <n v="65431"/>
    <x v="120"/>
    <x v="1"/>
    <x v="1"/>
    <n v="9.8222596516111871E-2"/>
  </r>
  <r>
    <x v="188"/>
    <x v="2"/>
    <d v="2025-02-20T00:00:00"/>
    <x v="2"/>
    <x v="6"/>
    <x v="181"/>
    <n v="262"/>
    <n v="365"/>
    <x v="188"/>
    <n v="40314"/>
    <x v="116"/>
    <x v="7"/>
    <x v="3"/>
    <n v="0.11349824183418362"/>
  </r>
  <r>
    <x v="189"/>
    <x v="0"/>
    <d v="2025-01-16T00:00:00"/>
    <x v="0"/>
    <x v="4"/>
    <x v="182"/>
    <n v="282"/>
    <n v="148"/>
    <x v="189"/>
    <n v="49583"/>
    <x v="80"/>
    <x v="0"/>
    <x v="0"/>
    <n v="9.4251731312692155E-2"/>
  </r>
  <r>
    <x v="190"/>
    <x v="2"/>
    <d v="2024-02-24T00:00:00"/>
    <x v="2"/>
    <x v="0"/>
    <x v="183"/>
    <n v="307"/>
    <n v="58"/>
    <x v="190"/>
    <n v="37214"/>
    <x v="132"/>
    <x v="7"/>
    <x v="3"/>
    <n v="0.10173025732031943"/>
  </r>
  <r>
    <x v="191"/>
    <x v="1"/>
    <d v="2024-09-16T00:00:00"/>
    <x v="1"/>
    <x v="5"/>
    <x v="184"/>
    <n v="434"/>
    <n v="156"/>
    <x v="191"/>
    <n v="52431"/>
    <x v="102"/>
    <x v="4"/>
    <x v="0"/>
    <n v="8.9237069349238848E-2"/>
  </r>
  <r>
    <x v="192"/>
    <x v="2"/>
    <d v="2024-06-04T00:00:00"/>
    <x v="2"/>
    <x v="3"/>
    <x v="185"/>
    <n v="431"/>
    <n v="83"/>
    <x v="192"/>
    <n v="47305"/>
    <x v="24"/>
    <x v="7"/>
    <x v="3"/>
    <n v="6.5015829941203071E-2"/>
  </r>
  <r>
    <x v="193"/>
    <x v="1"/>
    <d v="2024-05-10T00:00:00"/>
    <x v="1"/>
    <x v="1"/>
    <x v="186"/>
    <n v="111"/>
    <n v="399"/>
    <x v="193"/>
    <n v="69512"/>
    <x v="124"/>
    <x v="2"/>
    <x v="0"/>
    <n v="5.6436966727204191E-2"/>
  </r>
  <r>
    <x v="194"/>
    <x v="2"/>
    <d v="2024-01-14T00:00:00"/>
    <x v="0"/>
    <x v="2"/>
    <x v="187"/>
    <n v="280"/>
    <n v="399"/>
    <x v="194"/>
    <n v="52605"/>
    <x v="12"/>
    <x v="3"/>
    <x v="1"/>
    <n v="0.10713930842607314"/>
  </r>
  <r>
    <x v="195"/>
    <x v="0"/>
    <d v="2025-01-12T00:00:00"/>
    <x v="0"/>
    <x v="8"/>
    <x v="188"/>
    <n v="487"/>
    <n v="272"/>
    <x v="195"/>
    <n v="48084"/>
    <x v="3"/>
    <x v="0"/>
    <x v="0"/>
    <n v="5.1833640647408315E-2"/>
  </r>
  <r>
    <x v="196"/>
    <x v="2"/>
    <d v="2024-12-08T00:00:00"/>
    <x v="0"/>
    <x v="7"/>
    <x v="189"/>
    <n v="396"/>
    <n v="312"/>
    <x v="196"/>
    <n v="46102"/>
    <x v="49"/>
    <x v="3"/>
    <x v="1"/>
    <n v="3.5821698002251455E-2"/>
  </r>
  <r>
    <x v="197"/>
    <x v="1"/>
    <d v="2025-02-01T00:00:00"/>
    <x v="1"/>
    <x v="7"/>
    <x v="190"/>
    <n v="265"/>
    <n v="190"/>
    <x v="197"/>
    <n v="72428"/>
    <x v="133"/>
    <x v="0"/>
    <x v="0"/>
    <n v="3.5034029141734799E-2"/>
  </r>
  <r>
    <x v="198"/>
    <x v="1"/>
    <d v="2024-07-11T00:00:00"/>
    <x v="1"/>
    <x v="6"/>
    <x v="82"/>
    <n v="179"/>
    <n v="175"/>
    <x v="198"/>
    <n v="70120"/>
    <x v="134"/>
    <x v="0"/>
    <x v="0"/>
    <n v="0.13946227759085811"/>
  </r>
  <r>
    <x v="199"/>
    <x v="1"/>
    <d v="2024-03-18T00:00:00"/>
    <x v="0"/>
    <x v="2"/>
    <x v="191"/>
    <n v="420"/>
    <n v="94"/>
    <x v="199"/>
    <n v="57391"/>
    <x v="107"/>
    <x v="5"/>
    <x v="0"/>
    <n v="4.5247823769763724E-2"/>
  </r>
  <r>
    <x v="200"/>
    <x v="1"/>
    <d v="2024-09-12T00:00:00"/>
    <x v="1"/>
    <x v="3"/>
    <x v="192"/>
    <n v="223"/>
    <n v="171"/>
    <x v="200"/>
    <n v="69988"/>
    <x v="81"/>
    <x v="2"/>
    <x v="0"/>
    <n v="6.2974139146620034E-2"/>
  </r>
  <r>
    <x v="201"/>
    <x v="1"/>
    <d v="2024-01-11T00:00:00"/>
    <x v="1"/>
    <x v="3"/>
    <x v="193"/>
    <n v="141"/>
    <n v="206"/>
    <x v="201"/>
    <n v="30582"/>
    <x v="70"/>
    <x v="0"/>
    <x v="0"/>
    <n v="0.10784235029699792"/>
  </r>
  <r>
    <x v="202"/>
    <x v="0"/>
    <d v="2024-10-06T00:00:00"/>
    <x v="0"/>
    <x v="7"/>
    <x v="194"/>
    <n v="389"/>
    <n v="92"/>
    <x v="202"/>
    <n v="25347"/>
    <x v="77"/>
    <x v="1"/>
    <x v="1"/>
    <n v="8.2690258629040073E-2"/>
  </r>
  <r>
    <x v="203"/>
    <x v="1"/>
    <d v="2024-12-30T00:00:00"/>
    <x v="0"/>
    <x v="6"/>
    <x v="195"/>
    <n v="286"/>
    <n v="127"/>
    <x v="203"/>
    <n v="27184"/>
    <x v="24"/>
    <x v="5"/>
    <x v="0"/>
    <n v="9.7836889180216949E-2"/>
  </r>
  <r>
    <x v="204"/>
    <x v="1"/>
    <d v="2025-04-16T00:00:00"/>
    <x v="0"/>
    <x v="3"/>
    <x v="196"/>
    <n v="315"/>
    <n v="120"/>
    <x v="204"/>
    <n v="67886"/>
    <x v="135"/>
    <x v="6"/>
    <x v="1"/>
    <n v="7.7428927315357568E-2"/>
  </r>
  <r>
    <x v="205"/>
    <x v="1"/>
    <d v="2024-08-21T00:00:00"/>
    <x v="1"/>
    <x v="1"/>
    <x v="197"/>
    <n v="476"/>
    <n v="128"/>
    <x v="205"/>
    <n v="40193"/>
    <x v="133"/>
    <x v="4"/>
    <x v="0"/>
    <n v="7.9782521843353188E-2"/>
  </r>
  <r>
    <x v="206"/>
    <x v="1"/>
    <d v="2024-04-05T00:00:00"/>
    <x v="1"/>
    <x v="3"/>
    <x v="198"/>
    <n v="443"/>
    <n v="359"/>
    <x v="206"/>
    <n v="28256"/>
    <x v="136"/>
    <x v="0"/>
    <x v="0"/>
    <n v="7.1022341272152026E-2"/>
  </r>
  <r>
    <x v="207"/>
    <x v="1"/>
    <d v="2025-04-07T00:00:00"/>
    <x v="0"/>
    <x v="8"/>
    <x v="199"/>
    <n v="385"/>
    <n v="344"/>
    <x v="207"/>
    <n v="72595"/>
    <x v="49"/>
    <x v="6"/>
    <x v="1"/>
    <n v="3.9319108127547353E-2"/>
  </r>
  <r>
    <x v="208"/>
    <x v="1"/>
    <d v="2024-07-19T00:00:00"/>
    <x v="1"/>
    <x v="5"/>
    <x v="200"/>
    <n v="126"/>
    <n v="200"/>
    <x v="208"/>
    <n v="44679"/>
    <x v="90"/>
    <x v="4"/>
    <x v="0"/>
    <n v="7.7181741758116915E-2"/>
  </r>
  <r>
    <x v="209"/>
    <x v="1"/>
    <d v="2025-05-03T00:00:00"/>
    <x v="1"/>
    <x v="7"/>
    <x v="201"/>
    <n v="361"/>
    <n v="240"/>
    <x v="209"/>
    <n v="72573"/>
    <x v="38"/>
    <x v="0"/>
    <x v="0"/>
    <n v="3.4110398272247981E-2"/>
  </r>
  <r>
    <x v="210"/>
    <x v="1"/>
    <d v="2024-04-14T00:00:00"/>
    <x v="1"/>
    <x v="0"/>
    <x v="202"/>
    <n v="153"/>
    <n v="81"/>
    <x v="210"/>
    <n v="61033"/>
    <x v="24"/>
    <x v="4"/>
    <x v="0"/>
    <n v="3.1623578076525334E-2"/>
  </r>
  <r>
    <x v="211"/>
    <x v="1"/>
    <d v="2025-06-19T00:00:00"/>
    <x v="1"/>
    <x v="5"/>
    <x v="203"/>
    <n v="452"/>
    <n v="305"/>
    <x v="211"/>
    <n v="63700"/>
    <x v="110"/>
    <x v="4"/>
    <x v="0"/>
    <n v="4.0153279184466734E-2"/>
  </r>
  <r>
    <x v="212"/>
    <x v="0"/>
    <d v="2025-06-24T00:00:00"/>
    <x v="1"/>
    <x v="6"/>
    <x v="204"/>
    <n v="422"/>
    <n v="376"/>
    <x v="212"/>
    <n v="53225"/>
    <x v="25"/>
    <x v="5"/>
    <x v="2"/>
    <n v="0.17995832544042431"/>
  </r>
  <r>
    <x v="213"/>
    <x v="1"/>
    <d v="2024-10-09T00:00:00"/>
    <x v="0"/>
    <x v="3"/>
    <x v="205"/>
    <n v="167"/>
    <n v="73"/>
    <x v="213"/>
    <n v="25872"/>
    <x v="117"/>
    <x v="6"/>
    <x v="1"/>
    <n v="0.12555218709398008"/>
  </r>
  <r>
    <x v="214"/>
    <x v="2"/>
    <d v="2025-01-15T00:00:00"/>
    <x v="0"/>
    <x v="9"/>
    <x v="206"/>
    <n v="324"/>
    <n v="182"/>
    <x v="214"/>
    <n v="37216"/>
    <x v="137"/>
    <x v="3"/>
    <x v="1"/>
    <n v="8.2744836775483013E-2"/>
  </r>
  <r>
    <x v="215"/>
    <x v="1"/>
    <d v="2025-01-12T00:00:00"/>
    <x v="0"/>
    <x v="4"/>
    <x v="207"/>
    <n v="285"/>
    <n v="100"/>
    <x v="215"/>
    <n v="56575"/>
    <x v="23"/>
    <x v="6"/>
    <x v="1"/>
    <n v="5.2041730205988429E-2"/>
  </r>
  <r>
    <x v="216"/>
    <x v="0"/>
    <d v="2025-05-31T00:00:00"/>
    <x v="0"/>
    <x v="5"/>
    <x v="208"/>
    <n v="240"/>
    <n v="57"/>
    <x v="216"/>
    <n v="46667"/>
    <x v="0"/>
    <x v="0"/>
    <x v="0"/>
    <n v="9.4450189589796618E-2"/>
  </r>
  <r>
    <x v="217"/>
    <x v="1"/>
    <d v="2024-10-14T00:00:00"/>
    <x v="1"/>
    <x v="1"/>
    <x v="209"/>
    <n v="306"/>
    <n v="302"/>
    <x v="217"/>
    <n v="33762"/>
    <x v="34"/>
    <x v="4"/>
    <x v="0"/>
    <n v="0.12409349336702463"/>
  </r>
  <r>
    <x v="218"/>
    <x v="1"/>
    <d v="2024-02-10T00:00:00"/>
    <x v="0"/>
    <x v="8"/>
    <x v="210"/>
    <n v="456"/>
    <n v="379"/>
    <x v="218"/>
    <n v="45880"/>
    <x v="98"/>
    <x v="6"/>
    <x v="1"/>
    <n v="4.5610431884675749E-2"/>
  </r>
  <r>
    <x v="219"/>
    <x v="2"/>
    <d v="2024-12-10T00:00:00"/>
    <x v="0"/>
    <x v="5"/>
    <x v="211"/>
    <n v="140"/>
    <n v="375"/>
    <x v="219"/>
    <n v="22102"/>
    <x v="138"/>
    <x v="3"/>
    <x v="1"/>
    <n v="8.0371103929948923E-2"/>
  </r>
  <r>
    <x v="220"/>
    <x v="1"/>
    <d v="2025-05-09T00:00:00"/>
    <x v="1"/>
    <x v="4"/>
    <x v="212"/>
    <n v="241"/>
    <n v="317"/>
    <x v="220"/>
    <n v="20677"/>
    <x v="85"/>
    <x v="2"/>
    <x v="0"/>
    <n v="0.1271002400274317"/>
  </r>
  <r>
    <x v="221"/>
    <x v="1"/>
    <d v="2025-06-21T00:00:00"/>
    <x v="0"/>
    <x v="1"/>
    <x v="213"/>
    <n v="127"/>
    <n v="139"/>
    <x v="221"/>
    <n v="29435"/>
    <x v="126"/>
    <x v="5"/>
    <x v="0"/>
    <n v="8.6602037169406718E-2"/>
  </r>
  <r>
    <x v="222"/>
    <x v="1"/>
    <d v="2024-06-19T00:00:00"/>
    <x v="0"/>
    <x v="5"/>
    <x v="214"/>
    <n v="168"/>
    <n v="199"/>
    <x v="222"/>
    <n v="52844"/>
    <x v="139"/>
    <x v="6"/>
    <x v="1"/>
    <n v="2.9336922849977874E-2"/>
  </r>
  <r>
    <x v="223"/>
    <x v="1"/>
    <d v="2024-12-10T00:00:00"/>
    <x v="0"/>
    <x v="8"/>
    <x v="215"/>
    <n v="270"/>
    <n v="93"/>
    <x v="223"/>
    <n v="57513"/>
    <x v="22"/>
    <x v="5"/>
    <x v="0"/>
    <n v="0.11126822801590809"/>
  </r>
  <r>
    <x v="224"/>
    <x v="2"/>
    <d v="2024-02-01T00:00:00"/>
    <x v="0"/>
    <x v="3"/>
    <x v="216"/>
    <n v="437"/>
    <n v="267"/>
    <x v="224"/>
    <n v="54511"/>
    <x v="29"/>
    <x v="3"/>
    <x v="1"/>
    <n v="5.2566815966924252E-2"/>
  </r>
  <r>
    <x v="225"/>
    <x v="1"/>
    <d v="2024-01-17T00:00:00"/>
    <x v="1"/>
    <x v="2"/>
    <x v="217"/>
    <n v="499"/>
    <n v="212"/>
    <x v="225"/>
    <n v="27190"/>
    <x v="34"/>
    <x v="2"/>
    <x v="0"/>
    <n v="5.2513742764570971E-2"/>
  </r>
  <r>
    <x v="226"/>
    <x v="2"/>
    <d v="2025-03-22T00:00:00"/>
    <x v="0"/>
    <x v="4"/>
    <x v="218"/>
    <n v="171"/>
    <n v="106"/>
    <x v="226"/>
    <n v="23949"/>
    <x v="140"/>
    <x v="3"/>
    <x v="1"/>
    <n v="0.12406981463942633"/>
  </r>
  <r>
    <x v="227"/>
    <x v="2"/>
    <d v="2024-05-30T00:00:00"/>
    <x v="2"/>
    <x v="5"/>
    <x v="219"/>
    <n v="442"/>
    <n v="319"/>
    <x v="227"/>
    <n v="24258"/>
    <x v="67"/>
    <x v="7"/>
    <x v="3"/>
    <n v="3.1839004091338254E-2"/>
  </r>
  <r>
    <x v="228"/>
    <x v="2"/>
    <d v="2024-02-24T00:00:00"/>
    <x v="0"/>
    <x v="4"/>
    <x v="220"/>
    <n v="226"/>
    <n v="349"/>
    <x v="228"/>
    <n v="28452"/>
    <x v="141"/>
    <x v="3"/>
    <x v="1"/>
    <n v="9.191926295801392E-2"/>
  </r>
  <r>
    <x v="229"/>
    <x v="2"/>
    <d v="2025-05-14T00:00:00"/>
    <x v="0"/>
    <x v="0"/>
    <x v="221"/>
    <n v="272"/>
    <n v="385"/>
    <x v="229"/>
    <n v="40832"/>
    <x v="142"/>
    <x v="3"/>
    <x v="1"/>
    <n v="4.9646286003031836E-2"/>
  </r>
  <r>
    <x v="230"/>
    <x v="0"/>
    <d v="2024-03-28T00:00:00"/>
    <x v="0"/>
    <x v="5"/>
    <x v="222"/>
    <n v="280"/>
    <n v="67"/>
    <x v="230"/>
    <n v="48016"/>
    <x v="12"/>
    <x v="0"/>
    <x v="0"/>
    <n v="6.76784936509532E-2"/>
  </r>
  <r>
    <x v="231"/>
    <x v="2"/>
    <d v="2025-03-07T00:00:00"/>
    <x v="0"/>
    <x v="7"/>
    <x v="223"/>
    <n v="284"/>
    <n v="306"/>
    <x v="231"/>
    <n v="42604"/>
    <x v="41"/>
    <x v="3"/>
    <x v="1"/>
    <n v="0.10985069273191947"/>
  </r>
  <r>
    <x v="232"/>
    <x v="1"/>
    <d v="2024-10-20T00:00:00"/>
    <x v="0"/>
    <x v="8"/>
    <x v="224"/>
    <n v="309"/>
    <n v="91"/>
    <x v="232"/>
    <n v="28095"/>
    <x v="99"/>
    <x v="5"/>
    <x v="0"/>
    <n v="8.0741841282852611E-2"/>
  </r>
  <r>
    <x v="233"/>
    <x v="1"/>
    <d v="2024-02-02T00:00:00"/>
    <x v="0"/>
    <x v="8"/>
    <x v="225"/>
    <n v="115"/>
    <n v="286"/>
    <x v="233"/>
    <n v="22277"/>
    <x v="86"/>
    <x v="5"/>
    <x v="0"/>
    <n v="0.16790703227603773"/>
  </r>
  <r>
    <x v="234"/>
    <x v="2"/>
    <d v="2024-09-07T00:00:00"/>
    <x v="0"/>
    <x v="9"/>
    <x v="226"/>
    <n v="411"/>
    <n v="190"/>
    <x v="234"/>
    <n v="57090"/>
    <x v="15"/>
    <x v="3"/>
    <x v="1"/>
    <n v="6.4655069273288512E-2"/>
  </r>
  <r>
    <x v="235"/>
    <x v="0"/>
    <d v="2024-12-20T00:00:00"/>
    <x v="0"/>
    <x v="0"/>
    <x v="227"/>
    <n v="202"/>
    <n v="239"/>
    <x v="235"/>
    <n v="48606"/>
    <x v="104"/>
    <x v="1"/>
    <x v="1"/>
    <n v="8.1666436749896543E-2"/>
  </r>
  <r>
    <x v="236"/>
    <x v="2"/>
    <d v="2024-01-14T00:00:00"/>
    <x v="0"/>
    <x v="5"/>
    <x v="228"/>
    <n v="238"/>
    <n v="386"/>
    <x v="236"/>
    <n v="25050"/>
    <x v="143"/>
    <x v="3"/>
    <x v="1"/>
    <n v="0.13077197816215114"/>
  </r>
  <r>
    <x v="237"/>
    <x v="0"/>
    <d v="2025-06-15T00:00:00"/>
    <x v="0"/>
    <x v="1"/>
    <x v="229"/>
    <n v="427"/>
    <n v="242"/>
    <x v="237"/>
    <n v="37833"/>
    <x v="144"/>
    <x v="0"/>
    <x v="0"/>
    <n v="5.3094209744904843E-2"/>
  </r>
  <r>
    <x v="238"/>
    <x v="1"/>
    <d v="2024-12-13T00:00:00"/>
    <x v="1"/>
    <x v="2"/>
    <x v="230"/>
    <n v="300"/>
    <n v="338"/>
    <x v="238"/>
    <n v="31691"/>
    <x v="75"/>
    <x v="2"/>
    <x v="0"/>
    <n v="0.17088145896656534"/>
  </r>
  <r>
    <x v="239"/>
    <x v="2"/>
    <d v="2024-08-29T00:00:00"/>
    <x v="0"/>
    <x v="3"/>
    <x v="231"/>
    <n v="389"/>
    <n v="358"/>
    <x v="239"/>
    <n v="30518"/>
    <x v="99"/>
    <x v="3"/>
    <x v="1"/>
    <n v="0.10547128720437092"/>
  </r>
  <r>
    <x v="240"/>
    <x v="1"/>
    <d v="2024-09-15T00:00:00"/>
    <x v="0"/>
    <x v="6"/>
    <x v="232"/>
    <n v="340"/>
    <n v="85"/>
    <x v="240"/>
    <n v="49938"/>
    <x v="145"/>
    <x v="5"/>
    <x v="0"/>
    <n v="4.819683813738912E-2"/>
  </r>
  <r>
    <x v="241"/>
    <x v="1"/>
    <d v="2025-04-12T00:00:00"/>
    <x v="1"/>
    <x v="8"/>
    <x v="233"/>
    <n v="208"/>
    <n v="273"/>
    <x v="241"/>
    <n v="44349"/>
    <x v="0"/>
    <x v="4"/>
    <x v="0"/>
    <n v="0.13404136389044158"/>
  </r>
  <r>
    <x v="242"/>
    <x v="1"/>
    <d v="2024-12-10T00:00:00"/>
    <x v="1"/>
    <x v="3"/>
    <x v="234"/>
    <n v="230"/>
    <n v="243"/>
    <x v="242"/>
    <n v="69771"/>
    <x v="138"/>
    <x v="4"/>
    <x v="0"/>
    <n v="9.8193807339449546E-2"/>
  </r>
  <r>
    <x v="243"/>
    <x v="2"/>
    <d v="2025-06-08T00:00:00"/>
    <x v="0"/>
    <x v="4"/>
    <x v="235"/>
    <n v="303"/>
    <n v="294"/>
    <x v="243"/>
    <n v="53397"/>
    <x v="146"/>
    <x v="3"/>
    <x v="1"/>
    <n v="8.6517714206166912E-2"/>
  </r>
  <r>
    <x v="244"/>
    <x v="1"/>
    <d v="2025-01-09T00:00:00"/>
    <x v="1"/>
    <x v="9"/>
    <x v="236"/>
    <n v="284"/>
    <n v="204"/>
    <x v="244"/>
    <n v="53396"/>
    <x v="145"/>
    <x v="2"/>
    <x v="0"/>
    <n v="9.2712236723090841E-2"/>
  </r>
  <r>
    <x v="245"/>
    <x v="1"/>
    <d v="2024-07-08T00:00:00"/>
    <x v="1"/>
    <x v="7"/>
    <x v="237"/>
    <n v="258"/>
    <n v="168"/>
    <x v="245"/>
    <n v="68290"/>
    <x v="147"/>
    <x v="0"/>
    <x v="0"/>
    <n v="0.16477245248343569"/>
  </r>
  <r>
    <x v="246"/>
    <x v="1"/>
    <d v="2024-09-16T00:00:00"/>
    <x v="1"/>
    <x v="9"/>
    <x v="238"/>
    <n v="354"/>
    <n v="397"/>
    <x v="246"/>
    <n v="72110"/>
    <x v="148"/>
    <x v="4"/>
    <x v="0"/>
    <n v="7.1354340971940891E-2"/>
  </r>
  <r>
    <x v="247"/>
    <x v="2"/>
    <d v="2024-06-14T00:00:00"/>
    <x v="2"/>
    <x v="3"/>
    <x v="239"/>
    <n v="310"/>
    <n v="344"/>
    <x v="247"/>
    <n v="19000"/>
    <x v="149"/>
    <x v="7"/>
    <x v="3"/>
    <n v="0.19261223173659131"/>
  </r>
  <r>
    <x v="248"/>
    <x v="0"/>
    <d v="2024-03-06T00:00:00"/>
    <x v="0"/>
    <x v="5"/>
    <x v="240"/>
    <n v="263"/>
    <n v="107"/>
    <x v="248"/>
    <n v="19367"/>
    <x v="150"/>
    <x v="1"/>
    <x v="1"/>
    <n v="0.14674444862627023"/>
  </r>
  <r>
    <x v="249"/>
    <x v="1"/>
    <d v="2025-05-15T00:00:00"/>
    <x v="0"/>
    <x v="9"/>
    <x v="241"/>
    <n v="210"/>
    <n v="311"/>
    <x v="249"/>
    <n v="37543"/>
    <x v="104"/>
    <x v="5"/>
    <x v="0"/>
    <n v="0.17799483100057059"/>
  </r>
  <r>
    <x v="250"/>
    <x v="1"/>
    <d v="2024-07-07T00:00:00"/>
    <x v="0"/>
    <x v="5"/>
    <x v="242"/>
    <n v="417"/>
    <n v="294"/>
    <x v="250"/>
    <n v="19798"/>
    <x v="151"/>
    <x v="6"/>
    <x v="1"/>
    <n v="4.4258807658382193E-2"/>
  </r>
  <r>
    <x v="251"/>
    <x v="2"/>
    <d v="2024-10-26T00:00:00"/>
    <x v="0"/>
    <x v="2"/>
    <x v="243"/>
    <n v="211"/>
    <n v="55"/>
    <x v="251"/>
    <n v="73503"/>
    <x v="152"/>
    <x v="3"/>
    <x v="1"/>
    <n v="0.10762898272970794"/>
  </r>
  <r>
    <x v="252"/>
    <x v="2"/>
    <d v="2024-08-08T00:00:00"/>
    <x v="0"/>
    <x v="8"/>
    <x v="244"/>
    <n v="197"/>
    <n v="290"/>
    <x v="252"/>
    <n v="23343"/>
    <x v="75"/>
    <x v="3"/>
    <x v="1"/>
    <n v="5.0121212121212122E-2"/>
  </r>
  <r>
    <x v="253"/>
    <x v="1"/>
    <d v="2025-02-03T00:00:00"/>
    <x v="0"/>
    <x v="5"/>
    <x v="245"/>
    <n v="231"/>
    <n v="94"/>
    <x v="253"/>
    <n v="32560"/>
    <x v="151"/>
    <x v="5"/>
    <x v="0"/>
    <n v="0.15451192239551567"/>
  </r>
  <r>
    <x v="254"/>
    <x v="1"/>
    <d v="2024-04-03T00:00:00"/>
    <x v="1"/>
    <x v="7"/>
    <x v="246"/>
    <n v="146"/>
    <n v="399"/>
    <x v="254"/>
    <n v="28056"/>
    <x v="19"/>
    <x v="4"/>
    <x v="0"/>
    <n v="5.7503193495407452E-2"/>
  </r>
  <r>
    <x v="255"/>
    <x v="1"/>
    <d v="2024-07-08T00:00:00"/>
    <x v="1"/>
    <x v="3"/>
    <x v="247"/>
    <n v="289"/>
    <n v="161"/>
    <x v="255"/>
    <n v="66262"/>
    <x v="153"/>
    <x v="2"/>
    <x v="0"/>
    <n v="5.2312660271630736E-2"/>
  </r>
  <r>
    <x v="256"/>
    <x v="1"/>
    <d v="2024-06-08T00:00:00"/>
    <x v="1"/>
    <x v="7"/>
    <x v="248"/>
    <n v="326"/>
    <n v="86"/>
    <x v="256"/>
    <n v="52719"/>
    <x v="3"/>
    <x v="4"/>
    <x v="0"/>
    <n v="8.5608773500447627E-2"/>
  </r>
  <r>
    <x v="257"/>
    <x v="2"/>
    <d v="2025-03-20T00:00:00"/>
    <x v="2"/>
    <x v="8"/>
    <x v="249"/>
    <n v="156"/>
    <n v="178"/>
    <x v="257"/>
    <n v="57180"/>
    <x v="113"/>
    <x v="7"/>
    <x v="3"/>
    <n v="3.3729709324273313E-2"/>
  </r>
  <r>
    <x v="258"/>
    <x v="1"/>
    <d v="2025-01-19T00:00:00"/>
    <x v="1"/>
    <x v="4"/>
    <x v="250"/>
    <n v="480"/>
    <n v="282"/>
    <x v="258"/>
    <n v="70560"/>
    <x v="31"/>
    <x v="0"/>
    <x v="0"/>
    <n v="7.5077784691972627E-2"/>
  </r>
  <r>
    <x v="259"/>
    <x v="1"/>
    <d v="2025-01-05T00:00:00"/>
    <x v="1"/>
    <x v="1"/>
    <x v="251"/>
    <n v="154"/>
    <n v="123"/>
    <x v="259"/>
    <n v="49035"/>
    <x v="69"/>
    <x v="2"/>
    <x v="0"/>
    <n v="8.3423643616408028E-2"/>
  </r>
  <r>
    <x v="260"/>
    <x v="1"/>
    <d v="2024-11-16T00:00:00"/>
    <x v="0"/>
    <x v="8"/>
    <x v="252"/>
    <n v="263"/>
    <n v="308"/>
    <x v="260"/>
    <n v="28214"/>
    <x v="50"/>
    <x v="6"/>
    <x v="1"/>
    <n v="6.8477000386548123E-2"/>
  </r>
  <r>
    <x v="261"/>
    <x v="1"/>
    <d v="2024-11-30T00:00:00"/>
    <x v="1"/>
    <x v="1"/>
    <x v="253"/>
    <n v="255"/>
    <n v="193"/>
    <x v="261"/>
    <n v="28415"/>
    <x v="23"/>
    <x v="2"/>
    <x v="0"/>
    <n v="0.12190780876853062"/>
  </r>
  <r>
    <x v="262"/>
    <x v="2"/>
    <d v="2024-03-27T00:00:00"/>
    <x v="0"/>
    <x v="4"/>
    <x v="254"/>
    <n v="191"/>
    <n v="221"/>
    <x v="262"/>
    <n v="40033"/>
    <x v="102"/>
    <x v="3"/>
    <x v="1"/>
    <n v="5.4473577117609438E-2"/>
  </r>
  <r>
    <x v="263"/>
    <x v="2"/>
    <d v="2025-05-31T00:00:00"/>
    <x v="2"/>
    <x v="6"/>
    <x v="255"/>
    <n v="318"/>
    <n v="83"/>
    <x v="263"/>
    <n v="20482"/>
    <x v="154"/>
    <x v="7"/>
    <x v="3"/>
    <n v="5.4859907104176028E-2"/>
  </r>
  <r>
    <x v="264"/>
    <x v="1"/>
    <d v="2025-06-17T00:00:00"/>
    <x v="1"/>
    <x v="1"/>
    <x v="256"/>
    <n v="141"/>
    <n v="63"/>
    <x v="264"/>
    <n v="27507"/>
    <x v="62"/>
    <x v="4"/>
    <x v="0"/>
    <n v="9.0752980172121162E-2"/>
  </r>
  <r>
    <x v="265"/>
    <x v="0"/>
    <d v="2024-05-30T00:00:00"/>
    <x v="1"/>
    <x v="6"/>
    <x v="257"/>
    <n v="464"/>
    <n v="98"/>
    <x v="265"/>
    <n v="48545"/>
    <x v="142"/>
    <x v="5"/>
    <x v="2"/>
    <n v="0.11695224773672146"/>
  </r>
  <r>
    <x v="266"/>
    <x v="2"/>
    <d v="2024-11-08T00:00:00"/>
    <x v="0"/>
    <x v="7"/>
    <x v="258"/>
    <n v="166"/>
    <n v="320"/>
    <x v="266"/>
    <n v="46900"/>
    <x v="77"/>
    <x v="3"/>
    <x v="1"/>
    <n v="6.1279893894806647E-2"/>
  </r>
  <r>
    <x v="267"/>
    <x v="2"/>
    <d v="2024-03-17T00:00:00"/>
    <x v="2"/>
    <x v="1"/>
    <x v="259"/>
    <n v="446"/>
    <n v="216"/>
    <x v="267"/>
    <n v="62723"/>
    <x v="128"/>
    <x v="7"/>
    <x v="3"/>
    <n v="7.3202671439172376E-2"/>
  </r>
  <r>
    <x v="268"/>
    <x v="2"/>
    <d v="2024-06-21T00:00:00"/>
    <x v="2"/>
    <x v="4"/>
    <x v="260"/>
    <n v="374"/>
    <n v="298"/>
    <x v="268"/>
    <n v="24098"/>
    <x v="58"/>
    <x v="7"/>
    <x v="3"/>
    <n v="9.2893873181347508E-2"/>
  </r>
  <r>
    <x v="269"/>
    <x v="1"/>
    <d v="2024-11-13T00:00:00"/>
    <x v="1"/>
    <x v="2"/>
    <x v="261"/>
    <n v="466"/>
    <n v="105"/>
    <x v="269"/>
    <n v="38753"/>
    <x v="34"/>
    <x v="4"/>
    <x v="0"/>
    <n v="3.3603177027646251E-2"/>
  </r>
  <r>
    <x v="270"/>
    <x v="1"/>
    <d v="2025-02-05T00:00:00"/>
    <x v="1"/>
    <x v="0"/>
    <x v="262"/>
    <n v="440"/>
    <n v="66"/>
    <x v="270"/>
    <n v="47895"/>
    <x v="155"/>
    <x v="4"/>
    <x v="0"/>
    <n v="0.14843585975225698"/>
  </r>
  <r>
    <x v="271"/>
    <x v="1"/>
    <d v="2024-11-07T00:00:00"/>
    <x v="0"/>
    <x v="1"/>
    <x v="263"/>
    <n v="395"/>
    <n v="328"/>
    <x v="271"/>
    <n v="37176"/>
    <x v="156"/>
    <x v="6"/>
    <x v="1"/>
    <n v="5.1861351697967357E-2"/>
  </r>
  <r>
    <x v="272"/>
    <x v="1"/>
    <d v="2024-02-12T00:00:00"/>
    <x v="0"/>
    <x v="1"/>
    <x v="264"/>
    <n v="486"/>
    <n v="206"/>
    <x v="272"/>
    <n v="44583"/>
    <x v="134"/>
    <x v="5"/>
    <x v="0"/>
    <n v="6.6160796354604659E-2"/>
  </r>
  <r>
    <x v="273"/>
    <x v="0"/>
    <d v="2024-10-08T00:00:00"/>
    <x v="0"/>
    <x v="1"/>
    <x v="265"/>
    <n v="384"/>
    <n v="236"/>
    <x v="273"/>
    <n v="61555"/>
    <x v="36"/>
    <x v="1"/>
    <x v="1"/>
    <n v="5.4638246772740921E-2"/>
  </r>
  <r>
    <x v="274"/>
    <x v="0"/>
    <d v="2024-02-19T00:00:00"/>
    <x v="0"/>
    <x v="3"/>
    <x v="143"/>
    <n v="449"/>
    <n v="309"/>
    <x v="274"/>
    <n v="26630"/>
    <x v="157"/>
    <x v="1"/>
    <x v="1"/>
    <n v="9.4139757389372969E-2"/>
  </r>
  <r>
    <x v="275"/>
    <x v="1"/>
    <d v="2025-03-04T00:00:00"/>
    <x v="0"/>
    <x v="0"/>
    <x v="266"/>
    <n v="258"/>
    <n v="292"/>
    <x v="275"/>
    <n v="51324"/>
    <x v="158"/>
    <x v="5"/>
    <x v="0"/>
    <n v="5.7682545054573146E-2"/>
  </r>
  <r>
    <x v="276"/>
    <x v="0"/>
    <d v="2025-02-03T00:00:00"/>
    <x v="1"/>
    <x v="2"/>
    <x v="267"/>
    <n v="486"/>
    <n v="269"/>
    <x v="276"/>
    <n v="42411"/>
    <x v="71"/>
    <x v="5"/>
    <x v="2"/>
    <n v="8.3972409065592737E-2"/>
  </r>
  <r>
    <x v="277"/>
    <x v="0"/>
    <d v="2024-12-02T00:00:00"/>
    <x v="0"/>
    <x v="7"/>
    <x v="268"/>
    <n v="292"/>
    <n v="245"/>
    <x v="277"/>
    <n v="65597"/>
    <x v="148"/>
    <x v="0"/>
    <x v="0"/>
    <n v="6.6186514342481059E-2"/>
  </r>
  <r>
    <x v="278"/>
    <x v="1"/>
    <d v="2025-01-19T00:00:00"/>
    <x v="1"/>
    <x v="2"/>
    <x v="269"/>
    <n v="295"/>
    <n v="371"/>
    <x v="278"/>
    <n v="53965"/>
    <x v="6"/>
    <x v="0"/>
    <x v="0"/>
    <n v="0.20445859872611466"/>
  </r>
  <r>
    <x v="279"/>
    <x v="1"/>
    <d v="2024-09-28T00:00:00"/>
    <x v="1"/>
    <x v="3"/>
    <x v="270"/>
    <n v="317"/>
    <n v="249"/>
    <x v="279"/>
    <n v="33365"/>
    <x v="71"/>
    <x v="4"/>
    <x v="0"/>
    <n v="0.1122776514644911"/>
  </r>
  <r>
    <x v="280"/>
    <x v="0"/>
    <d v="2024-01-07T00:00:00"/>
    <x v="0"/>
    <x v="7"/>
    <x v="271"/>
    <n v="469"/>
    <n v="193"/>
    <x v="280"/>
    <n v="69437"/>
    <x v="52"/>
    <x v="0"/>
    <x v="0"/>
    <n v="9.8640235621946709E-2"/>
  </r>
  <r>
    <x v="281"/>
    <x v="1"/>
    <d v="2024-02-21T00:00:00"/>
    <x v="1"/>
    <x v="6"/>
    <x v="272"/>
    <n v="439"/>
    <n v="148"/>
    <x v="281"/>
    <n v="39629"/>
    <x v="148"/>
    <x v="2"/>
    <x v="0"/>
    <n v="5.4576862557296296E-2"/>
  </r>
  <r>
    <x v="282"/>
    <x v="0"/>
    <d v="2024-08-27T00:00:00"/>
    <x v="0"/>
    <x v="4"/>
    <x v="273"/>
    <n v="359"/>
    <n v="280"/>
    <x v="282"/>
    <n v="70930"/>
    <x v="159"/>
    <x v="1"/>
    <x v="1"/>
    <n v="8.628318584070796E-2"/>
  </r>
  <r>
    <x v="283"/>
    <x v="0"/>
    <d v="2024-10-24T00:00:00"/>
    <x v="1"/>
    <x v="7"/>
    <x v="274"/>
    <n v="255"/>
    <n v="156"/>
    <x v="283"/>
    <n v="47776"/>
    <x v="77"/>
    <x v="5"/>
    <x v="2"/>
    <n v="8.4056399132321047E-2"/>
  </r>
  <r>
    <x v="284"/>
    <x v="2"/>
    <d v="2025-01-29T00:00:00"/>
    <x v="0"/>
    <x v="2"/>
    <x v="275"/>
    <n v="357"/>
    <n v="257"/>
    <x v="284"/>
    <n v="70606"/>
    <x v="160"/>
    <x v="3"/>
    <x v="1"/>
    <n v="3.4229485151994379E-2"/>
  </r>
  <r>
    <x v="285"/>
    <x v="0"/>
    <d v="2024-05-01T00:00:00"/>
    <x v="0"/>
    <x v="6"/>
    <x v="276"/>
    <n v="137"/>
    <n v="387"/>
    <x v="285"/>
    <n v="47257"/>
    <x v="161"/>
    <x v="1"/>
    <x v="1"/>
    <n v="0.11467469950680724"/>
  </r>
  <r>
    <x v="286"/>
    <x v="2"/>
    <d v="2024-06-25T00:00:00"/>
    <x v="0"/>
    <x v="9"/>
    <x v="277"/>
    <n v="338"/>
    <n v="70"/>
    <x v="286"/>
    <n v="57853"/>
    <x v="162"/>
    <x v="3"/>
    <x v="1"/>
    <n v="8.4548582664263475E-2"/>
  </r>
  <r>
    <x v="287"/>
    <x v="1"/>
    <d v="2024-08-09T00:00:00"/>
    <x v="1"/>
    <x v="8"/>
    <x v="278"/>
    <n v="442"/>
    <n v="236"/>
    <x v="287"/>
    <n v="48241"/>
    <x v="81"/>
    <x v="4"/>
    <x v="0"/>
    <n v="0.10546200140489435"/>
  </r>
  <r>
    <x v="288"/>
    <x v="0"/>
    <d v="2025-01-21T00:00:00"/>
    <x v="1"/>
    <x v="2"/>
    <x v="279"/>
    <n v="440"/>
    <n v="149"/>
    <x v="288"/>
    <n v="64370"/>
    <x v="124"/>
    <x v="5"/>
    <x v="2"/>
    <n v="0.10338095327488783"/>
  </r>
  <r>
    <x v="289"/>
    <x v="1"/>
    <d v="2024-08-13T00:00:00"/>
    <x v="0"/>
    <x v="1"/>
    <x v="28"/>
    <n v="107"/>
    <n v="221"/>
    <x v="289"/>
    <n v="26182"/>
    <x v="136"/>
    <x v="6"/>
    <x v="1"/>
    <n v="0.1565595352530614"/>
  </r>
  <r>
    <x v="290"/>
    <x v="0"/>
    <d v="2024-06-29T00:00:00"/>
    <x v="0"/>
    <x v="9"/>
    <x v="280"/>
    <n v="490"/>
    <n v="124"/>
    <x v="290"/>
    <n v="69346"/>
    <x v="126"/>
    <x v="0"/>
    <x v="0"/>
    <n v="5.8052595393606049E-2"/>
  </r>
  <r>
    <x v="291"/>
    <x v="1"/>
    <d v="2024-11-03T00:00:00"/>
    <x v="1"/>
    <x v="1"/>
    <x v="281"/>
    <n v="320"/>
    <n v="76"/>
    <x v="291"/>
    <n v="24306"/>
    <x v="130"/>
    <x v="2"/>
    <x v="0"/>
    <n v="0.12976726726726726"/>
  </r>
  <r>
    <x v="292"/>
    <x v="2"/>
    <d v="2025-04-18T00:00:00"/>
    <x v="2"/>
    <x v="9"/>
    <x v="282"/>
    <n v="230"/>
    <n v="364"/>
    <x v="292"/>
    <n v="50382"/>
    <x v="163"/>
    <x v="7"/>
    <x v="3"/>
    <n v="4.4999031758326875E-2"/>
  </r>
  <r>
    <x v="293"/>
    <x v="0"/>
    <d v="2024-12-27T00:00:00"/>
    <x v="0"/>
    <x v="8"/>
    <x v="283"/>
    <n v="219"/>
    <n v="229"/>
    <x v="293"/>
    <n v="24314"/>
    <x v="25"/>
    <x v="1"/>
    <x v="1"/>
    <n v="3.221173574066475E-2"/>
  </r>
  <r>
    <x v="294"/>
    <x v="0"/>
    <d v="2025-03-08T00:00:00"/>
    <x v="1"/>
    <x v="7"/>
    <x v="284"/>
    <n v="392"/>
    <n v="231"/>
    <x v="294"/>
    <n v="50906"/>
    <x v="164"/>
    <x v="5"/>
    <x v="2"/>
    <n v="0.1109777812185492"/>
  </r>
  <r>
    <x v="295"/>
    <x v="1"/>
    <d v="2025-03-20T00:00:00"/>
    <x v="1"/>
    <x v="9"/>
    <x v="285"/>
    <n v="104"/>
    <n v="79"/>
    <x v="295"/>
    <n v="21593"/>
    <x v="164"/>
    <x v="2"/>
    <x v="0"/>
    <n v="0.1191007493755204"/>
  </r>
  <r>
    <x v="296"/>
    <x v="1"/>
    <d v="2024-11-16T00:00:00"/>
    <x v="0"/>
    <x v="1"/>
    <x v="286"/>
    <n v="108"/>
    <n v="86"/>
    <x v="296"/>
    <n v="23773"/>
    <x v="75"/>
    <x v="6"/>
    <x v="1"/>
    <n v="5.9775576027966085E-2"/>
  </r>
  <r>
    <x v="297"/>
    <x v="1"/>
    <d v="2025-06-30T00:00:00"/>
    <x v="0"/>
    <x v="5"/>
    <x v="287"/>
    <n v="285"/>
    <n v="125"/>
    <x v="297"/>
    <n v="74761"/>
    <x v="16"/>
    <x v="5"/>
    <x v="0"/>
    <n v="6.1064362065044349E-2"/>
  </r>
  <r>
    <x v="298"/>
    <x v="1"/>
    <d v="2024-01-12T00:00:00"/>
    <x v="1"/>
    <x v="3"/>
    <x v="288"/>
    <n v="494"/>
    <n v="161"/>
    <x v="298"/>
    <n v="68074"/>
    <x v="132"/>
    <x v="4"/>
    <x v="0"/>
    <n v="5.5797564422760453E-2"/>
  </r>
  <r>
    <x v="299"/>
    <x v="0"/>
    <d v="2024-02-07T00:00:00"/>
    <x v="0"/>
    <x v="4"/>
    <x v="289"/>
    <n v="432"/>
    <n v="397"/>
    <x v="299"/>
    <n v="18691"/>
    <x v="66"/>
    <x v="0"/>
    <x v="0"/>
    <n v="9.4300914496331587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s v="Instagram"/>
    <n v="1402"/>
    <n v="68"/>
    <n v="124562"/>
    <n v="9.92"/>
    <n v="23125"/>
    <n v="1334"/>
    <x v="0"/>
    <x v="0"/>
  </r>
  <r>
    <x v="0"/>
    <s v="Twitter"/>
    <n v="995"/>
    <n v="86"/>
    <n v="227958"/>
    <n v="8.0500000000000007"/>
    <n v="22788"/>
    <n v="909"/>
    <x v="0"/>
    <x v="0"/>
  </r>
  <r>
    <x v="0"/>
    <s v="YouTube"/>
    <n v="1472"/>
    <n v="296"/>
    <n v="370242"/>
    <n v="7.72"/>
    <n v="7810"/>
    <n v="1176"/>
    <x v="0"/>
    <x v="0"/>
  </r>
  <r>
    <x v="1"/>
    <s v="Instagram"/>
    <n v="1018"/>
    <n v="90"/>
    <n v="92474"/>
    <n v="9.4"/>
    <n v="11966"/>
    <n v="928"/>
    <x v="0"/>
    <x v="0"/>
  </r>
  <r>
    <x v="1"/>
    <s v="Twitter"/>
    <n v="1461"/>
    <n v="64"/>
    <n v="328902"/>
    <n v="9.02"/>
    <n v="26298"/>
    <n v="1397"/>
    <x v="0"/>
    <x v="0"/>
  </r>
  <r>
    <x v="1"/>
    <s v="YouTube"/>
    <n v="545"/>
    <n v="93"/>
    <n v="391621"/>
    <n v="9.9600000000000009"/>
    <n v="22029"/>
    <n v="452"/>
    <x v="0"/>
    <x v="0"/>
  </r>
  <r>
    <x v="2"/>
    <s v="Instagram"/>
    <n v="881"/>
    <n v="291"/>
    <n v="95885"/>
    <n v="5.29"/>
    <n v="12391"/>
    <n v="590"/>
    <x v="1"/>
    <x v="1"/>
  </r>
  <r>
    <x v="2"/>
    <s v="Twitter"/>
    <n v="1414"/>
    <n v="131"/>
    <n v="245947"/>
    <n v="8.3000000000000007"/>
    <n v="14477"/>
    <n v="1283"/>
    <x v="1"/>
    <x v="1"/>
  </r>
  <r>
    <x v="2"/>
    <s v="YouTube"/>
    <n v="1472"/>
    <n v="170"/>
    <n v="250428"/>
    <n v="4.66"/>
    <n v="25040"/>
    <n v="1302"/>
    <x v="1"/>
    <x v="1"/>
  </r>
  <r>
    <x v="3"/>
    <s v="Instagram"/>
    <n v="809"/>
    <n v="197"/>
    <n v="87186"/>
    <n v="9.48"/>
    <n v="22619"/>
    <n v="612"/>
    <x v="1"/>
    <x v="1"/>
  </r>
  <r>
    <x v="3"/>
    <s v="Twitter"/>
    <n v="1371"/>
    <n v="250"/>
    <n v="128620"/>
    <n v="7.11"/>
    <n v="12399"/>
    <n v="1121"/>
    <x v="1"/>
    <x v="1"/>
  </r>
  <r>
    <x v="3"/>
    <s v="YouTube"/>
    <n v="844"/>
    <n v="144"/>
    <n v="126015"/>
    <n v="9.65"/>
    <n v="22456"/>
    <n v="700"/>
    <x v="1"/>
    <x v="1"/>
  </r>
  <r>
    <x v="4"/>
    <s v="Instagram"/>
    <n v="786"/>
    <n v="72"/>
    <n v="178615"/>
    <n v="5.43"/>
    <n v="19328"/>
    <n v="714"/>
    <x v="1"/>
    <x v="1"/>
  </r>
  <r>
    <x v="4"/>
    <s v="Twitter"/>
    <n v="845"/>
    <n v="250"/>
    <n v="218228"/>
    <n v="4.5199999999999996"/>
    <n v="21107"/>
    <n v="595"/>
    <x v="1"/>
    <x v="1"/>
  </r>
  <r>
    <x v="4"/>
    <s v="YouTube"/>
    <n v="1218"/>
    <n v="101"/>
    <n v="300397"/>
    <n v="4.33"/>
    <n v="12277"/>
    <n v="1117"/>
    <x v="1"/>
    <x v="1"/>
  </r>
  <r>
    <x v="5"/>
    <s v="Instagram"/>
    <n v="797"/>
    <n v="130"/>
    <n v="340121"/>
    <n v="8.52"/>
    <n v="11684"/>
    <n v="667"/>
    <x v="1"/>
    <x v="1"/>
  </r>
  <r>
    <x v="5"/>
    <s v="Twitter"/>
    <n v="1471"/>
    <n v="100"/>
    <n v="76866"/>
    <n v="8.5500000000000007"/>
    <n v="14412"/>
    <n v="1371"/>
    <x v="1"/>
    <x v="1"/>
  </r>
  <r>
    <x v="5"/>
    <s v="YouTube"/>
    <n v="1253"/>
    <n v="136"/>
    <n v="193131"/>
    <n v="7.99"/>
    <n v="15924"/>
    <n v="1117"/>
    <x v="1"/>
    <x v="1"/>
  </r>
  <r>
    <x v="6"/>
    <s v="Instagram"/>
    <n v="616"/>
    <n v="257"/>
    <n v="169665"/>
    <n v="6.31"/>
    <n v="12390"/>
    <n v="359"/>
    <x v="1"/>
    <x v="1"/>
  </r>
  <r>
    <x v="6"/>
    <s v="Twitter"/>
    <n v="1308"/>
    <n v="210"/>
    <n v="263729"/>
    <n v="8.5299999999999994"/>
    <n v="25742"/>
    <n v="1098"/>
    <x v="1"/>
    <x v="1"/>
  </r>
  <r>
    <x v="6"/>
    <s v="YouTube"/>
    <n v="981"/>
    <n v="69"/>
    <n v="206921"/>
    <n v="8.42"/>
    <n v="10495"/>
    <n v="912"/>
    <x v="1"/>
    <x v="1"/>
  </r>
  <r>
    <x v="7"/>
    <s v="Instagram"/>
    <n v="866"/>
    <n v="74"/>
    <n v="204121"/>
    <n v="9.34"/>
    <n v="7797"/>
    <n v="792"/>
    <x v="0"/>
    <x v="0"/>
  </r>
  <r>
    <x v="7"/>
    <s v="Twitter"/>
    <n v="547"/>
    <n v="183"/>
    <n v="266350"/>
    <n v="5.65"/>
    <n v="15595"/>
    <n v="364"/>
    <x v="0"/>
    <x v="0"/>
  </r>
  <r>
    <x v="7"/>
    <s v="YouTube"/>
    <n v="1241"/>
    <n v="116"/>
    <n v="380606"/>
    <n v="4.2"/>
    <n v="24617"/>
    <n v="1125"/>
    <x v="0"/>
    <x v="0"/>
  </r>
  <r>
    <x v="8"/>
    <s v="Instagram"/>
    <n v="973"/>
    <n v="104"/>
    <n v="376358"/>
    <n v="3.87"/>
    <n v="9847"/>
    <n v="869"/>
    <x v="0"/>
    <x v="0"/>
  </r>
  <r>
    <x v="8"/>
    <s v="Twitter"/>
    <n v="611"/>
    <n v="197"/>
    <n v="79423"/>
    <n v="5.82"/>
    <n v="13644"/>
    <n v="414"/>
    <x v="0"/>
    <x v="0"/>
  </r>
  <r>
    <x v="8"/>
    <s v="YouTube"/>
    <n v="983"/>
    <n v="134"/>
    <n v="352178"/>
    <n v="3.55"/>
    <n v="11421"/>
    <n v="849"/>
    <x v="0"/>
    <x v="0"/>
  </r>
  <r>
    <x v="9"/>
    <s v="Instagram"/>
    <n v="1449"/>
    <n v="96"/>
    <n v="200636"/>
    <n v="9.92"/>
    <n v="15613"/>
    <n v="1353"/>
    <x v="0"/>
    <x v="0"/>
  </r>
  <r>
    <x v="9"/>
    <s v="Twitter"/>
    <n v="752"/>
    <n v="170"/>
    <n v="132756"/>
    <n v="8.17"/>
    <n v="23900"/>
    <n v="582"/>
    <x v="0"/>
    <x v="0"/>
  </r>
  <r>
    <x v="9"/>
    <s v="YouTube"/>
    <n v="937"/>
    <n v="179"/>
    <n v="318098"/>
    <n v="5.3"/>
    <n v="5836"/>
    <n v="758"/>
    <x v="0"/>
    <x v="0"/>
  </r>
  <r>
    <x v="10"/>
    <s v="Instagram"/>
    <n v="1060"/>
    <n v="83"/>
    <n v="68724"/>
    <n v="5.98"/>
    <n v="5624"/>
    <n v="977"/>
    <x v="0"/>
    <x v="0"/>
  </r>
  <r>
    <x v="10"/>
    <s v="Twitter"/>
    <n v="1456"/>
    <n v="265"/>
    <n v="115505"/>
    <n v="7.49"/>
    <n v="10311"/>
    <n v="1191"/>
    <x v="0"/>
    <x v="0"/>
  </r>
  <r>
    <x v="10"/>
    <s v="YouTube"/>
    <n v="1109"/>
    <n v="205"/>
    <n v="276722"/>
    <n v="9.3800000000000008"/>
    <n v="8274"/>
    <n v="904"/>
    <x v="0"/>
    <x v="0"/>
  </r>
  <r>
    <x v="11"/>
    <s v="Instagram"/>
    <n v="1002"/>
    <n v="93"/>
    <n v="353538"/>
    <n v="5.84"/>
    <n v="6031"/>
    <n v="909"/>
    <x v="0"/>
    <x v="0"/>
  </r>
  <r>
    <x v="11"/>
    <s v="Twitter"/>
    <n v="571"/>
    <n v="189"/>
    <n v="61445"/>
    <n v="5.41"/>
    <n v="27829"/>
    <n v="382"/>
    <x v="0"/>
    <x v="0"/>
  </r>
  <r>
    <x v="11"/>
    <s v="YouTube"/>
    <n v="1240"/>
    <n v="231"/>
    <n v="165035"/>
    <n v="6.05"/>
    <n v="18267"/>
    <n v="1009"/>
    <x v="0"/>
    <x v="0"/>
  </r>
  <r>
    <x v="12"/>
    <s v="Instagram"/>
    <n v="1154"/>
    <n v="132"/>
    <n v="194595"/>
    <n v="7.54"/>
    <n v="26624"/>
    <n v="1022"/>
    <x v="0"/>
    <x v="0"/>
  </r>
  <r>
    <x v="12"/>
    <s v="Twitter"/>
    <n v="537"/>
    <n v="275"/>
    <n v="236238"/>
    <n v="5.87"/>
    <n v="26644"/>
    <n v="262"/>
    <x v="0"/>
    <x v="0"/>
  </r>
  <r>
    <x v="12"/>
    <s v="YouTube"/>
    <n v="1456"/>
    <n v="290"/>
    <n v="271044"/>
    <n v="7.17"/>
    <n v="13051"/>
    <n v="1166"/>
    <x v="0"/>
    <x v="0"/>
  </r>
  <r>
    <x v="13"/>
    <s v="Instagram"/>
    <n v="721"/>
    <n v="206"/>
    <n v="334887"/>
    <n v="6.05"/>
    <n v="14217"/>
    <n v="515"/>
    <x v="0"/>
    <x v="0"/>
  </r>
  <r>
    <x v="13"/>
    <s v="Twitter"/>
    <n v="1098"/>
    <n v="142"/>
    <n v="359150"/>
    <n v="7.51"/>
    <n v="16385"/>
    <n v="956"/>
    <x v="0"/>
    <x v="0"/>
  </r>
  <r>
    <x v="13"/>
    <s v="YouTube"/>
    <n v="1096"/>
    <n v="65"/>
    <n v="358295"/>
    <n v="7.66"/>
    <n v="24548"/>
    <n v="1031"/>
    <x v="0"/>
    <x v="0"/>
  </r>
  <r>
    <x v="14"/>
    <s v="Instagram"/>
    <n v="912"/>
    <n v="275"/>
    <n v="368454"/>
    <n v="6.03"/>
    <n v="9195"/>
    <n v="637"/>
    <x v="0"/>
    <x v="0"/>
  </r>
  <r>
    <x v="14"/>
    <s v="Twitter"/>
    <n v="1430"/>
    <n v="162"/>
    <n v="269082"/>
    <n v="3.4"/>
    <n v="18071"/>
    <n v="1268"/>
    <x v="0"/>
    <x v="0"/>
  </r>
  <r>
    <x v="14"/>
    <s v="YouTube"/>
    <n v="854"/>
    <n v="129"/>
    <n v="310903"/>
    <n v="7.83"/>
    <n v="16875"/>
    <n v="725"/>
    <x v="0"/>
    <x v="0"/>
  </r>
  <r>
    <x v="15"/>
    <s v="Instagram"/>
    <n v="681"/>
    <n v="210"/>
    <n v="248581"/>
    <n v="8.76"/>
    <n v="9567"/>
    <n v="471"/>
    <x v="0"/>
    <x v="0"/>
  </r>
  <r>
    <x v="15"/>
    <s v="Twitter"/>
    <n v="1373"/>
    <n v="82"/>
    <n v="371015"/>
    <n v="9.52"/>
    <n v="20306"/>
    <n v="1291"/>
    <x v="0"/>
    <x v="0"/>
  </r>
  <r>
    <x v="15"/>
    <s v="YouTube"/>
    <n v="685"/>
    <n v="285"/>
    <n v="177452"/>
    <n v="3.36"/>
    <n v="21134"/>
    <n v="400"/>
    <x v="0"/>
    <x v="0"/>
  </r>
  <r>
    <x v="16"/>
    <s v="Instagram"/>
    <n v="1290"/>
    <n v="177"/>
    <n v="80745"/>
    <n v="9.2200000000000006"/>
    <n v="26872"/>
    <n v="1113"/>
    <x v="0"/>
    <x v="0"/>
  </r>
  <r>
    <x v="16"/>
    <s v="Twitter"/>
    <n v="1437"/>
    <n v="239"/>
    <n v="362441"/>
    <n v="5.57"/>
    <n v="10253"/>
    <n v="1198"/>
    <x v="0"/>
    <x v="0"/>
  </r>
  <r>
    <x v="16"/>
    <s v="YouTube"/>
    <n v="769"/>
    <n v="295"/>
    <n v="344771"/>
    <n v="8.06"/>
    <n v="23963"/>
    <n v="474"/>
    <x v="0"/>
    <x v="0"/>
  </r>
  <r>
    <x v="17"/>
    <s v="Instagram"/>
    <n v="1416"/>
    <n v="284"/>
    <n v="374952"/>
    <n v="3.45"/>
    <n v="11335"/>
    <n v="1132"/>
    <x v="0"/>
    <x v="0"/>
  </r>
  <r>
    <x v="17"/>
    <s v="Twitter"/>
    <n v="998"/>
    <n v="154"/>
    <n v="179781"/>
    <n v="9.58"/>
    <n v="12115"/>
    <n v="844"/>
    <x v="0"/>
    <x v="0"/>
  </r>
  <r>
    <x v="17"/>
    <s v="YouTube"/>
    <n v="1421"/>
    <n v="246"/>
    <n v="358581"/>
    <n v="8.8800000000000008"/>
    <n v="24358"/>
    <n v="1175"/>
    <x v="0"/>
    <x v="0"/>
  </r>
  <r>
    <x v="18"/>
    <s v="Instagram"/>
    <n v="764"/>
    <n v="205"/>
    <n v="319294"/>
    <n v="6.23"/>
    <n v="12181"/>
    <n v="559"/>
    <x v="0"/>
    <x v="0"/>
  </r>
  <r>
    <x v="18"/>
    <s v="Twitter"/>
    <n v="678"/>
    <n v="124"/>
    <n v="192022"/>
    <n v="8.4499999999999993"/>
    <n v="17729"/>
    <n v="554"/>
    <x v="0"/>
    <x v="0"/>
  </r>
  <r>
    <x v="18"/>
    <s v="YouTube"/>
    <n v="1328"/>
    <n v="103"/>
    <n v="151462"/>
    <n v="8.4"/>
    <n v="10881"/>
    <n v="1225"/>
    <x v="0"/>
    <x v="0"/>
  </r>
  <r>
    <x v="19"/>
    <s v="Instagram"/>
    <n v="1161"/>
    <n v="269"/>
    <n v="188193"/>
    <n v="7.34"/>
    <n v="18576"/>
    <n v="892"/>
    <x v="0"/>
    <x v="0"/>
  </r>
  <r>
    <x v="19"/>
    <s v="Twitter"/>
    <n v="588"/>
    <n v="52"/>
    <n v="292040"/>
    <n v="8.14"/>
    <n v="9383"/>
    <n v="536"/>
    <x v="0"/>
    <x v="0"/>
  </r>
  <r>
    <x v="19"/>
    <s v="YouTube"/>
    <n v="1457"/>
    <n v="215"/>
    <n v="325325"/>
    <n v="9.58"/>
    <n v="14178"/>
    <n v="1242"/>
    <x v="0"/>
    <x v="0"/>
  </r>
  <r>
    <x v="20"/>
    <s v="Instagram"/>
    <n v="1190"/>
    <n v="242"/>
    <n v="86849"/>
    <n v="8.06"/>
    <n v="21254"/>
    <n v="948"/>
    <x v="0"/>
    <x v="0"/>
  </r>
  <r>
    <x v="20"/>
    <s v="Twitter"/>
    <n v="886"/>
    <n v="124"/>
    <n v="141161"/>
    <n v="8.19"/>
    <n v="14215"/>
    <n v="762"/>
    <x v="0"/>
    <x v="0"/>
  </r>
  <r>
    <x v="20"/>
    <s v="YouTube"/>
    <n v="1237"/>
    <n v="155"/>
    <n v="149916"/>
    <n v="4.4800000000000004"/>
    <n v="16921"/>
    <n v="1082"/>
    <x v="0"/>
    <x v="0"/>
  </r>
  <r>
    <x v="21"/>
    <s v="Instagram"/>
    <n v="1435"/>
    <n v="261"/>
    <n v="308533"/>
    <n v="4.5199999999999996"/>
    <n v="25130"/>
    <n v="1174"/>
    <x v="0"/>
    <x v="0"/>
  </r>
  <r>
    <x v="21"/>
    <s v="Twitter"/>
    <n v="746"/>
    <n v="282"/>
    <n v="293894"/>
    <n v="5.42"/>
    <n v="25537"/>
    <n v="464"/>
    <x v="0"/>
    <x v="0"/>
  </r>
  <r>
    <x v="21"/>
    <s v="YouTube"/>
    <n v="759"/>
    <n v="216"/>
    <n v="147656"/>
    <n v="4.08"/>
    <n v="24943"/>
    <n v="543"/>
    <x v="0"/>
    <x v="0"/>
  </r>
  <r>
    <x v="22"/>
    <s v="Instagram"/>
    <n v="1437"/>
    <n v="235"/>
    <n v="326791"/>
    <n v="4.0599999999999996"/>
    <n v="14563"/>
    <n v="1202"/>
    <x v="0"/>
    <x v="0"/>
  </r>
  <r>
    <x v="22"/>
    <s v="Twitter"/>
    <n v="1463"/>
    <n v="73"/>
    <n v="348877"/>
    <n v="9.91"/>
    <n v="26273"/>
    <n v="1390"/>
    <x v="0"/>
    <x v="0"/>
  </r>
  <r>
    <x v="22"/>
    <s v="YouTube"/>
    <n v="1208"/>
    <n v="224"/>
    <n v="122730"/>
    <n v="8.7200000000000006"/>
    <n v="10858"/>
    <n v="984"/>
    <x v="0"/>
    <x v="0"/>
  </r>
  <r>
    <x v="23"/>
    <s v="Instagram"/>
    <n v="1391"/>
    <n v="187"/>
    <n v="306508"/>
    <n v="8.3800000000000008"/>
    <n v="25038"/>
    <n v="1204"/>
    <x v="0"/>
    <x v="0"/>
  </r>
  <r>
    <x v="23"/>
    <s v="Twitter"/>
    <n v="655"/>
    <n v="123"/>
    <n v="202472"/>
    <n v="7.56"/>
    <n v="9092"/>
    <n v="532"/>
    <x v="0"/>
    <x v="0"/>
  </r>
  <r>
    <x v="23"/>
    <s v="YouTube"/>
    <n v="1148"/>
    <n v="90"/>
    <n v="227249"/>
    <n v="7.24"/>
    <n v="17662"/>
    <n v="1058"/>
    <x v="0"/>
    <x v="0"/>
  </r>
  <r>
    <x v="24"/>
    <s v="Instagram"/>
    <n v="946"/>
    <n v="270"/>
    <n v="246567"/>
    <n v="4.53"/>
    <n v="5924"/>
    <n v="676"/>
    <x v="0"/>
    <x v="0"/>
  </r>
  <r>
    <x v="24"/>
    <s v="Twitter"/>
    <n v="791"/>
    <n v="214"/>
    <n v="114738"/>
    <n v="6.62"/>
    <n v="25347"/>
    <n v="577"/>
    <x v="0"/>
    <x v="0"/>
  </r>
  <r>
    <x v="24"/>
    <s v="YouTube"/>
    <n v="793"/>
    <n v="111"/>
    <n v="333500"/>
    <n v="6.36"/>
    <n v="8910"/>
    <n v="682"/>
    <x v="0"/>
    <x v="0"/>
  </r>
  <r>
    <x v="25"/>
    <s v="Instagram"/>
    <n v="663"/>
    <n v="213"/>
    <n v="352677"/>
    <n v="9"/>
    <n v="20438"/>
    <n v="450"/>
    <x v="0"/>
    <x v="0"/>
  </r>
  <r>
    <x v="25"/>
    <s v="Twitter"/>
    <n v="954"/>
    <n v="271"/>
    <n v="160936"/>
    <n v="8.83"/>
    <n v="8760"/>
    <n v="683"/>
    <x v="0"/>
    <x v="0"/>
  </r>
  <r>
    <x v="25"/>
    <s v="YouTube"/>
    <n v="1313"/>
    <n v="159"/>
    <n v="197183"/>
    <n v="9.7100000000000009"/>
    <n v="6625"/>
    <n v="1154"/>
    <x v="0"/>
    <x v="0"/>
  </r>
  <r>
    <x v="26"/>
    <s v="Instagram"/>
    <n v="895"/>
    <n v="87"/>
    <n v="171271"/>
    <n v="6.68"/>
    <n v="23329"/>
    <n v="808"/>
    <x v="2"/>
    <x v="1"/>
  </r>
  <r>
    <x v="26"/>
    <s v="Twitter"/>
    <n v="1027"/>
    <n v="156"/>
    <n v="111293"/>
    <n v="5.51"/>
    <n v="7299"/>
    <n v="871"/>
    <x v="2"/>
    <x v="1"/>
  </r>
  <r>
    <x v="26"/>
    <s v="YouTube"/>
    <n v="990"/>
    <n v="286"/>
    <n v="351493"/>
    <n v="7.97"/>
    <n v="14496"/>
    <n v="704"/>
    <x v="2"/>
    <x v="1"/>
  </r>
  <r>
    <x v="27"/>
    <s v="Instagram"/>
    <n v="875"/>
    <n v="264"/>
    <n v="345631"/>
    <n v="9.18"/>
    <n v="25703"/>
    <n v="611"/>
    <x v="2"/>
    <x v="1"/>
  </r>
  <r>
    <x v="27"/>
    <s v="Twitter"/>
    <n v="599"/>
    <n v="194"/>
    <n v="105622"/>
    <n v="6.44"/>
    <n v="15108"/>
    <n v="405"/>
    <x v="2"/>
    <x v="1"/>
  </r>
  <r>
    <x v="27"/>
    <s v="YouTube"/>
    <n v="630"/>
    <n v="248"/>
    <n v="119054"/>
    <n v="5.0199999999999996"/>
    <n v="18867"/>
    <n v="382"/>
    <x v="2"/>
    <x v="1"/>
  </r>
  <r>
    <x v="28"/>
    <s v="Instagram"/>
    <n v="1350"/>
    <n v="233"/>
    <n v="171670"/>
    <n v="4.53"/>
    <n v="17574"/>
    <n v="1117"/>
    <x v="2"/>
    <x v="1"/>
  </r>
  <r>
    <x v="28"/>
    <s v="Twitter"/>
    <n v="632"/>
    <n v="155"/>
    <n v="170432"/>
    <n v="9.17"/>
    <n v="12840"/>
    <n v="477"/>
    <x v="2"/>
    <x v="1"/>
  </r>
  <r>
    <x v="28"/>
    <s v="YouTube"/>
    <n v="1182"/>
    <n v="83"/>
    <n v="140300"/>
    <n v="3.27"/>
    <n v="21079"/>
    <n v="1099"/>
    <x v="2"/>
    <x v="1"/>
  </r>
  <r>
    <x v="29"/>
    <s v="Instagram"/>
    <n v="661"/>
    <n v="94"/>
    <n v="116538"/>
    <n v="5.31"/>
    <n v="23486"/>
    <n v="567"/>
    <x v="2"/>
    <x v="1"/>
  </r>
  <r>
    <x v="29"/>
    <s v="Twitter"/>
    <n v="1360"/>
    <n v="227"/>
    <n v="176902"/>
    <n v="6.03"/>
    <n v="5960"/>
    <n v="1133"/>
    <x v="2"/>
    <x v="1"/>
  </r>
  <r>
    <x v="29"/>
    <s v="YouTube"/>
    <n v="935"/>
    <n v="85"/>
    <n v="326821"/>
    <n v="8.89"/>
    <n v="13301"/>
    <n v="850"/>
    <x v="2"/>
    <x v="1"/>
  </r>
  <r>
    <x v="30"/>
    <s v="Instagram"/>
    <n v="664"/>
    <n v="251"/>
    <n v="240598"/>
    <n v="4.79"/>
    <n v="10563"/>
    <n v="413"/>
    <x v="2"/>
    <x v="1"/>
  </r>
  <r>
    <x v="30"/>
    <s v="Twitter"/>
    <n v="1490"/>
    <n v="103"/>
    <n v="373274"/>
    <n v="4.8"/>
    <n v="19949"/>
    <n v="1387"/>
    <x v="2"/>
    <x v="1"/>
  </r>
  <r>
    <x v="30"/>
    <s v="YouTube"/>
    <n v="601"/>
    <n v="64"/>
    <n v="123272"/>
    <n v="4.07"/>
    <n v="14273"/>
    <n v="537"/>
    <x v="2"/>
    <x v="1"/>
  </r>
  <r>
    <x v="31"/>
    <s v="Instagram"/>
    <n v="613"/>
    <n v="170"/>
    <n v="139266"/>
    <n v="6.06"/>
    <n v="9247"/>
    <n v="443"/>
    <x v="0"/>
    <x v="0"/>
  </r>
  <r>
    <x v="31"/>
    <s v="Twitter"/>
    <n v="1340"/>
    <n v="57"/>
    <n v="155927"/>
    <n v="7.79"/>
    <n v="11972"/>
    <n v="1283"/>
    <x v="0"/>
    <x v="0"/>
  </r>
  <r>
    <x v="31"/>
    <s v="YouTube"/>
    <n v="953"/>
    <n v="228"/>
    <n v="258398"/>
    <n v="9.0500000000000007"/>
    <n v="13314"/>
    <n v="725"/>
    <x v="0"/>
    <x v="0"/>
  </r>
  <r>
    <x v="32"/>
    <s v="Instagram"/>
    <n v="532"/>
    <n v="65"/>
    <n v="338561"/>
    <n v="3.5"/>
    <n v="14749"/>
    <n v="467"/>
    <x v="3"/>
    <x v="1"/>
  </r>
  <r>
    <x v="32"/>
    <s v="Twitter"/>
    <n v="1414"/>
    <n v="60"/>
    <n v="341856"/>
    <n v="8.76"/>
    <n v="6868"/>
    <n v="1354"/>
    <x v="3"/>
    <x v="1"/>
  </r>
  <r>
    <x v="32"/>
    <s v="YouTube"/>
    <n v="685"/>
    <n v="165"/>
    <n v="175860"/>
    <n v="6.26"/>
    <n v="6027"/>
    <n v="520"/>
    <x v="3"/>
    <x v="1"/>
  </r>
  <r>
    <x v="33"/>
    <s v="Instagram"/>
    <n v="601"/>
    <n v="159"/>
    <n v="327722"/>
    <n v="3.33"/>
    <n v="25267"/>
    <n v="442"/>
    <x v="3"/>
    <x v="1"/>
  </r>
  <r>
    <x v="33"/>
    <s v="Twitter"/>
    <n v="841"/>
    <n v="295"/>
    <n v="271638"/>
    <n v="9.15"/>
    <n v="5900"/>
    <n v="546"/>
    <x v="3"/>
    <x v="1"/>
  </r>
  <r>
    <x v="33"/>
    <s v="YouTube"/>
    <n v="1105"/>
    <n v="261"/>
    <n v="333851"/>
    <n v="6.03"/>
    <n v="11181"/>
    <n v="844"/>
    <x v="3"/>
    <x v="1"/>
  </r>
  <r>
    <x v="34"/>
    <s v="Instagram"/>
    <n v="566"/>
    <n v="225"/>
    <n v="368984"/>
    <n v="9.82"/>
    <n v="9592"/>
    <n v="341"/>
    <x v="3"/>
    <x v="1"/>
  </r>
  <r>
    <x v="34"/>
    <s v="Twitter"/>
    <n v="1149"/>
    <n v="280"/>
    <n v="167310"/>
    <n v="3.7"/>
    <n v="5291"/>
    <n v="869"/>
    <x v="3"/>
    <x v="1"/>
  </r>
  <r>
    <x v="34"/>
    <s v="YouTube"/>
    <n v="819"/>
    <n v="101"/>
    <n v="194811"/>
    <n v="3.35"/>
    <n v="22244"/>
    <n v="718"/>
    <x v="3"/>
    <x v="1"/>
  </r>
  <r>
    <x v="35"/>
    <s v="Instagram"/>
    <n v="795"/>
    <n v="60"/>
    <n v="314982"/>
    <n v="7.31"/>
    <n v="6824"/>
    <n v="735"/>
    <x v="3"/>
    <x v="1"/>
  </r>
  <r>
    <x v="35"/>
    <s v="Twitter"/>
    <n v="681"/>
    <n v="158"/>
    <n v="75960"/>
    <n v="3.13"/>
    <n v="24112"/>
    <n v="523"/>
    <x v="3"/>
    <x v="1"/>
  </r>
  <r>
    <x v="35"/>
    <s v="YouTube"/>
    <n v="534"/>
    <n v="112"/>
    <n v="360759"/>
    <n v="4.8899999999999997"/>
    <n v="25478"/>
    <n v="422"/>
    <x v="3"/>
    <x v="1"/>
  </r>
  <r>
    <x v="36"/>
    <s v="Instagram"/>
    <n v="1066"/>
    <n v="151"/>
    <n v="297090"/>
    <n v="8.6300000000000008"/>
    <n v="11235"/>
    <n v="915"/>
    <x v="3"/>
    <x v="1"/>
  </r>
  <r>
    <x v="36"/>
    <s v="Twitter"/>
    <n v="1270"/>
    <n v="162"/>
    <n v="92040"/>
    <n v="8.0299999999999994"/>
    <n v="6120"/>
    <n v="1108"/>
    <x v="3"/>
    <x v="1"/>
  </r>
  <r>
    <x v="36"/>
    <s v="YouTube"/>
    <n v="536"/>
    <n v="198"/>
    <n v="174610"/>
    <n v="7.85"/>
    <n v="20572"/>
    <n v="338"/>
    <x v="3"/>
    <x v="1"/>
  </r>
  <r>
    <x v="37"/>
    <s v="Instagram"/>
    <n v="819"/>
    <n v="95"/>
    <n v="177376"/>
    <n v="6.12"/>
    <n v="14975"/>
    <n v="724"/>
    <x v="0"/>
    <x v="0"/>
  </r>
  <r>
    <x v="37"/>
    <s v="Twitter"/>
    <n v="681"/>
    <n v="218"/>
    <n v="198882"/>
    <n v="7.16"/>
    <n v="22234"/>
    <n v="463"/>
    <x v="0"/>
    <x v="0"/>
  </r>
  <r>
    <x v="37"/>
    <s v="YouTube"/>
    <n v="646"/>
    <n v="290"/>
    <n v="336383"/>
    <n v="7.04"/>
    <n v="6532"/>
    <n v="356"/>
    <x v="0"/>
    <x v="0"/>
  </r>
  <r>
    <x v="38"/>
    <s v="Instagram"/>
    <n v="645"/>
    <n v="267"/>
    <n v="346890"/>
    <n v="3.71"/>
    <n v="24858"/>
    <n v="378"/>
    <x v="0"/>
    <x v="0"/>
  </r>
  <r>
    <x v="38"/>
    <s v="Twitter"/>
    <n v="886"/>
    <n v="250"/>
    <n v="168170"/>
    <n v="4.12"/>
    <n v="13883"/>
    <n v="636"/>
    <x v="0"/>
    <x v="0"/>
  </r>
  <r>
    <x v="38"/>
    <s v="YouTube"/>
    <n v="978"/>
    <n v="279"/>
    <n v="368872"/>
    <n v="6.82"/>
    <n v="18654"/>
    <n v="699"/>
    <x v="0"/>
    <x v="0"/>
  </r>
  <r>
    <x v="39"/>
    <s v="Instagram"/>
    <n v="1444"/>
    <n v="165"/>
    <n v="116436"/>
    <n v="8.2200000000000006"/>
    <n v="25234"/>
    <n v="1279"/>
    <x v="4"/>
    <x v="1"/>
  </r>
  <r>
    <x v="39"/>
    <s v="Twitter"/>
    <n v="1234"/>
    <n v="228"/>
    <n v="127502"/>
    <n v="7.71"/>
    <n v="6772"/>
    <n v="1006"/>
    <x v="4"/>
    <x v="1"/>
  </r>
  <r>
    <x v="39"/>
    <s v="YouTube"/>
    <n v="665"/>
    <n v="187"/>
    <n v="274567"/>
    <n v="7.39"/>
    <n v="22428"/>
    <n v="478"/>
    <x v="4"/>
    <x v="1"/>
  </r>
  <r>
    <x v="40"/>
    <s v="Instagram"/>
    <n v="631"/>
    <n v="86"/>
    <n v="295090"/>
    <n v="7.89"/>
    <n v="11911"/>
    <n v="545"/>
    <x v="4"/>
    <x v="1"/>
  </r>
  <r>
    <x v="40"/>
    <s v="Twitter"/>
    <n v="1159"/>
    <n v="154"/>
    <n v="194994"/>
    <n v="6.39"/>
    <n v="21900"/>
    <n v="1005"/>
    <x v="4"/>
    <x v="1"/>
  </r>
  <r>
    <x v="40"/>
    <s v="YouTube"/>
    <n v="950"/>
    <n v="185"/>
    <n v="340750"/>
    <n v="6.77"/>
    <n v="25542"/>
    <n v="765"/>
    <x v="4"/>
    <x v="1"/>
  </r>
  <r>
    <x v="41"/>
    <s v="Instagram"/>
    <n v="693"/>
    <n v="129"/>
    <n v="296031"/>
    <n v="3.41"/>
    <n v="7140"/>
    <n v="564"/>
    <x v="4"/>
    <x v="1"/>
  </r>
  <r>
    <x v="41"/>
    <s v="Twitter"/>
    <n v="576"/>
    <n v="80"/>
    <n v="345688"/>
    <n v="4.1100000000000003"/>
    <n v="20474"/>
    <n v="496"/>
    <x v="4"/>
    <x v="1"/>
  </r>
  <r>
    <x v="41"/>
    <s v="YouTube"/>
    <n v="1274"/>
    <n v="146"/>
    <n v="263488"/>
    <n v="9.58"/>
    <n v="8698"/>
    <n v="1128"/>
    <x v="4"/>
    <x v="1"/>
  </r>
  <r>
    <x v="42"/>
    <s v="Instagram"/>
    <n v="818"/>
    <n v="253"/>
    <n v="184911"/>
    <n v="3.39"/>
    <n v="10402"/>
    <n v="565"/>
    <x v="4"/>
    <x v="1"/>
  </r>
  <r>
    <x v="42"/>
    <s v="Twitter"/>
    <n v="975"/>
    <n v="162"/>
    <n v="124497"/>
    <n v="9.58"/>
    <n v="26618"/>
    <n v="813"/>
    <x v="4"/>
    <x v="1"/>
  </r>
  <r>
    <x v="42"/>
    <s v="YouTube"/>
    <n v="1398"/>
    <n v="97"/>
    <n v="397607"/>
    <n v="5.09"/>
    <n v="7975"/>
    <n v="1301"/>
    <x v="4"/>
    <x v="1"/>
  </r>
  <r>
    <x v="43"/>
    <s v="Instagram"/>
    <n v="591"/>
    <n v="155"/>
    <n v="138521"/>
    <n v="7.85"/>
    <n v="19054"/>
    <n v="436"/>
    <x v="4"/>
    <x v="1"/>
  </r>
  <r>
    <x v="43"/>
    <s v="Twitter"/>
    <n v="1232"/>
    <n v="254"/>
    <n v="107718"/>
    <n v="9.7100000000000009"/>
    <n v="13740"/>
    <n v="978"/>
    <x v="4"/>
    <x v="1"/>
  </r>
  <r>
    <x v="43"/>
    <s v="YouTube"/>
    <n v="1425"/>
    <n v="58"/>
    <n v="202234"/>
    <n v="6.67"/>
    <n v="18442"/>
    <n v="1367"/>
    <x v="4"/>
    <x v="1"/>
  </r>
  <r>
    <x v="44"/>
    <s v="Instagram"/>
    <n v="1417"/>
    <n v="80"/>
    <n v="340987"/>
    <n v="6.13"/>
    <n v="10104"/>
    <n v="1337"/>
    <x v="0"/>
    <x v="0"/>
  </r>
  <r>
    <x v="44"/>
    <s v="Twitter"/>
    <n v="1222"/>
    <n v="208"/>
    <n v="340098"/>
    <n v="7.34"/>
    <n v="21771"/>
    <n v="1014"/>
    <x v="0"/>
    <x v="0"/>
  </r>
  <r>
    <x v="44"/>
    <s v="YouTube"/>
    <n v="1071"/>
    <n v="131"/>
    <n v="254727"/>
    <n v="6.87"/>
    <n v="22191"/>
    <n v="940"/>
    <x v="0"/>
    <x v="0"/>
  </r>
  <r>
    <x v="45"/>
    <s v="Instagram"/>
    <n v="772"/>
    <n v="82"/>
    <n v="345659"/>
    <n v="3.52"/>
    <n v="27753"/>
    <n v="690"/>
    <x v="0"/>
    <x v="0"/>
  </r>
  <r>
    <x v="45"/>
    <s v="Twitter"/>
    <n v="1472"/>
    <n v="137"/>
    <n v="213950"/>
    <n v="6.96"/>
    <n v="23736"/>
    <n v="1335"/>
    <x v="0"/>
    <x v="0"/>
  </r>
  <r>
    <x v="45"/>
    <s v="YouTube"/>
    <n v="1472"/>
    <n v="281"/>
    <n v="258115"/>
    <n v="7.23"/>
    <n v="27393"/>
    <n v="1191"/>
    <x v="0"/>
    <x v="0"/>
  </r>
  <r>
    <x v="46"/>
    <s v="Instagram"/>
    <n v="585"/>
    <n v="232"/>
    <n v="321258"/>
    <n v="7.42"/>
    <n v="10343"/>
    <n v="353"/>
    <x v="0"/>
    <x v="0"/>
  </r>
  <r>
    <x v="46"/>
    <s v="Twitter"/>
    <n v="747"/>
    <n v="261"/>
    <n v="338650"/>
    <n v="7.73"/>
    <n v="25259"/>
    <n v="486"/>
    <x v="0"/>
    <x v="0"/>
  </r>
  <r>
    <x v="46"/>
    <s v="YouTube"/>
    <n v="1113"/>
    <n v="224"/>
    <n v="272989"/>
    <n v="5.13"/>
    <n v="24827"/>
    <n v="889"/>
    <x v="0"/>
    <x v="0"/>
  </r>
  <r>
    <x v="47"/>
    <s v="Instagram"/>
    <n v="1100"/>
    <n v="117"/>
    <n v="260204"/>
    <n v="4.4000000000000004"/>
    <n v="11908"/>
    <n v="983"/>
    <x v="0"/>
    <x v="0"/>
  </r>
  <r>
    <x v="47"/>
    <s v="Twitter"/>
    <n v="751"/>
    <n v="170"/>
    <n v="283278"/>
    <n v="3.49"/>
    <n v="11005"/>
    <n v="581"/>
    <x v="0"/>
    <x v="0"/>
  </r>
  <r>
    <x v="47"/>
    <s v="YouTube"/>
    <n v="864"/>
    <n v="50"/>
    <n v="277445"/>
    <n v="3.57"/>
    <n v="26333"/>
    <n v="814"/>
    <x v="0"/>
    <x v="0"/>
  </r>
  <r>
    <x v="48"/>
    <s v="Instagram"/>
    <n v="1146"/>
    <n v="227"/>
    <n v="353781"/>
    <n v="6.41"/>
    <n v="5495"/>
    <n v="919"/>
    <x v="0"/>
    <x v="0"/>
  </r>
  <r>
    <x v="48"/>
    <s v="Twitter"/>
    <n v="883"/>
    <n v="207"/>
    <n v="265019"/>
    <n v="6.04"/>
    <n v="15655"/>
    <n v="676"/>
    <x v="0"/>
    <x v="0"/>
  </r>
  <r>
    <x v="48"/>
    <s v="YouTube"/>
    <n v="622"/>
    <n v="163"/>
    <n v="231925"/>
    <n v="9.18"/>
    <n v="13763"/>
    <n v="459"/>
    <x v="0"/>
    <x v="0"/>
  </r>
  <r>
    <x v="49"/>
    <s v="Instagram"/>
    <n v="837"/>
    <n v="261"/>
    <n v="366149"/>
    <n v="6.54"/>
    <n v="26073"/>
    <n v="576"/>
    <x v="0"/>
    <x v="0"/>
  </r>
  <r>
    <x v="49"/>
    <s v="Twitter"/>
    <n v="544"/>
    <n v="97"/>
    <n v="168375"/>
    <n v="8.66"/>
    <n v="12774"/>
    <n v="447"/>
    <x v="0"/>
    <x v="0"/>
  </r>
  <r>
    <x v="49"/>
    <s v="YouTube"/>
    <n v="624"/>
    <n v="247"/>
    <n v="252763"/>
    <n v="3.89"/>
    <n v="19000"/>
    <n v="377"/>
    <x v="0"/>
    <x v="0"/>
  </r>
  <r>
    <x v="50"/>
    <s v="Instagram"/>
    <n v="1073"/>
    <n v="141"/>
    <n v="118393"/>
    <n v="7.95"/>
    <n v="14051"/>
    <n v="932"/>
    <x v="0"/>
    <x v="0"/>
  </r>
  <r>
    <x v="50"/>
    <s v="Twitter"/>
    <n v="1430"/>
    <n v="74"/>
    <n v="327012"/>
    <n v="6.66"/>
    <n v="27782"/>
    <n v="1356"/>
    <x v="0"/>
    <x v="0"/>
  </r>
  <r>
    <x v="50"/>
    <s v="YouTube"/>
    <n v="1358"/>
    <n v="77"/>
    <n v="169688"/>
    <n v="5.25"/>
    <n v="7859"/>
    <n v="1281"/>
    <x v="0"/>
    <x v="0"/>
  </r>
  <r>
    <x v="51"/>
    <s v="Instagram"/>
    <n v="1242"/>
    <n v="201"/>
    <n v="271935"/>
    <n v="5.07"/>
    <n v="15773"/>
    <n v="1041"/>
    <x v="0"/>
    <x v="0"/>
  </r>
  <r>
    <x v="51"/>
    <s v="Twitter"/>
    <n v="1389"/>
    <n v="205"/>
    <n v="315981"/>
    <n v="7.62"/>
    <n v="20595"/>
    <n v="1184"/>
    <x v="0"/>
    <x v="0"/>
  </r>
  <r>
    <x v="51"/>
    <s v="YouTube"/>
    <n v="826"/>
    <n v="142"/>
    <n v="341016"/>
    <n v="7.44"/>
    <n v="12031"/>
    <n v="684"/>
    <x v="0"/>
    <x v="0"/>
  </r>
  <r>
    <x v="52"/>
    <s v="Instagram"/>
    <n v="618"/>
    <n v="264"/>
    <n v="285164"/>
    <n v="4.8600000000000003"/>
    <n v="15128"/>
    <n v="354"/>
    <x v="0"/>
    <x v="0"/>
  </r>
  <r>
    <x v="52"/>
    <s v="Twitter"/>
    <n v="1419"/>
    <n v="293"/>
    <n v="116632"/>
    <n v="6.93"/>
    <n v="11826"/>
    <n v="1126"/>
    <x v="0"/>
    <x v="0"/>
  </r>
  <r>
    <x v="52"/>
    <s v="YouTube"/>
    <n v="637"/>
    <n v="68"/>
    <n v="115694"/>
    <n v="9.99"/>
    <n v="12562"/>
    <n v="569"/>
    <x v="0"/>
    <x v="0"/>
  </r>
  <r>
    <x v="53"/>
    <s v="Instagram"/>
    <n v="917"/>
    <n v="187"/>
    <n v="64444"/>
    <n v="5.22"/>
    <n v="13013"/>
    <n v="730"/>
    <x v="0"/>
    <x v="0"/>
  </r>
  <r>
    <x v="53"/>
    <s v="Twitter"/>
    <n v="810"/>
    <n v="232"/>
    <n v="362559"/>
    <n v="5.17"/>
    <n v="12937"/>
    <n v="578"/>
    <x v="0"/>
    <x v="0"/>
  </r>
  <r>
    <x v="53"/>
    <s v="YouTube"/>
    <n v="1183"/>
    <n v="248"/>
    <n v="226881"/>
    <n v="5.17"/>
    <n v="14534"/>
    <n v="935"/>
    <x v="0"/>
    <x v="0"/>
  </r>
  <r>
    <x v="54"/>
    <s v="Instagram"/>
    <n v="765"/>
    <n v="67"/>
    <n v="283537"/>
    <n v="6.18"/>
    <n v="8182"/>
    <n v="698"/>
    <x v="0"/>
    <x v="0"/>
  </r>
  <r>
    <x v="54"/>
    <s v="Twitter"/>
    <n v="540"/>
    <n v="215"/>
    <n v="62837"/>
    <n v="5.3"/>
    <n v="10615"/>
    <n v="325"/>
    <x v="0"/>
    <x v="0"/>
  </r>
  <r>
    <x v="54"/>
    <s v="YouTube"/>
    <n v="1145"/>
    <n v="151"/>
    <n v="182759"/>
    <n v="5.99"/>
    <n v="20109"/>
    <n v="994"/>
    <x v="0"/>
    <x v="0"/>
  </r>
  <r>
    <x v="55"/>
    <s v="Instagram"/>
    <n v="564"/>
    <n v="244"/>
    <n v="279405"/>
    <n v="8.43"/>
    <n v="26024"/>
    <n v="320"/>
    <x v="0"/>
    <x v="0"/>
  </r>
  <r>
    <x v="55"/>
    <s v="Twitter"/>
    <n v="668"/>
    <n v="124"/>
    <n v="257485"/>
    <n v="7.55"/>
    <n v="26730"/>
    <n v="544"/>
    <x v="0"/>
    <x v="0"/>
  </r>
  <r>
    <x v="55"/>
    <s v="YouTube"/>
    <n v="761"/>
    <n v="241"/>
    <n v="154977"/>
    <n v="5.63"/>
    <n v="10563"/>
    <n v="520"/>
    <x v="0"/>
    <x v="0"/>
  </r>
  <r>
    <x v="56"/>
    <s v="Instagram"/>
    <n v="593"/>
    <n v="108"/>
    <n v="216500"/>
    <n v="4.71"/>
    <n v="27575"/>
    <n v="485"/>
    <x v="0"/>
    <x v="0"/>
  </r>
  <r>
    <x v="56"/>
    <s v="Twitter"/>
    <n v="1349"/>
    <n v="115"/>
    <n v="102102"/>
    <n v="5.28"/>
    <n v="14479"/>
    <n v="1234"/>
    <x v="0"/>
    <x v="0"/>
  </r>
  <r>
    <x v="56"/>
    <s v="YouTube"/>
    <n v="693"/>
    <n v="97"/>
    <n v="92025"/>
    <n v="5.95"/>
    <n v="15915"/>
    <n v="596"/>
    <x v="0"/>
    <x v="0"/>
  </r>
  <r>
    <x v="57"/>
    <s v="Instagram"/>
    <n v="974"/>
    <n v="143"/>
    <n v="247965"/>
    <n v="9.98"/>
    <n v="12767"/>
    <n v="831"/>
    <x v="0"/>
    <x v="0"/>
  </r>
  <r>
    <x v="57"/>
    <s v="Twitter"/>
    <n v="1155"/>
    <n v="122"/>
    <n v="387352"/>
    <n v="9.93"/>
    <n v="12170"/>
    <n v="1033"/>
    <x v="0"/>
    <x v="0"/>
  </r>
  <r>
    <x v="57"/>
    <s v="YouTube"/>
    <n v="1051"/>
    <n v="246"/>
    <n v="253985"/>
    <n v="9.08"/>
    <n v="7245"/>
    <n v="805"/>
    <x v="0"/>
    <x v="0"/>
  </r>
  <r>
    <x v="58"/>
    <s v="Instagram"/>
    <n v="1457"/>
    <n v="183"/>
    <n v="129640"/>
    <n v="7.98"/>
    <n v="12985"/>
    <n v="1274"/>
    <x v="0"/>
    <x v="0"/>
  </r>
  <r>
    <x v="58"/>
    <s v="Twitter"/>
    <n v="670"/>
    <n v="242"/>
    <n v="281913"/>
    <n v="9.6199999999999992"/>
    <n v="16377"/>
    <n v="428"/>
    <x v="0"/>
    <x v="0"/>
  </r>
  <r>
    <x v="58"/>
    <s v="YouTube"/>
    <n v="1111"/>
    <n v="159"/>
    <n v="360770"/>
    <n v="8.7100000000000009"/>
    <n v="11453"/>
    <n v="952"/>
    <x v="0"/>
    <x v="0"/>
  </r>
  <r>
    <x v="59"/>
    <s v="Instagram"/>
    <n v="1197"/>
    <n v="246"/>
    <n v="127273"/>
    <n v="6.69"/>
    <n v="12323"/>
    <n v="951"/>
    <x v="0"/>
    <x v="0"/>
  </r>
  <r>
    <x v="59"/>
    <s v="Twitter"/>
    <n v="754"/>
    <n v="150"/>
    <n v="189622"/>
    <n v="4.25"/>
    <n v="11911"/>
    <n v="604"/>
    <x v="0"/>
    <x v="0"/>
  </r>
  <r>
    <x v="59"/>
    <s v="YouTube"/>
    <n v="1246"/>
    <n v="107"/>
    <n v="350949"/>
    <n v="4.9800000000000004"/>
    <n v="27809"/>
    <n v="1139"/>
    <x v="0"/>
    <x v="0"/>
  </r>
  <r>
    <x v="60"/>
    <s v="Instagram"/>
    <n v="780"/>
    <n v="213"/>
    <n v="121431"/>
    <n v="4.97"/>
    <n v="21464"/>
    <n v="567"/>
    <x v="0"/>
    <x v="0"/>
  </r>
  <r>
    <x v="60"/>
    <s v="Twitter"/>
    <n v="1425"/>
    <n v="143"/>
    <n v="116742"/>
    <n v="3.71"/>
    <n v="27126"/>
    <n v="1282"/>
    <x v="0"/>
    <x v="0"/>
  </r>
  <r>
    <x v="60"/>
    <s v="YouTube"/>
    <n v="1490"/>
    <n v="103"/>
    <n v="81184"/>
    <n v="7.79"/>
    <n v="10681"/>
    <n v="1387"/>
    <x v="0"/>
    <x v="0"/>
  </r>
  <r>
    <x v="61"/>
    <s v="Instagram"/>
    <n v="949"/>
    <n v="282"/>
    <n v="87126"/>
    <n v="4.96"/>
    <n v="5413"/>
    <n v="667"/>
    <x v="0"/>
    <x v="0"/>
  </r>
  <r>
    <x v="61"/>
    <s v="Twitter"/>
    <n v="640"/>
    <n v="141"/>
    <n v="267546"/>
    <n v="8.58"/>
    <n v="25058"/>
    <n v="499"/>
    <x v="0"/>
    <x v="0"/>
  </r>
  <r>
    <x v="61"/>
    <s v="YouTube"/>
    <n v="616"/>
    <n v="93"/>
    <n v="133082"/>
    <n v="8.51"/>
    <n v="18303"/>
    <n v="523"/>
    <x v="0"/>
    <x v="0"/>
  </r>
  <r>
    <x v="62"/>
    <s v="Instagram"/>
    <n v="1080"/>
    <n v="184"/>
    <n v="340557"/>
    <n v="5.41"/>
    <n v="5526"/>
    <n v="896"/>
    <x v="0"/>
    <x v="0"/>
  </r>
  <r>
    <x v="62"/>
    <s v="Twitter"/>
    <n v="938"/>
    <n v="236"/>
    <n v="116472"/>
    <n v="8.7200000000000006"/>
    <n v="17460"/>
    <n v="702"/>
    <x v="0"/>
    <x v="0"/>
  </r>
  <r>
    <x v="62"/>
    <s v="YouTube"/>
    <n v="1007"/>
    <n v="258"/>
    <n v="113412"/>
    <n v="7.71"/>
    <n v="14475"/>
    <n v="749"/>
    <x v="0"/>
    <x v="0"/>
  </r>
  <r>
    <x v="63"/>
    <s v="Instagram"/>
    <n v="541"/>
    <n v="208"/>
    <n v="157547"/>
    <n v="8.35"/>
    <n v="20162"/>
    <n v="333"/>
    <x v="0"/>
    <x v="0"/>
  </r>
  <r>
    <x v="63"/>
    <s v="Twitter"/>
    <n v="745"/>
    <n v="98"/>
    <n v="354816"/>
    <n v="4.03"/>
    <n v="17103"/>
    <n v="647"/>
    <x v="0"/>
    <x v="0"/>
  </r>
  <r>
    <x v="63"/>
    <s v="YouTube"/>
    <n v="936"/>
    <n v="97"/>
    <n v="151799"/>
    <n v="9.3699999999999992"/>
    <n v="15461"/>
    <n v="839"/>
    <x v="0"/>
    <x v="0"/>
  </r>
  <r>
    <x v="64"/>
    <s v="Instagram"/>
    <n v="1183"/>
    <n v="223"/>
    <n v="143811"/>
    <n v="6.07"/>
    <n v="22103"/>
    <n v="960"/>
    <x v="0"/>
    <x v="0"/>
  </r>
  <r>
    <x v="64"/>
    <s v="Twitter"/>
    <n v="1413"/>
    <n v="245"/>
    <n v="296450"/>
    <n v="6.52"/>
    <n v="11625"/>
    <n v="1168"/>
    <x v="0"/>
    <x v="0"/>
  </r>
  <r>
    <x v="64"/>
    <s v="YouTube"/>
    <n v="791"/>
    <n v="273"/>
    <n v="144049"/>
    <n v="3.08"/>
    <n v="5281"/>
    <n v="518"/>
    <x v="0"/>
    <x v="0"/>
  </r>
  <r>
    <x v="65"/>
    <s v="Instagram"/>
    <n v="1052"/>
    <n v="180"/>
    <n v="272534"/>
    <n v="5.34"/>
    <n v="13424"/>
    <n v="872"/>
    <x v="0"/>
    <x v="0"/>
  </r>
  <r>
    <x v="65"/>
    <s v="Twitter"/>
    <n v="572"/>
    <n v="270"/>
    <n v="82265"/>
    <n v="3.65"/>
    <n v="13140"/>
    <n v="302"/>
    <x v="0"/>
    <x v="0"/>
  </r>
  <r>
    <x v="65"/>
    <s v="YouTube"/>
    <n v="503"/>
    <n v="253"/>
    <n v="313562"/>
    <n v="4.18"/>
    <n v="19538"/>
    <n v="250"/>
    <x v="0"/>
    <x v="0"/>
  </r>
  <r>
    <x v="66"/>
    <s v="Instagram"/>
    <n v="1017"/>
    <n v="197"/>
    <n v="89918"/>
    <n v="3.91"/>
    <n v="7881"/>
    <n v="820"/>
    <x v="0"/>
    <x v="0"/>
  </r>
  <r>
    <x v="66"/>
    <s v="Twitter"/>
    <n v="860"/>
    <n v="244"/>
    <n v="348686"/>
    <n v="5.12"/>
    <n v="11418"/>
    <n v="616"/>
    <x v="0"/>
    <x v="0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SP001"/>
    <s v="Instagram"/>
    <d v="2025-05-04T00:00:00"/>
    <s v="Text"/>
    <s v="Discover fresh beats on Spotify!"/>
    <n v="2414"/>
    <n v="245"/>
    <n v="137"/>
    <n v="21181"/>
    <n v="45292"/>
    <n v="133"/>
    <s v="#SoundtrackOfLife,#NowPlaying"/>
    <x v="0"/>
    <n v="0.13200509890939993"/>
    <d v="2025-01-10T00:00:00"/>
    <d v="2025-02-10T00:00:00"/>
    <x v="0"/>
  </r>
  <r>
    <s v="SP002"/>
    <s v="Instagram"/>
    <d v="2025-02-01T00:00:00"/>
    <s v="Text"/>
    <s v="Explore the latest podcasts now."/>
    <n v="1934"/>
    <n v="210"/>
    <n v="393"/>
    <n v="29129"/>
    <n v="73287"/>
    <n v="273"/>
    <s v="#DiscoverWeekly"/>
    <x v="1"/>
    <n v="8.7095334546328396E-2"/>
    <d v="2025-03-01T00:00:00"/>
    <d v="2025-03-31T00:00:00"/>
    <x v="0"/>
  </r>
  <r>
    <s v="SP003"/>
    <s v="Twitter"/>
    <d v="2024-12-03T00:00:00"/>
    <s v="Story"/>
    <s v="New music just dropped. Hit play!"/>
    <n v="3092"/>
    <n v="177"/>
    <n v="81"/>
    <n v="47533"/>
    <n v="29220"/>
    <n v="121"/>
    <s v="#MusicForEveryone,#NowPlaying"/>
    <x v="0"/>
    <n v="7.0477352576105018E-2"/>
    <d v="2025-01-10T00:00:00"/>
    <d v="2025-02-10T00:00:00"/>
    <x v="0"/>
  </r>
  <r>
    <s v="SP004"/>
    <s v="Instagram"/>
    <d v="2024-12-03T00:00:00"/>
    <s v="Text"/>
    <s v="Wrapped is here! Relive your top tracks 🎧"/>
    <n v="3173"/>
    <n v="229"/>
    <n v="197"/>
    <n v="29604"/>
    <n v="21809"/>
    <n v="272"/>
    <s v="#SoundtrackOfLife,#NowPlaying"/>
    <x v="0"/>
    <n v="0.1215714092690177"/>
    <d v="2025-01-10T00:00:00"/>
    <d v="2025-02-10T00:00:00"/>
    <x v="0"/>
  </r>
  <r>
    <s v="SP005"/>
    <s v="YouTube"/>
    <d v="2024-04-06T00:00:00"/>
    <s v="Text"/>
    <s v="Music that moves you-only on Spotify."/>
    <n v="2748"/>
    <n v="145"/>
    <n v="315"/>
    <n v="24401"/>
    <n v="61182"/>
    <n v="200"/>
    <s v="#DiscoverWeekly,#SpotifyWrapped"/>
    <x v="1"/>
    <n v="0.1314700217204213"/>
    <d v="2025-03-01T00:00:00"/>
    <d v="2025-03-31T00:00:00"/>
    <x v="0"/>
  </r>
  <r>
    <s v="SP006"/>
    <s v="YouTube"/>
    <d v="2024-06-13T00:00:00"/>
    <s v="Text"/>
    <s v="What's your vibe today? #SpotifyHits"/>
    <n v="3882"/>
    <n v="239"/>
    <n v="275"/>
    <n v="58748"/>
    <n v="44646"/>
    <n v="149"/>
    <s v="#DiscoverWeekly,#SpotifyWrapped"/>
    <x v="1"/>
    <n v="7.4828079253761837E-2"/>
    <d v="2025-03-01T00:00:00"/>
    <d v="2025-03-31T00:00:00"/>
    <x v="0"/>
  </r>
  <r>
    <s v="SP007"/>
    <s v="Twitter"/>
    <d v="2024-12-19T00:00:00"/>
    <s v="Story"/>
    <s v="Get into the groove with our new drop!"/>
    <n v="4674"/>
    <n v="409"/>
    <n v="327"/>
    <n v="20756"/>
    <n v="63599"/>
    <n v="212"/>
    <s v="#SoundtrackOfLife,#NowPlaying"/>
    <x v="0"/>
    <n v="0.26064752360763155"/>
    <d v="2025-01-10T00:00:00"/>
    <d v="2025-02-10T00:00:00"/>
    <x v="0"/>
  </r>
  <r>
    <s v="SP008"/>
    <s v="Twitter"/>
    <d v="2024-05-09T00:00:00"/>
    <s v="Story"/>
    <s v="Wrapped is here! Relive your top tracks 🎧"/>
    <n v="1428"/>
    <n v="347"/>
    <n v="67"/>
    <n v="21148"/>
    <n v="19712"/>
    <n v="120"/>
    <s v="#DiscoverWeekly,#MusicForEveryone"/>
    <x v="0"/>
    <n v="8.7100435029317191E-2"/>
    <d v="2025-01-10T00:00:00"/>
    <d v="2025-02-10T00:00:00"/>
    <x v="0"/>
  </r>
  <r>
    <s v="SP009"/>
    <s v="Twitter"/>
    <d v="2025-06-15T00:00:00"/>
    <s v="Text"/>
    <s v="Top trending tracks updated daily!"/>
    <n v="4432"/>
    <n v="223"/>
    <n v="299"/>
    <n v="59016"/>
    <n v="21742"/>
    <n v="171"/>
    <s v="#NowPlaying"/>
    <x v="0"/>
    <n v="8.3943337400027115E-2"/>
    <d v="2025-01-10T00:00:00"/>
    <d v="2025-02-10T00:00:00"/>
    <x v="0"/>
  </r>
  <r>
    <s v="SP010"/>
    <s v="Twitter"/>
    <d v="2024-12-04T00:00:00"/>
    <s v="Text"/>
    <s v="Wrapped is here! Relive your top tracks 🎧"/>
    <n v="2357"/>
    <n v="274"/>
    <n v="172"/>
    <n v="21566"/>
    <n v="66829"/>
    <n v="284"/>
    <s v="#NowPlaying"/>
    <x v="0"/>
    <n v="0.12997310581470833"/>
    <d v="2025-01-10T00:00:00"/>
    <d v="2025-02-10T00:00:00"/>
    <x v="0"/>
  </r>
  <r>
    <s v="SP011"/>
    <s v="Twitter"/>
    <d v="2024-03-06T00:00:00"/>
    <s v="Text"/>
    <s v="Discover fresh beats on Spotify!"/>
    <n v="1971"/>
    <n v="370"/>
    <n v="306"/>
    <n v="31316"/>
    <n v="27897"/>
    <n v="88"/>
    <s v="#SoundtrackOfLife"/>
    <x v="1"/>
    <n v="8.4525482181632389E-2"/>
    <d v="2025-03-01T00:00:00"/>
    <d v="2025-03-31T00:00:00"/>
    <x v="0"/>
  </r>
  <r>
    <s v="SP012"/>
    <s v="Instagram"/>
    <d v="2024-05-14T00:00:00"/>
    <s v="Text"/>
    <s v="Discover fresh beats on Spotify!"/>
    <n v="1485"/>
    <n v="353"/>
    <n v="244"/>
    <n v="38419"/>
    <n v="38556"/>
    <n v="86"/>
    <s v="#SoundtrackOfLife,#NowPlaying"/>
    <x v="0"/>
    <n v="5.4191936281527367E-2"/>
    <d v="2025-01-10T00:00:00"/>
    <d v="2025-02-10T00:00:00"/>
    <x v="0"/>
  </r>
  <r>
    <s v="SP013"/>
    <s v="Twitter"/>
    <d v="2025-06-18T00:00:00"/>
    <s v="Story"/>
    <s v="Discover fresh beats on Spotify!"/>
    <n v="3956"/>
    <n v="319"/>
    <n v="61"/>
    <n v="58162"/>
    <n v="28720"/>
    <n v="213"/>
    <s v="#MusicForEveryone,#NowPlaying"/>
    <x v="0"/>
    <n v="7.4550393727863554E-2"/>
    <d v="2025-01-10T00:00:00"/>
    <d v="2025-02-10T00:00:00"/>
    <x v="0"/>
  </r>
  <r>
    <s v="SP014"/>
    <s v="Twitter"/>
    <d v="2024-10-08T00:00:00"/>
    <s v="Text"/>
    <s v="From pop to podcasts, it's all here."/>
    <n v="2460"/>
    <n v="409"/>
    <n v="253"/>
    <n v="36702"/>
    <n v="46122"/>
    <n v="264"/>
    <s v="#NowPlaying"/>
    <x v="0"/>
    <n v="8.5063484278785892E-2"/>
    <d v="2025-01-10T00:00:00"/>
    <d v="2025-02-10T00:00:00"/>
    <x v="0"/>
  </r>
  <r>
    <s v="SP015"/>
    <s v="Twitter"/>
    <d v="2024-05-06T00:00:00"/>
    <s v="Text"/>
    <s v="Your weekend playlist is waiting."/>
    <n v="3476"/>
    <n v="355"/>
    <n v="396"/>
    <n v="37492"/>
    <n v="27285"/>
    <n v="179"/>
    <s v="#NowPlaying"/>
    <x v="0"/>
    <n v="0.11274405206444041"/>
    <d v="2025-01-10T00:00:00"/>
    <d v="2025-02-10T00:00:00"/>
    <x v="0"/>
  </r>
  <r>
    <s v="SP016"/>
    <s v="Twitter"/>
    <d v="2024-12-29T00:00:00"/>
    <s v="Story"/>
    <s v="New music just dropped. Hit play!"/>
    <n v="4049"/>
    <n v="377"/>
    <n v="94"/>
    <n v="48182"/>
    <n v="42875"/>
    <n v="172"/>
    <s v="#MusicForEveryone,#NowPlaying"/>
    <x v="0"/>
    <n v="9.3810966751068869E-2"/>
    <d v="2025-01-10T00:00:00"/>
    <d v="2025-02-10T00:00:00"/>
    <x v="0"/>
  </r>
  <r>
    <s v="SP017"/>
    <s v="Twitter"/>
    <d v="2024-06-10T00:00:00"/>
    <s v="Text"/>
    <s v="What's your vibe today? #SpotifyHits"/>
    <n v="1514"/>
    <n v="164"/>
    <n v="275"/>
    <n v="41364"/>
    <n v="44389"/>
    <n v="83"/>
    <s v="#NowPlaying"/>
    <x v="0"/>
    <n v="4.7214969538729328E-2"/>
    <d v="2025-01-10T00:00:00"/>
    <d v="2025-02-10T00:00:00"/>
    <x v="0"/>
  </r>
  <r>
    <s v="SP018"/>
    <s v="Instagram"/>
    <d v="2024-02-03T00:00:00"/>
    <s v="Story"/>
    <s v="Music that moves you-only on Spotify."/>
    <n v="4281"/>
    <n v="101"/>
    <n v="163"/>
    <n v="32278"/>
    <n v="53382"/>
    <n v="235"/>
    <s v="#NowPlaying"/>
    <x v="2"/>
    <n v="0.1408079806679472"/>
    <d v="2024-12-01T00:00:00"/>
    <d v="2024-12-31T00:00:00"/>
    <x v="0"/>
  </r>
  <r>
    <s v="SP019"/>
    <s v="YouTube"/>
    <d v="2024-06-15T00:00:00"/>
    <s v="Reel"/>
    <s v="Get into the groove with our new drop!"/>
    <n v="1751"/>
    <n v="143"/>
    <n v="151"/>
    <n v="31826"/>
    <n v="47729"/>
    <n v="95"/>
    <s v="#DiscoverWeekly,#SoundtrackOfLife"/>
    <x v="3"/>
    <n v="6.4255640042732362E-2"/>
    <d v="2024-06-15T00:00:00"/>
    <d v="2024-07-15T00:00:00"/>
    <x v="1"/>
  </r>
  <r>
    <s v="SP020"/>
    <s v="Instagram"/>
    <d v="2024-07-05T00:00:00"/>
    <s v="Text"/>
    <s v="Your weekend playlist is waiting."/>
    <n v="3753"/>
    <n v="411"/>
    <n v="308"/>
    <n v="29138"/>
    <n v="27678"/>
    <n v="90"/>
    <s v="#DiscoverWeekly"/>
    <x v="1"/>
    <n v="0.15347655981879332"/>
    <d v="2025-03-01T00:00:00"/>
    <d v="2025-03-31T00:00:00"/>
    <x v="0"/>
  </r>
  <r>
    <s v="SP021"/>
    <s v="Instagram"/>
    <d v="2024-11-07T00:00:00"/>
    <s v="Story"/>
    <s v="Wrapped is here! Relive your top tracks 🎧"/>
    <n v="1678"/>
    <n v="423"/>
    <n v="323"/>
    <n v="55668"/>
    <n v="37945"/>
    <n v="230"/>
    <s v="#NowPlaying"/>
    <x v="2"/>
    <n v="4.3543867212761371E-2"/>
    <d v="2024-12-01T00:00:00"/>
    <d v="2024-12-31T00:00:00"/>
    <x v="0"/>
  </r>
  <r>
    <s v="SP022"/>
    <s v="Instagram"/>
    <d v="2025-06-15T00:00:00"/>
    <s v="Text"/>
    <s v="What's your vibe today? #SpotifyHits"/>
    <n v="4896"/>
    <n v="466"/>
    <n v="233"/>
    <n v="28621"/>
    <n v="34270"/>
    <n v="84"/>
    <s v="#SoundtrackOfLife,#NowPlaying"/>
    <x v="0"/>
    <n v="0.19548583208133888"/>
    <d v="2025-01-10T00:00:00"/>
    <d v="2025-02-10T00:00:00"/>
    <x v="0"/>
  </r>
  <r>
    <s v="SP023"/>
    <s v="YouTube"/>
    <d v="2024-06-09T00:00:00"/>
    <s v="Reel"/>
    <s v="From pop to podcasts, it's all here."/>
    <n v="2786"/>
    <n v="368"/>
    <n v="208"/>
    <n v="42000"/>
    <n v="39967"/>
    <n v="103"/>
    <s v="#DiscoverWeekly,#SoundtrackOfLife"/>
    <x v="3"/>
    <n v="8.0047619047619048E-2"/>
    <d v="2024-06-15T00:00:00"/>
    <d v="2024-07-15T00:00:00"/>
    <x v="0"/>
  </r>
  <r>
    <s v="SP024"/>
    <s v="Twitter"/>
    <d v="2024-10-18T00:00:00"/>
    <s v="Text"/>
    <s v="New music just dropped. Hit play!"/>
    <n v="2607"/>
    <n v="379"/>
    <n v="180"/>
    <n v="28712"/>
    <n v="61620"/>
    <n v="174"/>
    <s v="#SoundtrackOfLife"/>
    <x v="1"/>
    <n v="0.11026748397882419"/>
    <d v="2025-03-01T00:00:00"/>
    <d v="2025-03-31T00:00:00"/>
    <x v="0"/>
  </r>
  <r>
    <s v="SP025"/>
    <s v="YouTube"/>
    <d v="2024-10-10T00:00:00"/>
    <s v="Reel"/>
    <s v="From pop to podcasts, it's all here."/>
    <n v="4013"/>
    <n v="320"/>
    <n v="92"/>
    <n v="54605"/>
    <n v="60169"/>
    <n v="232"/>
    <s v="#DiscoverWeekly,#SoundtrackOfLife"/>
    <x v="3"/>
    <n v="8.1036535115831879E-2"/>
    <d v="2024-06-15T00:00:00"/>
    <d v="2024-07-15T00:00:00"/>
    <x v="0"/>
  </r>
  <r>
    <s v="SP026"/>
    <s v="Twitter"/>
    <d v="2025-05-14T00:00:00"/>
    <s v="Story"/>
    <s v="From pop to podcasts, it's all here."/>
    <n v="2707"/>
    <n v="103"/>
    <n v="51"/>
    <n v="55302"/>
    <n v="18801"/>
    <n v="147"/>
    <s v="#DiscoverWeekly,#MusicForEveryone"/>
    <x v="0"/>
    <n v="5.173411449857148E-2"/>
    <d v="2025-01-10T00:00:00"/>
    <d v="2025-02-10T00:00:00"/>
    <x v="0"/>
  </r>
  <r>
    <s v="SP027"/>
    <s v="Instagram"/>
    <d v="2024-11-29T00:00:00"/>
    <s v="Text"/>
    <s v="What's your vibe today? #SpotifyHits"/>
    <n v="2824"/>
    <n v="425"/>
    <n v="274"/>
    <n v="31004"/>
    <n v="53488"/>
    <n v="268"/>
    <s v="#SoundtrackOfLife,#NowPlaying"/>
    <x v="0"/>
    <n v="0.11363049929041415"/>
    <d v="2025-01-10T00:00:00"/>
    <d v="2025-02-10T00:00:00"/>
    <x v="0"/>
  </r>
  <r>
    <s v="SP028"/>
    <s v="YouTube"/>
    <d v="2024-03-05T00:00:00"/>
    <s v="Reel"/>
    <s v="Explore the latest podcasts now."/>
    <n v="3558"/>
    <n v="314"/>
    <n v="199"/>
    <n v="49612"/>
    <n v="53929"/>
    <n v="206"/>
    <s v="#DiscoverWeekly,#SoundtrackOfLife"/>
    <x v="3"/>
    <n v="8.205676046117874E-2"/>
    <d v="2024-06-15T00:00:00"/>
    <d v="2024-07-15T00:00:00"/>
    <x v="0"/>
  </r>
  <r>
    <s v="SP029"/>
    <s v="Twitter"/>
    <d v="2025-03-18T00:00:00"/>
    <s v="Story"/>
    <s v="Explore the latest podcasts now."/>
    <n v="3418"/>
    <n v="188"/>
    <n v="387"/>
    <n v="57431"/>
    <n v="36933"/>
    <n v="202"/>
    <s v="#MusicForEveryone,#NowPlaying"/>
    <x v="0"/>
    <n v="6.9526910553533799E-2"/>
    <d v="2025-01-10T00:00:00"/>
    <d v="2025-02-10T00:00:00"/>
    <x v="0"/>
  </r>
  <r>
    <s v="SP030"/>
    <s v="Twitter"/>
    <d v="2025-04-26T00:00:00"/>
    <s v="Text"/>
    <s v="Discover fresh beats on Spotify!"/>
    <n v="2411"/>
    <n v="194"/>
    <n v="168"/>
    <n v="26665"/>
    <n v="71699"/>
    <n v="197"/>
    <s v="#NowPlaying"/>
    <x v="0"/>
    <n v="0.10399399962497656"/>
    <d v="2025-01-10T00:00:00"/>
    <d v="2025-02-10T00:00:00"/>
    <x v="0"/>
  </r>
  <r>
    <s v="SP031"/>
    <s v="Instagram"/>
    <d v="2025-01-01T00:00:00"/>
    <s v="Text"/>
    <s v="New music just dropped. Hit play!"/>
    <n v="4036"/>
    <n v="112"/>
    <n v="382"/>
    <n v="56284"/>
    <n v="29440"/>
    <n v="279"/>
    <s v="#SoundtrackOfLife,#NowPlaying"/>
    <x v="0"/>
    <n v="8.0484684812735408E-2"/>
    <d v="2025-01-10T00:00:00"/>
    <d v="2025-02-10T00:00:00"/>
    <x v="0"/>
  </r>
  <r>
    <s v="SP032"/>
    <s v="Twitter"/>
    <d v="2024-05-07T00:00:00"/>
    <s v="Story"/>
    <s v="Explore the latest podcasts now."/>
    <n v="2776"/>
    <n v="307"/>
    <n v="178"/>
    <n v="43365"/>
    <n v="48408"/>
    <n v="138"/>
    <s v="#SoundtrackOfLife,#NowPlaying"/>
    <x v="0"/>
    <n v="7.519889311656866E-2"/>
    <d v="2025-01-10T00:00:00"/>
    <d v="2025-02-10T00:00:00"/>
    <x v="0"/>
  </r>
  <r>
    <s v="SP033"/>
    <s v="Twitter"/>
    <d v="2024-10-09T00:00:00"/>
    <s v="Story"/>
    <s v="Discover fresh beats on Spotify!"/>
    <n v="4929"/>
    <n v="182"/>
    <n v="95"/>
    <n v="32181"/>
    <n v="31084"/>
    <n v="289"/>
    <s v="#DiscoverWeekly,#MusicForEveryone"/>
    <x v="0"/>
    <n v="0.16177247444144061"/>
    <d v="2025-01-10T00:00:00"/>
    <d v="2025-02-10T00:00:00"/>
    <x v="0"/>
  </r>
  <r>
    <s v="SP034"/>
    <s v="Instagram"/>
    <d v="2025-01-09T00:00:00"/>
    <s v="Text"/>
    <s v="New music just dropped. Hit play!"/>
    <n v="1015"/>
    <n v="366"/>
    <n v="308"/>
    <n v="38127"/>
    <n v="63790"/>
    <n v="287"/>
    <s v="#SoundtrackOfLife,#NowPlaying"/>
    <x v="0"/>
    <n v="4.4299315445747112E-2"/>
    <d v="2025-01-10T00:00:00"/>
    <d v="2025-02-10T00:00:00"/>
    <x v="0"/>
  </r>
  <r>
    <s v="SP035"/>
    <s v="Twitter"/>
    <d v="2025-05-08T00:00:00"/>
    <s v="Story"/>
    <s v="Your weekend playlist is waiting."/>
    <n v="3316"/>
    <n v="332"/>
    <n v="268"/>
    <n v="40095"/>
    <n v="36913"/>
    <n v="265"/>
    <s v="#MusicForEveryone,#NowPlaying"/>
    <x v="0"/>
    <n v="9.7668038408779148E-2"/>
    <d v="2025-01-10T00:00:00"/>
    <d v="2025-02-10T00:00:00"/>
    <x v="0"/>
  </r>
  <r>
    <s v="SP036"/>
    <s v="Instagram"/>
    <d v="2024-05-04T00:00:00"/>
    <s v="Text"/>
    <s v="Wrapped is here! Relive your top tracks 🎧"/>
    <n v="2274"/>
    <n v="243"/>
    <n v="222"/>
    <n v="43066"/>
    <n v="59174"/>
    <n v="80"/>
    <s v="#DiscoverWeekly"/>
    <x v="1"/>
    <n v="6.3600055728416843E-2"/>
    <d v="2025-03-01T00:00:00"/>
    <d v="2025-03-31T00:00:00"/>
    <x v="0"/>
  </r>
  <r>
    <s v="SP037"/>
    <s v="Twitter"/>
    <d v="2025-05-27T00:00:00"/>
    <s v="Story"/>
    <s v="Explore the latest podcasts now."/>
    <n v="4095"/>
    <n v="385"/>
    <n v="400"/>
    <n v="45300"/>
    <n v="31795"/>
    <n v="80"/>
    <s v="#MusicForEveryone,#NowPlaying"/>
    <x v="0"/>
    <n v="0.10772626931567329"/>
    <d v="2025-01-10T00:00:00"/>
    <d v="2025-02-10T00:00:00"/>
    <x v="0"/>
  </r>
  <r>
    <s v="SP038"/>
    <s v="Instagram"/>
    <d v="2024-09-10T00:00:00"/>
    <s v="Story"/>
    <s v="New music just dropped. Hit play!"/>
    <n v="1230"/>
    <n v="309"/>
    <n v="207"/>
    <n v="44629"/>
    <n v="40699"/>
    <n v="195"/>
    <s v="#NowPlaying"/>
    <x v="2"/>
    <n v="3.9122543637545096E-2"/>
    <d v="2024-12-01T00:00:00"/>
    <d v="2024-12-31T00:00:00"/>
    <x v="0"/>
  </r>
  <r>
    <s v="SP039"/>
    <s v="Instagram"/>
    <d v="2024-11-25T00:00:00"/>
    <s v="Text"/>
    <s v="From pop to podcasts, it's all here."/>
    <n v="1341"/>
    <n v="472"/>
    <n v="238"/>
    <n v="51386"/>
    <n v="51706"/>
    <n v="133"/>
    <s v="#DiscoverWeekly"/>
    <x v="1"/>
    <n v="3.9913595142645857E-2"/>
    <d v="2025-03-01T00:00:00"/>
    <d v="2025-03-31T00:00:00"/>
    <x v="0"/>
  </r>
  <r>
    <s v="SP040"/>
    <s v="Twitter"/>
    <d v="2025-06-10T00:00:00"/>
    <s v="Text"/>
    <s v="Explore the latest podcasts now."/>
    <n v="3615"/>
    <n v="192"/>
    <n v="162"/>
    <n v="27492"/>
    <n v="35341"/>
    <n v="125"/>
    <s v="#NowPlaying"/>
    <x v="0"/>
    <n v="0.14436927106067218"/>
    <d v="2025-01-10T00:00:00"/>
    <d v="2025-02-10T00:00:00"/>
    <x v="0"/>
  </r>
  <r>
    <s v="SP041"/>
    <s v="Instagram"/>
    <d v="2024-04-19T00:00:00"/>
    <s v="Text"/>
    <s v="New music just dropped. Hit play!"/>
    <n v="4001"/>
    <n v="353"/>
    <n v="129"/>
    <n v="41265"/>
    <n v="37279"/>
    <n v="275"/>
    <s v="#SoundtrackOfLife,#NowPlaying"/>
    <x v="0"/>
    <n v="0.10863928268508422"/>
    <d v="2025-01-10T00:00:00"/>
    <d v="2025-02-10T00:00:00"/>
    <x v="0"/>
  </r>
  <r>
    <s v="SP042"/>
    <s v="Instagram"/>
    <d v="2025-01-26T00:00:00"/>
    <s v="Story"/>
    <s v="What's your vibe today? #SpotifyHits"/>
    <n v="3451"/>
    <n v="363"/>
    <n v="393"/>
    <n v="44853"/>
    <n v="69032"/>
    <n v="211"/>
    <s v="#NowPlaying"/>
    <x v="2"/>
    <n v="9.379528682585335E-2"/>
    <d v="2024-12-01T00:00:00"/>
    <d v="2024-12-31T00:00:00"/>
    <x v="0"/>
  </r>
  <r>
    <s v="SP043"/>
    <s v="Instagram"/>
    <d v="2025-02-14T00:00:00"/>
    <s v="Text"/>
    <s v="Top trending tracks updated daily!"/>
    <n v="4891"/>
    <n v="450"/>
    <n v="387"/>
    <n v="48746"/>
    <n v="37312"/>
    <n v="154"/>
    <s v="#SoundtrackOfLife,#NowPlaying"/>
    <x v="0"/>
    <n v="0.11750707750379519"/>
    <d v="2025-01-10T00:00:00"/>
    <d v="2025-02-10T00:00:00"/>
    <x v="0"/>
  </r>
  <r>
    <s v="SP044"/>
    <s v="Instagram"/>
    <d v="2024-09-06T00:00:00"/>
    <s v="Text"/>
    <s v="New music just dropped. Hit play!"/>
    <n v="1452"/>
    <n v="281"/>
    <n v="326"/>
    <n v="51556"/>
    <n v="62599"/>
    <n v="290"/>
    <s v="#DiscoverWeekly"/>
    <x v="1"/>
    <n v="3.9937155714174881E-2"/>
    <d v="2025-03-01T00:00:00"/>
    <d v="2025-03-31T00:00:00"/>
    <x v="0"/>
  </r>
  <r>
    <s v="SP045"/>
    <s v="YouTube"/>
    <d v="2024-07-14T00:00:00"/>
    <s v="Text"/>
    <s v="Your weekend playlist is waiting."/>
    <n v="3806"/>
    <n v="114"/>
    <n v="278"/>
    <n v="36148"/>
    <n v="24209"/>
    <n v="201"/>
    <s v="#DiscoverWeekly,#SpotifyWrapped"/>
    <x v="1"/>
    <n v="0.11613367267898639"/>
    <d v="2025-03-01T00:00:00"/>
    <d v="2025-03-31T00:00:00"/>
    <x v="0"/>
  </r>
  <r>
    <s v="SP046"/>
    <s v="Instagram"/>
    <d v="2024-02-12T00:00:00"/>
    <s v="Text"/>
    <s v="Explore the latest podcasts now."/>
    <n v="2923"/>
    <n v="330"/>
    <n v="250"/>
    <n v="23993"/>
    <n v="74590"/>
    <n v="92"/>
    <s v="#DiscoverWeekly"/>
    <x v="1"/>
    <n v="0.14600091693410577"/>
    <d v="2025-03-01T00:00:00"/>
    <d v="2025-03-31T00:00:00"/>
    <x v="0"/>
  </r>
  <r>
    <s v="SP047"/>
    <s v="YouTube"/>
    <d v="2024-03-14T00:00:00"/>
    <s v="Reel"/>
    <s v="From pop to podcasts, it's all here."/>
    <n v="3361"/>
    <n v="188"/>
    <n v="358"/>
    <n v="39838"/>
    <n v="24536"/>
    <n v="120"/>
    <s v="#DiscoverWeekly,#SoundtrackOfLife"/>
    <x v="3"/>
    <n v="9.8072192379135503E-2"/>
    <d v="2024-06-15T00:00:00"/>
    <d v="2024-07-15T00:00:00"/>
    <x v="0"/>
  </r>
  <r>
    <s v="SP048"/>
    <s v="Instagram"/>
    <d v="2025-02-05T00:00:00"/>
    <s v="Story"/>
    <s v="Music that moves you-only on Spotify."/>
    <n v="3074"/>
    <n v="371"/>
    <n v="348"/>
    <n v="24104"/>
    <n v="57803"/>
    <n v="213"/>
    <s v="#NowPlaying"/>
    <x v="2"/>
    <n v="0.15735977431131762"/>
    <d v="2024-12-01T00:00:00"/>
    <d v="2024-12-31T00:00:00"/>
    <x v="0"/>
  </r>
  <r>
    <s v="SP049"/>
    <s v="Twitter"/>
    <d v="2024-08-29T00:00:00"/>
    <s v="Story"/>
    <s v="Get into the groove with our new drop!"/>
    <n v="4276"/>
    <n v="227"/>
    <n v="223"/>
    <n v="43443"/>
    <n v="41005"/>
    <n v="191"/>
    <s v="#DiscoverWeekly,#MusicForEveryone"/>
    <x v="0"/>
    <n v="0.1087862256289851"/>
    <d v="2025-01-10T00:00:00"/>
    <d v="2025-02-10T00:00:00"/>
    <x v="0"/>
  </r>
  <r>
    <s v="SP050"/>
    <s v="Twitter"/>
    <d v="2025-04-22T00:00:00"/>
    <s v="Text"/>
    <s v="Discover fresh beats on Spotify!"/>
    <n v="4401"/>
    <n v="421"/>
    <n v="216"/>
    <n v="24890"/>
    <n v="54361"/>
    <n v="148"/>
    <s v="#NowPlaying"/>
    <x v="0"/>
    <n v="0.20241060666934513"/>
    <d v="2025-01-10T00:00:00"/>
    <d v="2025-02-10T00:00:00"/>
    <x v="0"/>
  </r>
  <r>
    <s v="SP051"/>
    <s v="YouTube"/>
    <d v="2024-05-13T00:00:00"/>
    <s v="Reel"/>
    <s v="Explore the latest podcasts now."/>
    <n v="4161"/>
    <n v="481"/>
    <n v="61"/>
    <n v="45884"/>
    <n v="48955"/>
    <n v="215"/>
    <s v="#DiscoverWeekly,#SoundtrackOfLife"/>
    <x v="3"/>
    <n v="0.10249760265016128"/>
    <d v="2024-06-15T00:00:00"/>
    <d v="2024-07-15T00:00:00"/>
    <x v="0"/>
  </r>
  <r>
    <s v="SP052"/>
    <s v="Twitter"/>
    <d v="2024-09-04T00:00:00"/>
    <s v="Story"/>
    <s v="New music just dropped. Hit play!"/>
    <n v="2613"/>
    <n v="455"/>
    <n v="228"/>
    <n v="21645"/>
    <n v="61334"/>
    <n v="261"/>
    <s v="#DiscoverWeekly,#MusicForEveryone"/>
    <x v="0"/>
    <n v="0.15227535227535227"/>
    <d v="2025-01-10T00:00:00"/>
    <d v="2025-02-10T00:00:00"/>
    <x v="0"/>
  </r>
  <r>
    <s v="SP053"/>
    <s v="Twitter"/>
    <d v="2024-08-12T00:00:00"/>
    <s v="Story"/>
    <s v="What's your vibe today? #SpotifyHits"/>
    <n v="2842"/>
    <n v="213"/>
    <n v="331"/>
    <n v="57660"/>
    <n v="68606"/>
    <n v="87"/>
    <s v="#MusicForEveryone,#NowPlaying"/>
    <x v="0"/>
    <n v="5.8723551855705859E-2"/>
    <d v="2025-01-10T00:00:00"/>
    <d v="2025-02-10T00:00:00"/>
    <x v="0"/>
  </r>
  <r>
    <s v="SP054"/>
    <s v="Instagram"/>
    <d v="2025-03-06T00:00:00"/>
    <s v="Text"/>
    <s v="Get into the groove with our new drop!"/>
    <n v="4851"/>
    <n v="460"/>
    <n v="212"/>
    <n v="58075"/>
    <n v="59574"/>
    <n v="239"/>
    <s v="#DiscoverWeekly"/>
    <x v="1"/>
    <n v="9.5101162290142052E-2"/>
    <d v="2025-03-01T00:00:00"/>
    <d v="2025-03-31T00:00:00"/>
    <x v="1"/>
  </r>
  <r>
    <s v="SP055"/>
    <s v="Twitter"/>
    <d v="2024-05-08T00:00:00"/>
    <s v="Text"/>
    <s v="Explore the latest podcasts now."/>
    <n v="1828"/>
    <n v="450"/>
    <n v="214"/>
    <n v="52115"/>
    <n v="19166"/>
    <n v="190"/>
    <s v="#NowPlaying"/>
    <x v="0"/>
    <n v="4.781732706514439E-2"/>
    <d v="2025-01-10T00:00:00"/>
    <d v="2025-02-10T00:00:00"/>
    <x v="0"/>
  </r>
  <r>
    <s v="SP056"/>
    <s v="Instagram"/>
    <d v="2025-02-19T00:00:00"/>
    <s v="Story"/>
    <s v="From pop to podcasts, it's all here."/>
    <n v="2422"/>
    <n v="455"/>
    <n v="376"/>
    <n v="23428"/>
    <n v="46775"/>
    <n v="259"/>
    <s v="#NowPlaying"/>
    <x v="2"/>
    <n v="0.13885094758408742"/>
    <d v="2024-12-01T00:00:00"/>
    <d v="2024-12-31T00:00:00"/>
    <x v="0"/>
  </r>
  <r>
    <s v="SP057"/>
    <s v="Instagram"/>
    <d v="2024-01-08T00:00:00"/>
    <s v="Text"/>
    <s v="Top trending tracks updated daily!"/>
    <n v="2683"/>
    <n v="405"/>
    <n v="223"/>
    <n v="31233"/>
    <n v="58106"/>
    <n v="291"/>
    <s v="#DiscoverWeekly"/>
    <x v="1"/>
    <n v="0.10600966926007749"/>
    <d v="2025-03-01T00:00:00"/>
    <d v="2025-03-31T00:00:00"/>
    <x v="0"/>
  </r>
  <r>
    <s v="SP058"/>
    <s v="YouTube"/>
    <d v="2024-07-17T00:00:00"/>
    <s v="Text"/>
    <s v="Top trending tracks updated daily!"/>
    <n v="3135"/>
    <n v="110"/>
    <n v="215"/>
    <n v="39192"/>
    <n v="24744"/>
    <n v="177"/>
    <s v="#DiscoverWeekly,#SpotifyWrapped"/>
    <x v="1"/>
    <n v="8.8283323127168814E-2"/>
    <d v="2025-03-01T00:00:00"/>
    <d v="2025-03-31T00:00:00"/>
    <x v="0"/>
  </r>
  <r>
    <s v="SP059"/>
    <s v="YouTube"/>
    <d v="2024-08-10T00:00:00"/>
    <s v="Text"/>
    <s v="From pop to podcasts, it's all here."/>
    <n v="1105"/>
    <n v="181"/>
    <n v="55"/>
    <n v="53581"/>
    <n v="74048"/>
    <n v="220"/>
    <s v="#DiscoverWeekly,#SpotifyWrapped"/>
    <x v="1"/>
    <n v="2.50275284149232E-2"/>
    <d v="2025-03-01T00:00:00"/>
    <d v="2025-03-31T00:00:00"/>
    <x v="0"/>
  </r>
  <r>
    <s v="SP060"/>
    <s v="YouTube"/>
    <d v="2024-04-16T00:00:00"/>
    <s v="Text"/>
    <s v="Discover fresh beats on Spotify!"/>
    <n v="4674"/>
    <n v="326"/>
    <n v="62"/>
    <n v="45503"/>
    <n v="46814"/>
    <n v="116"/>
    <s v="#DiscoverWeekly,#SpotifyWrapped"/>
    <x v="1"/>
    <n v="0.11124541239039185"/>
    <d v="2025-03-01T00:00:00"/>
    <d v="2025-03-31T00:00:00"/>
    <x v="0"/>
  </r>
  <r>
    <s v="SP061"/>
    <s v="YouTube"/>
    <d v="2024-01-01T00:00:00"/>
    <s v="Reel"/>
    <s v="Explore the latest podcasts now."/>
    <n v="3437"/>
    <n v="129"/>
    <n v="359"/>
    <n v="44558"/>
    <n v="30854"/>
    <n v="171"/>
    <s v="#DiscoverWeekly,#SoundtrackOfLife"/>
    <x v="3"/>
    <n v="8.8087436599488311E-2"/>
    <d v="2024-06-15T00:00:00"/>
    <d v="2024-07-15T00:00:00"/>
    <x v="0"/>
  </r>
  <r>
    <s v="SP062"/>
    <s v="Twitter"/>
    <d v="2024-11-03T00:00:00"/>
    <s v="Story"/>
    <s v="Wrapped is here! Relive your top tracks 🎧"/>
    <n v="1959"/>
    <n v="316"/>
    <n v="82"/>
    <n v="54036"/>
    <n v="69015"/>
    <n v="182"/>
    <s v="#MusicForEveryone,#NowPlaying"/>
    <x v="0"/>
    <n v="4.3619068768968837E-2"/>
    <d v="2025-01-10T00:00:00"/>
    <d v="2025-02-10T00:00:00"/>
    <x v="0"/>
  </r>
  <r>
    <s v="SP063"/>
    <s v="Twitter"/>
    <d v="2024-07-07T00:00:00"/>
    <s v="Text"/>
    <s v="New music just dropped. Hit play!"/>
    <n v="1035"/>
    <n v="137"/>
    <n v="184"/>
    <n v="37302"/>
    <n v="68953"/>
    <n v="237"/>
    <s v="#SoundtrackOfLife"/>
    <x v="1"/>
    <n v="3.6351938233874857E-2"/>
    <d v="2025-03-01T00:00:00"/>
    <d v="2025-03-31T00:00:00"/>
    <x v="0"/>
  </r>
  <r>
    <s v="SP064"/>
    <s v="Twitter"/>
    <d v="2025-01-22T00:00:00"/>
    <s v="Story"/>
    <s v="New music just dropped. Hit play!"/>
    <n v="4478"/>
    <n v="101"/>
    <n v="121"/>
    <n v="51035"/>
    <n v="58207"/>
    <n v="205"/>
    <s v="#MusicForEveryone,#NowPlaying"/>
    <x v="0"/>
    <n v="9.2093661212893113E-2"/>
    <d v="2025-01-10T00:00:00"/>
    <d v="2025-02-10T00:00:00"/>
    <x v="1"/>
  </r>
  <r>
    <s v="SP065"/>
    <s v="YouTube"/>
    <d v="2024-05-26T00:00:00"/>
    <s v="Text"/>
    <s v="From pop to podcasts, it's all here."/>
    <n v="1488"/>
    <n v="327"/>
    <n v="110"/>
    <n v="53805"/>
    <n v="30239"/>
    <n v="109"/>
    <s v="#DiscoverWeekly,#SpotifyWrapped"/>
    <x v="1"/>
    <n v="3.5777344113000653E-2"/>
    <d v="2025-03-01T00:00:00"/>
    <d v="2025-03-31T00:00:00"/>
    <x v="0"/>
  </r>
  <r>
    <s v="SP066"/>
    <s v="Instagram"/>
    <d v="2025-04-16T00:00:00"/>
    <s v="Text"/>
    <s v="Wrapped is here! Relive your top tracks 🎧"/>
    <n v="4836"/>
    <n v="331"/>
    <n v="140"/>
    <n v="58792"/>
    <n v="47711"/>
    <n v="227"/>
    <s v="#SoundtrackOfLife,#NowPlaying"/>
    <x v="0"/>
    <n v="9.0267383317458164E-2"/>
    <d v="2025-01-10T00:00:00"/>
    <d v="2025-02-10T00:00:00"/>
    <x v="0"/>
  </r>
  <r>
    <s v="SP067"/>
    <s v="YouTube"/>
    <d v="2024-04-02T00:00:00"/>
    <s v="Reel"/>
    <s v="Your weekend playlist is waiting."/>
    <n v="4563"/>
    <n v="488"/>
    <n v="356"/>
    <n v="30619"/>
    <n v="23328"/>
    <n v="267"/>
    <s v="#DiscoverWeekly,#SoundtrackOfLife"/>
    <x v="3"/>
    <n v="0.17658969920637513"/>
    <d v="2024-06-15T00:00:00"/>
    <d v="2024-07-15T00:00:00"/>
    <x v="0"/>
  </r>
  <r>
    <s v="SP068"/>
    <s v="Twitter"/>
    <d v="2024-03-28T00:00:00"/>
    <s v="Text"/>
    <s v="Music that moves you-only on Spotify."/>
    <n v="3276"/>
    <n v="421"/>
    <n v="114"/>
    <n v="20580"/>
    <n v="30324"/>
    <n v="221"/>
    <s v="#SoundtrackOfLife"/>
    <x v="1"/>
    <n v="0.18517978620019437"/>
    <d v="2025-03-01T00:00:00"/>
    <d v="2025-03-31T00:00:00"/>
    <x v="0"/>
  </r>
  <r>
    <s v="SP069"/>
    <s v="Twitter"/>
    <d v="2024-12-17T00:00:00"/>
    <s v="Story"/>
    <s v="Music that moves you-only on Spotify."/>
    <n v="1316"/>
    <n v="472"/>
    <n v="286"/>
    <n v="44692"/>
    <n v="53343"/>
    <n v="227"/>
    <s v="#DiscoverWeekly,#MusicForEveryone"/>
    <x v="0"/>
    <n v="4.6406515707509172E-2"/>
    <d v="2025-01-10T00:00:00"/>
    <d v="2025-02-10T00:00:00"/>
    <x v="0"/>
  </r>
  <r>
    <s v="SP070"/>
    <s v="Twitter"/>
    <d v="2025-01-05T00:00:00"/>
    <s v="Text"/>
    <s v="Wrapped is here! Relive your top tracks 🎧"/>
    <n v="4811"/>
    <n v="473"/>
    <n v="254"/>
    <n v="51964"/>
    <n v="68795"/>
    <n v="107"/>
    <s v="#NowPlaying"/>
    <x v="0"/>
    <n v="0.10657378184897237"/>
    <d v="2025-01-10T00:00:00"/>
    <d v="2025-02-10T00:00:00"/>
    <x v="0"/>
  </r>
  <r>
    <s v="SP071"/>
    <s v="Twitter"/>
    <d v="2024-01-11T00:00:00"/>
    <s v="Text"/>
    <s v="What's your vibe today? #SpotifyHits"/>
    <n v="4218"/>
    <n v="247"/>
    <n v="183"/>
    <n v="28914"/>
    <n v="18310"/>
    <n v="135"/>
    <s v="#SoundtrackOfLife"/>
    <x v="1"/>
    <n v="0.1607525766064882"/>
    <d v="2025-03-01T00:00:00"/>
    <d v="2025-03-31T00:00:00"/>
    <x v="0"/>
  </r>
  <r>
    <s v="SP072"/>
    <s v="Instagram"/>
    <d v="2024-10-11T00:00:00"/>
    <s v="Text"/>
    <s v="From pop to podcasts, it's all here."/>
    <n v="1360"/>
    <n v="249"/>
    <n v="52"/>
    <n v="20368"/>
    <n v="42152"/>
    <n v="193"/>
    <s v="#DiscoverWeekly"/>
    <x v="1"/>
    <n v="8.1549489395129612E-2"/>
    <d v="2025-03-01T00:00:00"/>
    <d v="2025-03-31T00:00:00"/>
    <x v="0"/>
  </r>
  <r>
    <s v="SP073"/>
    <s v="YouTube"/>
    <d v="2025-05-06T00:00:00"/>
    <s v="Reel"/>
    <s v="Discover fresh beats on Spotify!"/>
    <n v="1085"/>
    <n v="496"/>
    <n v="320"/>
    <n v="36528"/>
    <n v="38599"/>
    <n v="270"/>
    <s v="#DiscoverWeekly,#SoundtrackOfLife"/>
    <x v="3"/>
    <n v="5.2042268944371438E-2"/>
    <d v="2024-06-15T00:00:00"/>
    <d v="2024-07-15T00:00:00"/>
    <x v="0"/>
  </r>
  <r>
    <s v="SP074"/>
    <s v="Twitter"/>
    <d v="2024-05-19T00:00:00"/>
    <s v="Story"/>
    <s v="Get into the groove with our new drop!"/>
    <n v="1763"/>
    <n v="206"/>
    <n v="187"/>
    <n v="53342"/>
    <n v="25095"/>
    <n v="88"/>
    <s v="#DiscoverWeekly,#MusicForEveryone"/>
    <x v="0"/>
    <n v="4.0418432004799221E-2"/>
    <d v="2025-01-10T00:00:00"/>
    <d v="2025-02-10T00:00:00"/>
    <x v="0"/>
  </r>
  <r>
    <s v="SP075"/>
    <s v="Twitter"/>
    <d v="2024-01-22T00:00:00"/>
    <s v="Story"/>
    <s v="From pop to podcasts, it's all here."/>
    <n v="1554"/>
    <n v="455"/>
    <n v="158"/>
    <n v="41947"/>
    <n v="48578"/>
    <n v="101"/>
    <s v="#SoundtrackOfLife,#NowPlaying"/>
    <x v="0"/>
    <n v="5.1660428636136076E-2"/>
    <d v="2025-01-10T00:00:00"/>
    <d v="2025-02-10T00:00:00"/>
    <x v="0"/>
  </r>
  <r>
    <s v="SP076"/>
    <s v="Instagram"/>
    <d v="2024-07-14T00:00:00"/>
    <s v="Text"/>
    <s v="Wrapped is here! Relive your top tracks 🎧"/>
    <n v="2464"/>
    <n v="401"/>
    <n v="78"/>
    <n v="38665"/>
    <n v="73593"/>
    <n v="207"/>
    <s v="#DiscoverWeekly"/>
    <x v="1"/>
    <n v="7.611534979956032E-2"/>
    <d v="2025-03-01T00:00:00"/>
    <d v="2025-03-31T00:00:00"/>
    <x v="0"/>
  </r>
  <r>
    <s v="SP077"/>
    <s v="Twitter"/>
    <d v="2025-05-28T00:00:00"/>
    <s v="Text"/>
    <s v="From pop to podcasts, it's all here."/>
    <n v="2418"/>
    <n v="161"/>
    <n v="360"/>
    <n v="30589"/>
    <n v="41383"/>
    <n v="88"/>
    <s v="#NowPlaying"/>
    <x v="0"/>
    <n v="9.6080290300434801E-2"/>
    <d v="2025-01-10T00:00:00"/>
    <d v="2025-02-10T00:00:00"/>
    <x v="0"/>
  </r>
  <r>
    <s v="SP078"/>
    <s v="Twitter"/>
    <d v="2025-01-21T00:00:00"/>
    <s v="Story"/>
    <s v="Discover fresh beats on Spotify!"/>
    <n v="2494"/>
    <n v="494"/>
    <n v="55"/>
    <n v="22580"/>
    <n v="22214"/>
    <n v="109"/>
    <s v="#MusicForEveryone,#NowPlaying"/>
    <x v="0"/>
    <n v="0.13476527900797167"/>
    <d v="2025-01-10T00:00:00"/>
    <d v="2025-02-10T00:00:00"/>
    <x v="1"/>
  </r>
  <r>
    <s v="SP079"/>
    <s v="YouTube"/>
    <d v="2024-01-13T00:00:00"/>
    <s v="Reel"/>
    <s v="New music just dropped. Hit play!"/>
    <n v="4781"/>
    <n v="191"/>
    <n v="122"/>
    <n v="35535"/>
    <n v="50777"/>
    <n v="128"/>
    <s v="#DiscoverWeekly,#SoundtrackOfLife"/>
    <x v="3"/>
    <n v="0.14335162515829464"/>
    <d v="2024-06-15T00:00:00"/>
    <d v="2024-07-15T00:00:00"/>
    <x v="0"/>
  </r>
  <r>
    <s v="SP080"/>
    <s v="Instagram"/>
    <d v="2025-06-17T00:00:00"/>
    <s v="Text"/>
    <s v="Music that moves you-only on Spotify."/>
    <n v="2284"/>
    <n v="187"/>
    <n v="260"/>
    <n v="37400"/>
    <n v="65014"/>
    <n v="157"/>
    <s v="#SoundtrackOfLife,#NowPlaying"/>
    <x v="0"/>
    <n v="7.3021390374331557E-2"/>
    <d v="2025-01-10T00:00:00"/>
    <d v="2025-02-10T00:00:00"/>
    <x v="0"/>
  </r>
  <r>
    <s v="SP081"/>
    <s v="Twitter"/>
    <d v="2025-03-07T00:00:00"/>
    <s v="Text"/>
    <s v="Get into the groove with our new drop!"/>
    <n v="4234"/>
    <n v="486"/>
    <n v="276"/>
    <n v="56623"/>
    <n v="41343"/>
    <n v="184"/>
    <s v="#SoundtrackOfLife"/>
    <x v="1"/>
    <n v="8.8232696960599044E-2"/>
    <d v="2025-03-01T00:00:00"/>
    <d v="2025-03-31T00:00:00"/>
    <x v="1"/>
  </r>
  <r>
    <s v="SP082"/>
    <s v="Instagram"/>
    <d v="2024-08-26T00:00:00"/>
    <s v="Text"/>
    <s v="Your weekend playlist is waiting."/>
    <n v="2102"/>
    <n v="181"/>
    <n v="306"/>
    <n v="43650"/>
    <n v="50079"/>
    <n v="182"/>
    <s v="#DiscoverWeekly"/>
    <x v="1"/>
    <n v="5.9312714776632303E-2"/>
    <d v="2025-03-01T00:00:00"/>
    <d v="2025-03-31T00:00:00"/>
    <x v="0"/>
  </r>
  <r>
    <s v="SP083"/>
    <s v="Twitter"/>
    <d v="2025-01-03T00:00:00"/>
    <s v="Story"/>
    <s v="Get into the groove with our new drop!"/>
    <n v="4845"/>
    <n v="158"/>
    <n v="84"/>
    <n v="34578"/>
    <n v="51480"/>
    <n v="180"/>
    <s v="#SoundtrackOfLife,#NowPlaying"/>
    <x v="0"/>
    <n v="0.1471166637746544"/>
    <d v="2025-01-10T00:00:00"/>
    <d v="2025-02-10T00:00:00"/>
    <x v="0"/>
  </r>
  <r>
    <s v="SP084"/>
    <s v="Twitter"/>
    <d v="2024-08-03T00:00:00"/>
    <s v="Text"/>
    <s v="Your weekend playlist is waiting."/>
    <n v="4247"/>
    <n v="390"/>
    <n v="213"/>
    <n v="29785"/>
    <n v="57768"/>
    <n v="122"/>
    <s v="#NowPlaying"/>
    <x v="0"/>
    <n v="0.16283364109451065"/>
    <d v="2025-01-10T00:00:00"/>
    <d v="2025-02-10T00:00:00"/>
    <x v="0"/>
  </r>
  <r>
    <s v="SP085"/>
    <s v="Instagram"/>
    <d v="2024-08-18T00:00:00"/>
    <s v="Text"/>
    <s v="Explore the latest podcasts now."/>
    <n v="2965"/>
    <n v="328"/>
    <n v="171"/>
    <n v="57685"/>
    <n v="67536"/>
    <n v="264"/>
    <s v="#SoundtrackOfLife,#NowPlaying"/>
    <x v="0"/>
    <n v="6.0050273034584378E-2"/>
    <d v="2025-01-10T00:00:00"/>
    <d v="2025-02-10T00:00:00"/>
    <x v="0"/>
  </r>
  <r>
    <s v="SP086"/>
    <s v="Twitter"/>
    <d v="2025-05-14T00:00:00"/>
    <s v="Story"/>
    <s v="Wrapped is here! Relive your top tracks 🎧"/>
    <n v="1371"/>
    <n v="139"/>
    <n v="96"/>
    <n v="36140"/>
    <n v="39395"/>
    <n v="169"/>
    <s v="#SoundtrackOfLife,#NowPlaying"/>
    <x v="0"/>
    <n v="4.4438295517432211E-2"/>
    <d v="2025-01-10T00:00:00"/>
    <d v="2025-02-10T00:00:00"/>
    <x v="0"/>
  </r>
  <r>
    <s v="SP087"/>
    <s v="Twitter"/>
    <d v="2024-04-23T00:00:00"/>
    <s v="Story"/>
    <s v="Discover fresh beats on Spotify!"/>
    <n v="2683"/>
    <n v="496"/>
    <n v="89"/>
    <n v="53435"/>
    <n v="30334"/>
    <n v="160"/>
    <s v="#SoundtrackOfLife,#NowPlaying"/>
    <x v="0"/>
    <n v="6.1158416768035934E-2"/>
    <d v="2025-01-10T00:00:00"/>
    <d v="2025-02-10T00:00:00"/>
    <x v="0"/>
  </r>
  <r>
    <s v="SP088"/>
    <s v="Twitter"/>
    <d v="2025-02-17T00:00:00"/>
    <s v="Story"/>
    <s v="What's your vibe today? #SpotifyHits"/>
    <n v="4796"/>
    <n v="427"/>
    <n v="339"/>
    <n v="30752"/>
    <n v="33870"/>
    <n v="298"/>
    <s v="#SoundtrackOfLife,#NowPlaying"/>
    <x v="0"/>
    <n v="0.18086628511966701"/>
    <d v="2025-01-10T00:00:00"/>
    <d v="2025-02-10T00:00:00"/>
    <x v="0"/>
  </r>
  <r>
    <s v="SP089"/>
    <s v="Instagram"/>
    <d v="2024-12-04T00:00:00"/>
    <s v="Text"/>
    <s v="Wrapped is here! Relive your top tracks 🎧"/>
    <n v="2601"/>
    <n v="336"/>
    <n v="260"/>
    <n v="32368"/>
    <n v="49028"/>
    <n v="120"/>
    <s v="#SoundtrackOfLife,#NowPlaying"/>
    <x v="0"/>
    <n v="9.8770390509144837E-2"/>
    <d v="2025-01-10T00:00:00"/>
    <d v="2025-02-10T00:00:00"/>
    <x v="0"/>
  </r>
  <r>
    <s v="SP090"/>
    <s v="Twitter"/>
    <d v="2024-07-22T00:00:00"/>
    <s v="Story"/>
    <s v="Wrapped is here! Relive your top tracks 🎧"/>
    <n v="3336"/>
    <n v="229"/>
    <n v="337"/>
    <n v="22117"/>
    <n v="26205"/>
    <n v="160"/>
    <s v="#MusicForEveryone,#NowPlaying"/>
    <x v="0"/>
    <n v="0.17642537414658407"/>
    <d v="2025-01-10T00:00:00"/>
    <d v="2025-02-10T00:00:00"/>
    <x v="0"/>
  </r>
  <r>
    <s v="SP091"/>
    <s v="Twitter"/>
    <d v="2025-04-27T00:00:00"/>
    <s v="Text"/>
    <s v="Explore the latest podcasts now."/>
    <n v="1165"/>
    <n v="294"/>
    <n v="163"/>
    <n v="20659"/>
    <n v="45926"/>
    <n v="111"/>
    <s v="#SoundtrackOfLife"/>
    <x v="1"/>
    <n v="7.8512996756861422E-2"/>
    <d v="2025-03-01T00:00:00"/>
    <d v="2025-03-31T00:00:00"/>
    <x v="0"/>
  </r>
  <r>
    <s v="SP092"/>
    <s v="YouTube"/>
    <d v="2024-03-25T00:00:00"/>
    <s v="Reel"/>
    <s v="Explore the latest podcasts now."/>
    <n v="1948"/>
    <n v="155"/>
    <n v="315"/>
    <n v="30321"/>
    <n v="57121"/>
    <n v="82"/>
    <s v="#DiscoverWeekly,#SoundtrackOfLife"/>
    <x v="3"/>
    <n v="7.974671020085089E-2"/>
    <d v="2024-06-15T00:00:00"/>
    <d v="2024-07-15T00:00:00"/>
    <x v="0"/>
  </r>
  <r>
    <s v="SP093"/>
    <s v="Instagram"/>
    <d v="2024-02-29T00:00:00"/>
    <s v="Text"/>
    <s v="From pop to podcasts, it's all here."/>
    <n v="1100"/>
    <n v="229"/>
    <n v="312"/>
    <n v="25641"/>
    <n v="34601"/>
    <n v="169"/>
    <s v="#DiscoverWeekly"/>
    <x v="1"/>
    <n v="6.3999063999063993E-2"/>
    <d v="2025-03-01T00:00:00"/>
    <d v="2025-03-31T00:00:00"/>
    <x v="0"/>
  </r>
  <r>
    <s v="SP094"/>
    <s v="Twitter"/>
    <d v="2024-11-13T00:00:00"/>
    <s v="Story"/>
    <s v="Top trending tracks updated daily!"/>
    <n v="4628"/>
    <n v="257"/>
    <n v="397"/>
    <n v="36686"/>
    <n v="54683"/>
    <n v="98"/>
    <s v="#SoundtrackOfLife,#NowPlaying"/>
    <x v="0"/>
    <n v="0.1439786294499264"/>
    <d v="2025-01-10T00:00:00"/>
    <d v="2025-02-10T00:00:00"/>
    <x v="0"/>
  </r>
  <r>
    <s v="SP095"/>
    <s v="Instagram"/>
    <d v="2024-03-22T00:00:00"/>
    <s v="Story"/>
    <s v="Discover fresh beats on Spotify!"/>
    <n v="2319"/>
    <n v="484"/>
    <n v="193"/>
    <n v="21202"/>
    <n v="18091"/>
    <n v="241"/>
    <s v="#NowPlaying"/>
    <x v="2"/>
    <n v="0.14130742382794076"/>
    <d v="2024-12-01T00:00:00"/>
    <d v="2024-12-31T00:00:00"/>
    <x v="0"/>
  </r>
  <r>
    <s v="SP096"/>
    <s v="Twitter"/>
    <d v="2024-03-16T00:00:00"/>
    <s v="Story"/>
    <s v="Wrapped is here! Relive your top tracks 🎧"/>
    <n v="2895"/>
    <n v="292"/>
    <n v="90"/>
    <n v="24223"/>
    <n v="54626"/>
    <n v="114"/>
    <s v="#SoundtrackOfLife,#NowPlaying"/>
    <x v="0"/>
    <n v="0.13528464682326713"/>
    <d v="2025-01-10T00:00:00"/>
    <d v="2025-02-10T00:00:00"/>
    <x v="0"/>
  </r>
  <r>
    <s v="SP097"/>
    <s v="Instagram"/>
    <d v="2024-01-26T00:00:00"/>
    <s v="Text"/>
    <s v="What's your vibe today? #SpotifyHits"/>
    <n v="3878"/>
    <n v="431"/>
    <n v="97"/>
    <n v="41763"/>
    <n v="29729"/>
    <n v="191"/>
    <s v="#DiscoverWeekly"/>
    <x v="1"/>
    <n v="0.10550008380623997"/>
    <d v="2025-03-01T00:00:00"/>
    <d v="2025-03-31T00:00:00"/>
    <x v="0"/>
  </r>
  <r>
    <s v="SP098"/>
    <s v="Twitter"/>
    <d v="2024-03-15T00:00:00"/>
    <s v="Story"/>
    <s v="Get into the groove with our new drop!"/>
    <n v="4969"/>
    <n v="433"/>
    <n v="237"/>
    <n v="59552"/>
    <n v="23885"/>
    <n v="157"/>
    <s v="#DiscoverWeekly,#MusicForEveryone"/>
    <x v="0"/>
    <n v="9.4690354648038683E-2"/>
    <d v="2025-01-10T00:00:00"/>
    <d v="2025-02-10T00:00:00"/>
    <x v="0"/>
  </r>
  <r>
    <s v="SP099"/>
    <s v="Twitter"/>
    <d v="2024-10-15T00:00:00"/>
    <s v="Text"/>
    <s v="Wrapped is here! Relive your top tracks 🎧"/>
    <n v="1984"/>
    <n v="481"/>
    <n v="356"/>
    <n v="40681"/>
    <n v="63111"/>
    <n v="258"/>
    <s v="#NowPlaying"/>
    <x v="0"/>
    <n v="6.934441139598338E-2"/>
    <d v="2025-01-10T00:00:00"/>
    <d v="2025-02-10T00:00:00"/>
    <x v="0"/>
  </r>
  <r>
    <s v="SP100"/>
    <s v="Instagram"/>
    <d v="2024-07-21T00:00:00"/>
    <s v="Text"/>
    <s v="Discover fresh beats on Spotify!"/>
    <n v="3004"/>
    <n v="415"/>
    <n v="218"/>
    <n v="36090"/>
    <n v="37073"/>
    <n v="181"/>
    <s v="#DiscoverWeekly"/>
    <x v="1"/>
    <n v="0.10077583818232197"/>
    <d v="2025-03-01T00:00:00"/>
    <d v="2025-03-31T00:00:00"/>
    <x v="0"/>
  </r>
  <r>
    <s v="SP101"/>
    <s v="Twitter"/>
    <d v="2024-10-12T00:00:00"/>
    <s v="Text"/>
    <s v="Get into the groove with our new drop!"/>
    <n v="3169"/>
    <n v="386"/>
    <n v="175"/>
    <n v="45012"/>
    <n v="38508"/>
    <n v="218"/>
    <s v="#NowPlaying"/>
    <x v="0"/>
    <n v="8.2866791077934779E-2"/>
    <d v="2025-01-10T00:00:00"/>
    <d v="2025-02-10T00:00:00"/>
    <x v="0"/>
  </r>
  <r>
    <s v="SP102"/>
    <s v="Twitter"/>
    <d v="2024-10-26T00:00:00"/>
    <s v="Text"/>
    <s v="Discover fresh beats on Spotify!"/>
    <n v="3036"/>
    <n v="293"/>
    <n v="115"/>
    <n v="23776"/>
    <n v="46386"/>
    <n v="282"/>
    <s v="#NowPlaying"/>
    <x v="0"/>
    <n v="0.14485195154777927"/>
    <d v="2025-01-10T00:00:00"/>
    <d v="2025-02-10T00:00:00"/>
    <x v="0"/>
  </r>
  <r>
    <s v="SP103"/>
    <s v="Instagram"/>
    <d v="2024-02-14T00:00:00"/>
    <s v="Text"/>
    <s v="Music that moves you-only on Spotify."/>
    <n v="1830"/>
    <n v="112"/>
    <n v="181"/>
    <n v="31870"/>
    <n v="55742"/>
    <n v="263"/>
    <s v="#SoundtrackOfLife,#NowPlaying"/>
    <x v="0"/>
    <n v="6.6614370881706936E-2"/>
    <d v="2025-01-10T00:00:00"/>
    <d v="2025-02-10T00:00:00"/>
    <x v="0"/>
  </r>
  <r>
    <s v="SP104"/>
    <s v="Twitter"/>
    <d v="2024-05-01T00:00:00"/>
    <s v="Story"/>
    <s v="What's your vibe today? #SpotifyHits"/>
    <n v="2587"/>
    <n v="447"/>
    <n v="183"/>
    <n v="36266"/>
    <n v="32877"/>
    <n v="132"/>
    <s v="#DiscoverWeekly,#MusicForEveryone"/>
    <x v="0"/>
    <n v="8.8705674736667947E-2"/>
    <d v="2025-01-10T00:00:00"/>
    <d v="2025-02-10T00:00:00"/>
    <x v="0"/>
  </r>
  <r>
    <s v="SP105"/>
    <s v="Twitter"/>
    <d v="2024-09-18T00:00:00"/>
    <s v="Text"/>
    <s v="Discover fresh beats on Spotify!"/>
    <n v="2878"/>
    <n v="265"/>
    <n v="91"/>
    <n v="52090"/>
    <n v="28924"/>
    <n v="133"/>
    <s v="#NowPlaying"/>
    <x v="0"/>
    <n v="6.2084853138798232E-2"/>
    <d v="2025-01-10T00:00:00"/>
    <d v="2025-02-10T00:00:00"/>
    <x v="0"/>
  </r>
  <r>
    <s v="SP106"/>
    <s v="Twitter"/>
    <d v="2025-01-20T00:00:00"/>
    <s v="Story"/>
    <s v="New music just dropped. Hit play!"/>
    <n v="4619"/>
    <n v="272"/>
    <n v="57"/>
    <n v="21334"/>
    <n v="46292"/>
    <n v="91"/>
    <s v="#SoundtrackOfLife,#NowPlaying"/>
    <x v="0"/>
    <n v="0.23193025217961938"/>
    <d v="2025-01-10T00:00:00"/>
    <d v="2025-02-10T00:00:00"/>
    <x v="1"/>
  </r>
  <r>
    <s v="SP107"/>
    <s v="Twitter"/>
    <d v="2025-01-13T00:00:00"/>
    <s v="Text"/>
    <s v="Music that moves you-only on Spotify."/>
    <n v="4090"/>
    <n v="209"/>
    <n v="278"/>
    <n v="52853"/>
    <n v="57084"/>
    <n v="102"/>
    <s v="#SoundtrackOfLife"/>
    <x v="1"/>
    <n v="8.6598679355949518E-2"/>
    <d v="2025-03-01T00:00:00"/>
    <d v="2025-03-31T00:00:00"/>
    <x v="0"/>
  </r>
  <r>
    <s v="SP108"/>
    <s v="YouTube"/>
    <d v="2024-09-07T00:00:00"/>
    <s v="Reel"/>
    <s v="Music that moves you-only on Spotify."/>
    <n v="3882"/>
    <n v="342"/>
    <n v="374"/>
    <n v="41991"/>
    <n v="48554"/>
    <n v="118"/>
    <s v="#DiscoverWeekly,#SoundtrackOfLife"/>
    <x v="3"/>
    <n v="0.10949965468790931"/>
    <d v="2024-06-15T00:00:00"/>
    <d v="2024-07-15T00:00:00"/>
    <x v="0"/>
  </r>
  <r>
    <s v="SP109"/>
    <s v="Instagram"/>
    <d v="2024-11-21T00:00:00"/>
    <s v="Text"/>
    <s v="Music that moves you-only on Spotify."/>
    <n v="4581"/>
    <n v="181"/>
    <n v="112"/>
    <n v="35221"/>
    <n v="28797"/>
    <n v="164"/>
    <s v="#SoundtrackOfLife,#NowPlaying"/>
    <x v="0"/>
    <n v="0.13838335084182732"/>
    <d v="2025-01-10T00:00:00"/>
    <d v="2025-02-10T00:00:00"/>
    <x v="0"/>
  </r>
  <r>
    <s v="SP110"/>
    <s v="Instagram"/>
    <d v="2024-06-26T00:00:00"/>
    <s v="Text"/>
    <s v="New music just dropped. Hit play!"/>
    <n v="3253"/>
    <n v="483"/>
    <n v="336"/>
    <n v="25397"/>
    <n v="51485"/>
    <n v="131"/>
    <s v="#DiscoverWeekly"/>
    <x v="1"/>
    <n v="0.16033389770445328"/>
    <d v="2025-03-01T00:00:00"/>
    <d v="2025-03-31T00:00:00"/>
    <x v="0"/>
  </r>
  <r>
    <s v="SP111"/>
    <s v="YouTube"/>
    <d v="2024-07-20T00:00:00"/>
    <s v="Reel"/>
    <s v="Music that moves you-only on Spotify."/>
    <n v="4955"/>
    <n v="299"/>
    <n v="345"/>
    <n v="33644"/>
    <n v="43547"/>
    <n v="194"/>
    <s v="#DiscoverWeekly,#SoundtrackOfLife"/>
    <x v="3"/>
    <n v="0.16641897515158721"/>
    <d v="2024-06-15T00:00:00"/>
    <d v="2024-07-15T00:00:00"/>
    <x v="0"/>
  </r>
  <r>
    <s v="SP112"/>
    <s v="Instagram"/>
    <d v="2025-02-16T00:00:00"/>
    <s v="Text"/>
    <s v="Your weekend playlist is waiting."/>
    <n v="1333"/>
    <n v="286"/>
    <n v="298"/>
    <n v="36174"/>
    <n v="34517"/>
    <n v="170"/>
    <s v="#SoundtrackOfLife,#NowPlaying"/>
    <x v="0"/>
    <n v="5.2993862995521647E-2"/>
    <d v="2025-01-10T00:00:00"/>
    <d v="2025-02-10T00:00:00"/>
    <x v="0"/>
  </r>
  <r>
    <s v="SP113"/>
    <s v="Instagram"/>
    <d v="2024-09-09T00:00:00"/>
    <s v="Text"/>
    <s v="New music just dropped. Hit play!"/>
    <n v="1616"/>
    <n v="360"/>
    <n v="180"/>
    <n v="54342"/>
    <n v="18796"/>
    <n v="282"/>
    <s v="#SoundtrackOfLife,#NowPlaying"/>
    <x v="0"/>
    <n v="3.9674653122814763E-2"/>
    <d v="2025-01-10T00:00:00"/>
    <d v="2025-02-10T00:00:00"/>
    <x v="0"/>
  </r>
  <r>
    <s v="SP114"/>
    <s v="Twitter"/>
    <d v="2024-07-16T00:00:00"/>
    <s v="Text"/>
    <s v="Top trending tracks updated daily!"/>
    <n v="1803"/>
    <n v="273"/>
    <n v="287"/>
    <n v="46176"/>
    <n v="25488"/>
    <n v="141"/>
    <s v="#NowPlaying"/>
    <x v="0"/>
    <n v="5.1173769923769923E-2"/>
    <d v="2025-01-10T00:00:00"/>
    <d v="2025-02-10T00:00:00"/>
    <x v="0"/>
  </r>
  <r>
    <s v="SP115"/>
    <s v="Instagram"/>
    <d v="2025-04-15T00:00:00"/>
    <s v="Text"/>
    <s v="Explore the latest podcasts now."/>
    <n v="4177"/>
    <n v="489"/>
    <n v="331"/>
    <n v="57451"/>
    <n v="73793"/>
    <n v="251"/>
    <s v="#DiscoverWeekly"/>
    <x v="1"/>
    <n v="8.6978468608031198E-2"/>
    <d v="2025-03-01T00:00:00"/>
    <d v="2025-03-31T00:00:00"/>
    <x v="0"/>
  </r>
  <r>
    <s v="SP116"/>
    <s v="Instagram"/>
    <d v="2025-05-04T00:00:00"/>
    <s v="Story"/>
    <s v="New music just dropped. Hit play!"/>
    <n v="1311"/>
    <n v="181"/>
    <n v="361"/>
    <n v="37148"/>
    <n v="44875"/>
    <n v="245"/>
    <s v="#NowPlaying"/>
    <x v="2"/>
    <n v="4.9881554861634543E-2"/>
    <d v="2024-12-01T00:00:00"/>
    <d v="2024-12-31T00:00:00"/>
    <x v="0"/>
  </r>
  <r>
    <s v="SP117"/>
    <s v="Instagram"/>
    <d v="2024-02-18T00:00:00"/>
    <s v="Story"/>
    <s v="From pop to podcasts, it's all here."/>
    <n v="1516"/>
    <n v="215"/>
    <n v="332"/>
    <n v="58981"/>
    <n v="36118"/>
    <n v="211"/>
    <s v="#NowPlaying"/>
    <x v="2"/>
    <n v="3.4977365592309385E-2"/>
    <d v="2024-12-01T00:00:00"/>
    <d v="2024-12-31T00:00:00"/>
    <x v="0"/>
  </r>
  <r>
    <s v="SP118"/>
    <s v="Twitter"/>
    <d v="2024-05-16T00:00:00"/>
    <s v="Story"/>
    <s v="Music that moves you-only on Spotify."/>
    <n v="2023"/>
    <n v="124"/>
    <n v="99"/>
    <n v="54524"/>
    <n v="34790"/>
    <n v="195"/>
    <s v="#DiscoverWeekly,#MusicForEveryone"/>
    <x v="0"/>
    <n v="4.1192869195216787E-2"/>
    <d v="2025-01-10T00:00:00"/>
    <d v="2025-02-10T00:00:00"/>
    <x v="0"/>
  </r>
  <r>
    <s v="SP119"/>
    <s v="Twitter"/>
    <d v="2025-05-29T00:00:00"/>
    <s v="Story"/>
    <s v="Music that moves you-only on Spotify."/>
    <n v="2134"/>
    <n v="322"/>
    <n v="114"/>
    <n v="44338"/>
    <n v="52165"/>
    <n v="176"/>
    <s v="#MusicForEveryone,#NowPlaying"/>
    <x v="0"/>
    <n v="5.7963823356939871E-2"/>
    <d v="2025-01-10T00:00:00"/>
    <d v="2025-02-10T00:00:00"/>
    <x v="0"/>
  </r>
  <r>
    <s v="SP120"/>
    <s v="Instagram"/>
    <d v="2025-01-17T00:00:00"/>
    <s v="Text"/>
    <s v="Top trending tracks updated daily!"/>
    <n v="2266"/>
    <n v="126"/>
    <n v="140"/>
    <n v="53759"/>
    <n v="46834"/>
    <n v="277"/>
    <s v="#DiscoverWeekly"/>
    <x v="1"/>
    <n v="4.7099090384865788E-2"/>
    <d v="2025-03-01T00:00:00"/>
    <d v="2025-03-31T00:00:00"/>
    <x v="0"/>
  </r>
  <r>
    <s v="SP121"/>
    <s v="Instagram"/>
    <d v="2025-04-30T00:00:00"/>
    <s v="Story"/>
    <s v="New music just dropped. Hit play!"/>
    <n v="3916"/>
    <n v="459"/>
    <n v="229"/>
    <n v="48989"/>
    <n v="39768"/>
    <n v="200"/>
    <s v="#NowPlaying"/>
    <x v="2"/>
    <n v="9.3980281287635997E-2"/>
    <d v="2024-12-01T00:00:00"/>
    <d v="2024-12-31T00:00:00"/>
    <x v="0"/>
  </r>
  <r>
    <s v="SP122"/>
    <s v="Twitter"/>
    <d v="2024-02-24T00:00:00"/>
    <s v="Story"/>
    <s v="Music that moves you-only on Spotify."/>
    <n v="1022"/>
    <n v="463"/>
    <n v="360"/>
    <n v="51468"/>
    <n v="24279"/>
    <n v="230"/>
    <s v="#DiscoverWeekly,#MusicForEveryone"/>
    <x v="0"/>
    <n v="3.5847516903707161E-2"/>
    <d v="2025-01-10T00:00:00"/>
    <d v="2025-02-10T00:00:00"/>
    <x v="0"/>
  </r>
  <r>
    <s v="SP123"/>
    <s v="YouTube"/>
    <d v="2024-05-12T00:00:00"/>
    <s v="Text"/>
    <s v="From pop to podcasts, it's all here."/>
    <n v="2911"/>
    <n v="467"/>
    <n v="94"/>
    <n v="59083"/>
    <n v="49762"/>
    <n v="236"/>
    <s v="#DiscoverWeekly,#SpotifyWrapped"/>
    <x v="1"/>
    <n v="5.8764788517847777E-2"/>
    <d v="2025-03-01T00:00:00"/>
    <d v="2025-03-31T00:00:00"/>
    <x v="0"/>
  </r>
  <r>
    <s v="SP124"/>
    <s v="Twitter"/>
    <d v="2024-05-09T00:00:00"/>
    <s v="Story"/>
    <s v="New music just dropped. Hit play!"/>
    <n v="3277"/>
    <n v="423"/>
    <n v="259"/>
    <n v="46328"/>
    <n v="44293"/>
    <n v="299"/>
    <s v="#SoundtrackOfLife,#NowPlaying"/>
    <x v="0"/>
    <n v="8.5455879813503707E-2"/>
    <d v="2025-01-10T00:00:00"/>
    <d v="2025-02-10T00:00:00"/>
    <x v="0"/>
  </r>
  <r>
    <s v="SP125"/>
    <s v="Twitter"/>
    <d v="2024-11-06T00:00:00"/>
    <s v="Text"/>
    <s v="From pop to podcasts, it's all here."/>
    <n v="2956"/>
    <n v="381"/>
    <n v="345"/>
    <n v="33347"/>
    <n v="22558"/>
    <n v="173"/>
    <s v="#NowPlaying"/>
    <x v="0"/>
    <n v="0.11041472996071611"/>
    <d v="2025-01-10T00:00:00"/>
    <d v="2025-02-10T00:00:00"/>
    <x v="0"/>
  </r>
  <r>
    <s v="SP126"/>
    <s v="Twitter"/>
    <d v="2024-01-04T00:00:00"/>
    <s v="Story"/>
    <s v="What's your vibe today? #SpotifyHits"/>
    <n v="3208"/>
    <n v="476"/>
    <n v="277"/>
    <n v="56072"/>
    <n v="21061"/>
    <n v="113"/>
    <s v="#MusicForEveryone,#NowPlaying"/>
    <x v="0"/>
    <n v="7.064131830503638E-2"/>
    <d v="2025-01-10T00:00:00"/>
    <d v="2025-02-10T00:00:00"/>
    <x v="0"/>
  </r>
  <r>
    <s v="SP127"/>
    <s v="Twitter"/>
    <d v="2024-01-28T00:00:00"/>
    <s v="Text"/>
    <s v="Music that moves you-only on Spotify."/>
    <n v="1456"/>
    <n v="265"/>
    <n v="137"/>
    <n v="53485"/>
    <n v="59729"/>
    <n v="145"/>
    <s v="#SoundtrackOfLife"/>
    <x v="1"/>
    <n v="3.4738711788351875E-2"/>
    <d v="2025-03-01T00:00:00"/>
    <d v="2025-03-31T00:00:00"/>
    <x v="0"/>
  </r>
  <r>
    <s v="SP128"/>
    <s v="Instagram"/>
    <d v="2024-02-22T00:00:00"/>
    <s v="Text"/>
    <s v="New music just dropped. Hit play!"/>
    <n v="1902"/>
    <n v="394"/>
    <n v="279"/>
    <n v="24615"/>
    <n v="51330"/>
    <n v="176"/>
    <s v="#SoundtrackOfLife,#NowPlaying"/>
    <x v="0"/>
    <n v="0.10461100954702417"/>
    <d v="2025-01-10T00:00:00"/>
    <d v="2025-02-10T00:00:00"/>
    <x v="0"/>
  </r>
  <r>
    <s v="SP129"/>
    <s v="Twitter"/>
    <d v="2025-07-01T00:00:00"/>
    <s v="Story"/>
    <s v="Explore the latest podcasts now."/>
    <n v="3219"/>
    <n v="424"/>
    <n v="267"/>
    <n v="48879"/>
    <n v="37691"/>
    <n v="224"/>
    <s v="#DiscoverWeekly,#MusicForEveryone"/>
    <x v="0"/>
    <n v="7.9993453221219743E-2"/>
    <d v="2025-01-10T00:00:00"/>
    <d v="2025-02-10T00:00:00"/>
    <x v="0"/>
  </r>
  <r>
    <s v="SP130"/>
    <s v="YouTube"/>
    <d v="2024-01-10T00:00:00"/>
    <s v="Text"/>
    <s v="Explore the latest podcasts now."/>
    <n v="1261"/>
    <n v="190"/>
    <n v="233"/>
    <n v="59888"/>
    <n v="51449"/>
    <n v="205"/>
    <s v="#DiscoverWeekly,#SpotifyWrapped"/>
    <x v="1"/>
    <n v="2.811915575741384E-2"/>
    <d v="2025-03-01T00:00:00"/>
    <d v="2025-03-31T00:00:00"/>
    <x v="0"/>
  </r>
  <r>
    <s v="SP131"/>
    <s v="Twitter"/>
    <d v="2025-03-20T00:00:00"/>
    <s v="Text"/>
    <s v="Your weekend playlist is waiting."/>
    <n v="1564"/>
    <n v="362"/>
    <n v="371"/>
    <n v="42075"/>
    <n v="66659"/>
    <n v="205"/>
    <s v="#SoundtrackOfLife"/>
    <x v="1"/>
    <n v="5.4592988710635768E-2"/>
    <d v="2025-03-01T00:00:00"/>
    <d v="2025-03-31T00:00:00"/>
    <x v="1"/>
  </r>
  <r>
    <s v="SP132"/>
    <s v="Twitter"/>
    <d v="2024-09-28T00:00:00"/>
    <s v="Text"/>
    <s v="What's your vibe today? #SpotifyHits"/>
    <n v="4006"/>
    <n v="420"/>
    <n v="194"/>
    <n v="49964"/>
    <n v="20685"/>
    <n v="148"/>
    <s v="#NowPlaying"/>
    <x v="0"/>
    <n v="9.2466575934672959E-2"/>
    <d v="2025-01-10T00:00:00"/>
    <d v="2025-02-10T00:00:00"/>
    <x v="0"/>
  </r>
  <r>
    <s v="SP133"/>
    <s v="YouTube"/>
    <d v="2024-01-27T00:00:00"/>
    <s v="Text"/>
    <s v="Your weekend playlist is waiting."/>
    <n v="1976"/>
    <n v="262"/>
    <n v="218"/>
    <n v="51696"/>
    <n v="44846"/>
    <n v="139"/>
    <s v="#DiscoverWeekly,#SpotifyWrapped"/>
    <x v="1"/>
    <n v="4.7508511296812134E-2"/>
    <d v="2025-03-01T00:00:00"/>
    <d v="2025-03-31T00:00:00"/>
    <x v="0"/>
  </r>
  <r>
    <s v="SP134"/>
    <s v="Twitter"/>
    <d v="2025-05-15T00:00:00"/>
    <s v="Text"/>
    <s v="New music just dropped. Hit play!"/>
    <n v="1583"/>
    <n v="433"/>
    <n v="249"/>
    <n v="30256"/>
    <n v="47066"/>
    <n v="196"/>
    <s v="#NowPlaying"/>
    <x v="0"/>
    <n v="7.4861184558434685E-2"/>
    <d v="2025-01-10T00:00:00"/>
    <d v="2025-02-10T00:00:00"/>
    <x v="0"/>
  </r>
  <r>
    <s v="SP135"/>
    <s v="Twitter"/>
    <d v="2024-10-04T00:00:00"/>
    <s v="Story"/>
    <s v="Explore the latest podcasts now."/>
    <n v="2870"/>
    <n v="380"/>
    <n v="393"/>
    <n v="37621"/>
    <n v="71794"/>
    <n v="127"/>
    <s v="#MusicForEveryone,#NowPlaying"/>
    <x v="0"/>
    <n v="9.6834214933149046E-2"/>
    <d v="2025-01-10T00:00:00"/>
    <d v="2025-02-10T00:00:00"/>
    <x v="0"/>
  </r>
  <r>
    <s v="SP136"/>
    <s v="Twitter"/>
    <d v="2024-11-19T00:00:00"/>
    <s v="Text"/>
    <s v="Top trending tracks updated daily!"/>
    <n v="3728"/>
    <n v="271"/>
    <n v="275"/>
    <n v="22827"/>
    <n v="37034"/>
    <n v="199"/>
    <s v="#NowPlaying"/>
    <x v="0"/>
    <n v="0.18723441538528934"/>
    <d v="2025-01-10T00:00:00"/>
    <d v="2025-02-10T00:00:00"/>
    <x v="0"/>
  </r>
  <r>
    <s v="SP137"/>
    <s v="Twitter"/>
    <d v="2024-04-05T00:00:00"/>
    <s v="Story"/>
    <s v="New music just dropped. Hit play!"/>
    <n v="4965"/>
    <n v="175"/>
    <n v="307"/>
    <n v="32793"/>
    <n v="43412"/>
    <n v="296"/>
    <s v="#SoundtrackOfLife,#NowPlaying"/>
    <x v="0"/>
    <n v="0.16610252187966945"/>
    <d v="2025-01-10T00:00:00"/>
    <d v="2025-02-10T00:00:00"/>
    <x v="0"/>
  </r>
  <r>
    <s v="SP138"/>
    <s v="Twitter"/>
    <d v="2024-11-28T00:00:00"/>
    <s v="Story"/>
    <s v="New music just dropped. Hit play!"/>
    <n v="1131"/>
    <n v="100"/>
    <n v="116"/>
    <n v="48437"/>
    <n v="72704"/>
    <n v="236"/>
    <s v="#DiscoverWeekly,#MusicForEveryone"/>
    <x v="0"/>
    <n v="2.7809319322005904E-2"/>
    <d v="2025-01-10T00:00:00"/>
    <d v="2025-02-10T00:00:00"/>
    <x v="0"/>
  </r>
  <r>
    <s v="SP139"/>
    <s v="Twitter"/>
    <d v="2025-03-09T00:00:00"/>
    <s v="Text"/>
    <s v="Your weekend playlist is waiting."/>
    <n v="2754"/>
    <n v="215"/>
    <n v="264"/>
    <n v="27762"/>
    <n v="70203"/>
    <n v="289"/>
    <s v="#NowPlaying"/>
    <x v="0"/>
    <n v="0.11645414595490239"/>
    <d v="2025-01-10T00:00:00"/>
    <d v="2025-02-10T00:00:00"/>
    <x v="0"/>
  </r>
  <r>
    <s v="SP140"/>
    <s v="Twitter"/>
    <d v="2024-08-27T00:00:00"/>
    <s v="Story"/>
    <s v="New music just dropped. Hit play!"/>
    <n v="1856"/>
    <n v="357"/>
    <n v="348"/>
    <n v="29428"/>
    <n v="70206"/>
    <n v="236"/>
    <s v="#MusicForEveryone,#NowPlaying"/>
    <x v="0"/>
    <n v="8.702596166915863E-2"/>
    <d v="2025-01-10T00:00:00"/>
    <d v="2025-02-10T00:00:00"/>
    <x v="0"/>
  </r>
  <r>
    <s v="SP141"/>
    <s v="YouTube"/>
    <d v="2024-10-01T00:00:00"/>
    <s v="Reel"/>
    <s v="Explore the latest podcasts now."/>
    <n v="3543"/>
    <n v="334"/>
    <n v="218"/>
    <n v="58007"/>
    <n v="24792"/>
    <n v="273"/>
    <s v="#DiscoverWeekly,#SoundtrackOfLife"/>
    <x v="3"/>
    <n v="7.0594928198320889E-2"/>
    <d v="2024-06-15T00:00:00"/>
    <d v="2024-07-15T00:00:00"/>
    <x v="0"/>
  </r>
  <r>
    <s v="SP142"/>
    <s v="Instagram"/>
    <d v="2024-12-21T00:00:00"/>
    <s v="Story"/>
    <s v="New music just dropped. Hit play!"/>
    <n v="4563"/>
    <n v="398"/>
    <n v="163"/>
    <n v="43679"/>
    <n v="48760"/>
    <n v="92"/>
    <s v="#NowPlaying"/>
    <x v="2"/>
    <n v="0.11731037798484398"/>
    <d v="2024-12-01T00:00:00"/>
    <d v="2024-12-31T00:00:00"/>
    <x v="1"/>
  </r>
  <r>
    <s v="SP143"/>
    <s v="Instagram"/>
    <d v="2024-06-17T00:00:00"/>
    <s v="Text"/>
    <s v="Discover fresh beats on Spotify!"/>
    <n v="4283"/>
    <n v="471"/>
    <n v="156"/>
    <n v="53004"/>
    <n v="25678"/>
    <n v="105"/>
    <s v="#DiscoverWeekly"/>
    <x v="1"/>
    <n v="9.2634518149573616E-2"/>
    <d v="2025-03-01T00:00:00"/>
    <d v="2025-03-31T00:00:00"/>
    <x v="0"/>
  </r>
  <r>
    <s v="SP144"/>
    <s v="Instagram"/>
    <d v="2025-02-14T00:00:00"/>
    <s v="Text"/>
    <s v="Discover fresh beats on Spotify!"/>
    <n v="2329"/>
    <n v="373"/>
    <n v="291"/>
    <n v="49577"/>
    <n v="28002"/>
    <n v="82"/>
    <s v="#SoundtrackOfLife,#NowPlaying"/>
    <x v="0"/>
    <n v="6.0370736430199488E-2"/>
    <d v="2025-01-10T00:00:00"/>
    <d v="2025-02-10T00:00:00"/>
    <x v="0"/>
  </r>
  <r>
    <s v="SP145"/>
    <s v="Twitter"/>
    <d v="2025-05-28T00:00:00"/>
    <s v="Story"/>
    <s v="Top trending tracks updated daily!"/>
    <n v="4287"/>
    <n v="273"/>
    <n v="122"/>
    <n v="40792"/>
    <n v="23878"/>
    <n v="277"/>
    <s v="#MusicForEveryone,#NowPlaying"/>
    <x v="0"/>
    <n v="0.11477740733477153"/>
    <d v="2025-01-10T00:00:00"/>
    <d v="2025-02-10T00:00:00"/>
    <x v="0"/>
  </r>
  <r>
    <s v="SP146"/>
    <s v="Instagram"/>
    <d v="2025-05-22T00:00:00"/>
    <s v="Text"/>
    <s v="Discover fresh beats on Spotify!"/>
    <n v="2633"/>
    <n v="318"/>
    <n v="380"/>
    <n v="40869"/>
    <n v="64474"/>
    <n v="245"/>
    <s v="#DiscoverWeekly"/>
    <x v="1"/>
    <n v="8.1504318676747664E-2"/>
    <d v="2025-03-01T00:00:00"/>
    <d v="2025-03-31T00:00:00"/>
    <x v="0"/>
  </r>
  <r>
    <s v="SP147"/>
    <s v="Twitter"/>
    <d v="2024-01-21T00:00:00"/>
    <s v="Story"/>
    <s v="Discover fresh beats on Spotify!"/>
    <n v="2383"/>
    <n v="136"/>
    <n v="302"/>
    <n v="39187"/>
    <n v="22133"/>
    <n v="208"/>
    <s v="#MusicForEveryone,#NowPlaying"/>
    <x v="0"/>
    <n v="7.1988159338556151E-2"/>
    <d v="2025-01-10T00:00:00"/>
    <d v="2025-02-10T00:00:00"/>
    <x v="0"/>
  </r>
  <r>
    <s v="SP148"/>
    <s v="Twitter"/>
    <d v="2025-02-08T00:00:00"/>
    <s v="Story"/>
    <s v="Your weekend playlist is waiting."/>
    <n v="4752"/>
    <n v="334"/>
    <n v="56"/>
    <n v="48017"/>
    <n v="55534"/>
    <n v="270"/>
    <s v="#DiscoverWeekly,#MusicForEveryone"/>
    <x v="0"/>
    <n v="0.10708707332819627"/>
    <d v="2025-01-10T00:00:00"/>
    <d v="2025-02-10T00:00:00"/>
    <x v="1"/>
  </r>
  <r>
    <s v="SP149"/>
    <s v="Twitter"/>
    <d v="2025-04-13T00:00:00"/>
    <s v="Text"/>
    <s v="From pop to podcasts, it's all here."/>
    <n v="3890"/>
    <n v="408"/>
    <n v="338"/>
    <n v="56994"/>
    <n v="32621"/>
    <n v="286"/>
    <s v="#SoundtrackOfLife"/>
    <x v="1"/>
    <n v="8.1341895638137346E-2"/>
    <d v="2025-03-01T00:00:00"/>
    <d v="2025-03-31T00:00:00"/>
    <x v="0"/>
  </r>
  <r>
    <s v="SP150"/>
    <s v="Twitter"/>
    <d v="2024-05-30T00:00:00"/>
    <s v="Story"/>
    <s v="Your weekend playlist is waiting."/>
    <n v="2311"/>
    <n v="207"/>
    <n v="363"/>
    <n v="30349"/>
    <n v="32925"/>
    <n v="88"/>
    <s v="#MusicForEveryone,#NowPlaying"/>
    <x v="0"/>
    <n v="9.4928992718046723E-2"/>
    <d v="2025-01-10T00:00:00"/>
    <d v="2025-02-10T00:00:00"/>
    <x v="0"/>
  </r>
  <r>
    <s v="SP151"/>
    <s v="Instagram"/>
    <d v="2024-08-12T00:00:00"/>
    <s v="Story"/>
    <s v="Discover fresh beats on Spotify!"/>
    <n v="2962"/>
    <n v="400"/>
    <n v="280"/>
    <n v="52508"/>
    <n v="58329"/>
    <n v="219"/>
    <s v="#NowPlaying"/>
    <x v="2"/>
    <n v="6.9360859297630834E-2"/>
    <d v="2024-12-01T00:00:00"/>
    <d v="2024-12-31T00:00:00"/>
    <x v="0"/>
  </r>
  <r>
    <s v="SP152"/>
    <s v="Instagram"/>
    <d v="2024-09-27T00:00:00"/>
    <s v="Text"/>
    <s v="Discover fresh beats on Spotify!"/>
    <n v="3118"/>
    <n v="116"/>
    <n v="195"/>
    <n v="37100"/>
    <n v="62629"/>
    <n v="272"/>
    <s v="#DiscoverWeekly"/>
    <x v="1"/>
    <n v="9.2425876010781671E-2"/>
    <d v="2025-03-01T00:00:00"/>
    <d v="2025-03-31T00:00:00"/>
    <x v="0"/>
  </r>
  <r>
    <s v="SP153"/>
    <s v="Twitter"/>
    <d v="2025-06-11T00:00:00"/>
    <s v="Story"/>
    <s v="Explore the latest podcasts now."/>
    <n v="3805"/>
    <n v="453"/>
    <n v="63"/>
    <n v="52395"/>
    <n v="72934"/>
    <n v="87"/>
    <s v="#DiscoverWeekly,#MusicForEveryone"/>
    <x v="0"/>
    <n v="8.2469701307376658E-2"/>
    <d v="2025-01-10T00:00:00"/>
    <d v="2025-02-10T00:00:00"/>
    <x v="0"/>
  </r>
  <r>
    <s v="SP154"/>
    <s v="Instagram"/>
    <d v="2024-11-19T00:00:00"/>
    <s v="Text"/>
    <s v="What's your vibe today? #SpotifyHits"/>
    <n v="2525"/>
    <n v="272"/>
    <n v="294"/>
    <n v="51875"/>
    <n v="24732"/>
    <n v="92"/>
    <s v="#DiscoverWeekly"/>
    <x v="1"/>
    <n v="5.9585542168674697E-2"/>
    <d v="2025-03-01T00:00:00"/>
    <d v="2025-03-31T00:00:00"/>
    <x v="0"/>
  </r>
  <r>
    <s v="SP155"/>
    <s v="Instagram"/>
    <d v="2024-04-25T00:00:00"/>
    <s v="Text"/>
    <s v="Music that moves you-only on Spotify."/>
    <n v="3563"/>
    <n v="483"/>
    <n v="227"/>
    <n v="41085"/>
    <n v="26393"/>
    <n v="236"/>
    <s v="#SoundtrackOfLife,#NowPlaying"/>
    <x v="0"/>
    <n v="0.10400389436534015"/>
    <d v="2025-01-10T00:00:00"/>
    <d v="2025-02-10T00:00:00"/>
    <x v="0"/>
  </r>
  <r>
    <s v="SP156"/>
    <s v="YouTube"/>
    <d v="2024-09-03T00:00:00"/>
    <s v="Reel"/>
    <s v="What's your vibe today? #SpotifyHits"/>
    <n v="1437"/>
    <n v="494"/>
    <n v="129"/>
    <n v="53048"/>
    <n v="44090"/>
    <n v="230"/>
    <s v="#DiscoverWeekly,#SoundtrackOfLife"/>
    <x v="3"/>
    <n v="3.8832755240536872E-2"/>
    <d v="2024-06-15T00:00:00"/>
    <d v="2024-07-15T00:00:00"/>
    <x v="0"/>
  </r>
  <r>
    <s v="SP157"/>
    <s v="YouTube"/>
    <d v="2025-03-02T00:00:00"/>
    <s v="Text"/>
    <s v="From pop to podcasts, it's all here."/>
    <n v="4425"/>
    <n v="185"/>
    <n v="162"/>
    <n v="24610"/>
    <n v="21342"/>
    <n v="158"/>
    <s v="#DiscoverWeekly,#SpotifyWrapped"/>
    <x v="1"/>
    <n v="0.19390491670052823"/>
    <d v="2025-03-01T00:00:00"/>
    <d v="2025-03-31T00:00:00"/>
    <x v="1"/>
  </r>
  <r>
    <s v="SP158"/>
    <s v="Twitter"/>
    <d v="2025-03-21T00:00:00"/>
    <s v="Story"/>
    <s v="New music just dropped. Hit play!"/>
    <n v="4609"/>
    <n v="427"/>
    <n v="395"/>
    <n v="33698"/>
    <n v="29259"/>
    <n v="216"/>
    <s v="#DiscoverWeekly,#MusicForEveryone"/>
    <x v="0"/>
    <n v="0.16116683482699271"/>
    <d v="2025-01-10T00:00:00"/>
    <d v="2025-02-10T00:00:00"/>
    <x v="0"/>
  </r>
  <r>
    <s v="SP159"/>
    <s v="Instagram"/>
    <d v="2024-04-12T00:00:00"/>
    <s v="Story"/>
    <s v="Get into the groove with our new drop!"/>
    <n v="1558"/>
    <n v="352"/>
    <n v="202"/>
    <n v="25405"/>
    <n v="69941"/>
    <n v="219"/>
    <s v="#NowPlaying"/>
    <x v="2"/>
    <n v="8.3133241487896081E-2"/>
    <d v="2024-12-01T00:00:00"/>
    <d v="2024-12-31T00:00:00"/>
    <x v="0"/>
  </r>
  <r>
    <s v="SP160"/>
    <s v="YouTube"/>
    <d v="2024-02-08T00:00:00"/>
    <s v="Reel"/>
    <s v="Top trending tracks updated daily!"/>
    <n v="1889"/>
    <n v="298"/>
    <n v="122"/>
    <n v="46225"/>
    <n v="74305"/>
    <n v="293"/>
    <s v="#DiscoverWeekly,#SoundtrackOfLife"/>
    <x v="3"/>
    <n v="4.9951325040562468E-2"/>
    <d v="2024-06-15T00:00:00"/>
    <d v="2024-07-15T00:00:00"/>
    <x v="0"/>
  </r>
  <r>
    <s v="SP161"/>
    <s v="Instagram"/>
    <d v="2025-05-26T00:00:00"/>
    <s v="Text"/>
    <s v="Discover fresh beats on Spotify!"/>
    <n v="3086"/>
    <n v="148"/>
    <n v="310"/>
    <n v="22824"/>
    <n v="58103"/>
    <n v="275"/>
    <s v="#DiscoverWeekly"/>
    <x v="1"/>
    <n v="0.1552751489660007"/>
    <d v="2025-03-01T00:00:00"/>
    <d v="2025-03-31T00:00:00"/>
    <x v="0"/>
  </r>
  <r>
    <s v="SP162"/>
    <s v="Instagram"/>
    <d v="2024-11-14T00:00:00"/>
    <s v="Text"/>
    <s v="Music that moves you-only on Spotify."/>
    <n v="2422"/>
    <n v="318"/>
    <n v="118"/>
    <n v="25386"/>
    <n v="20873"/>
    <n v="100"/>
    <s v="#SoundtrackOfLife,#NowPlaying"/>
    <x v="0"/>
    <n v="0.11258173796580792"/>
    <d v="2025-01-10T00:00:00"/>
    <d v="2025-02-10T00:00:00"/>
    <x v="0"/>
  </r>
  <r>
    <s v="SP163"/>
    <s v="YouTube"/>
    <d v="2024-08-09T00:00:00"/>
    <s v="Reel"/>
    <s v="From pop to podcasts, it's all here."/>
    <n v="3414"/>
    <n v="154"/>
    <n v="204"/>
    <n v="34146"/>
    <n v="44633"/>
    <n v="256"/>
    <s v="#DiscoverWeekly,#SoundtrackOfLife"/>
    <x v="3"/>
    <n v="0.11046681895390383"/>
    <d v="2024-06-15T00:00:00"/>
    <d v="2024-07-15T00:00:00"/>
    <x v="0"/>
  </r>
  <r>
    <s v="SP164"/>
    <s v="Instagram"/>
    <d v="2025-06-27T00:00:00"/>
    <s v="Story"/>
    <s v="What's your vibe today? #SpotifyHits"/>
    <n v="1342"/>
    <n v="332"/>
    <n v="163"/>
    <n v="51712"/>
    <n v="57922"/>
    <n v="168"/>
    <s v="#NowPlaying"/>
    <x v="2"/>
    <n v="3.5523669554455448E-2"/>
    <d v="2024-12-01T00:00:00"/>
    <d v="2024-12-31T00:00:00"/>
    <x v="0"/>
  </r>
  <r>
    <s v="SP165"/>
    <s v="Instagram"/>
    <d v="2024-05-08T00:00:00"/>
    <s v="Story"/>
    <s v="Music that moves you-only on Spotify."/>
    <n v="2414"/>
    <n v="220"/>
    <n v="280"/>
    <n v="27355"/>
    <n v="50562"/>
    <n v="258"/>
    <s v="#NowPlaying"/>
    <x v="2"/>
    <n v="0.10652531529884847"/>
    <d v="2024-12-01T00:00:00"/>
    <d v="2024-12-31T00:00:00"/>
    <x v="0"/>
  </r>
  <r>
    <s v="SP166"/>
    <s v="Instagram"/>
    <d v="2024-04-05T00:00:00"/>
    <s v="Text"/>
    <s v="New music just dropped. Hit play!"/>
    <n v="4383"/>
    <n v="352"/>
    <n v="176"/>
    <n v="53239"/>
    <n v="34168"/>
    <n v="288"/>
    <s v="#DiscoverWeekly"/>
    <x v="1"/>
    <n v="9.2244407295403744E-2"/>
    <d v="2025-03-01T00:00:00"/>
    <d v="2025-03-31T00:00:00"/>
    <x v="0"/>
  </r>
  <r>
    <s v="SP167"/>
    <s v="YouTube"/>
    <d v="2025-01-27T00:00:00"/>
    <s v="Text"/>
    <s v="Wrapped is here! Relive your top tracks 🎧"/>
    <n v="4294"/>
    <n v="423"/>
    <n v="93"/>
    <n v="29828"/>
    <n v="73144"/>
    <n v="298"/>
    <s v="#DiscoverWeekly,#SpotifyWrapped"/>
    <x v="1"/>
    <n v="0.1612578785034196"/>
    <d v="2025-03-01T00:00:00"/>
    <d v="2025-03-31T00:00:00"/>
    <x v="0"/>
  </r>
  <r>
    <s v="SP168"/>
    <s v="Instagram"/>
    <d v="2024-04-03T00:00:00"/>
    <s v="Text"/>
    <s v="Top trending tracks updated daily!"/>
    <n v="2762"/>
    <n v="339"/>
    <n v="323"/>
    <n v="33757"/>
    <n v="68511"/>
    <n v="121"/>
    <s v="#SoundtrackOfLife,#NowPlaying"/>
    <x v="0"/>
    <n v="0.10143081434961637"/>
    <d v="2025-01-10T00:00:00"/>
    <d v="2025-02-10T00:00:00"/>
    <x v="0"/>
  </r>
  <r>
    <s v="SP169"/>
    <s v="YouTube"/>
    <d v="2025-01-03T00:00:00"/>
    <s v="Text"/>
    <s v="New music just dropped. Hit play!"/>
    <n v="3782"/>
    <n v="484"/>
    <n v="144"/>
    <n v="52172"/>
    <n v="59386"/>
    <n v="175"/>
    <s v="#DiscoverWeekly,#SpotifyWrapped"/>
    <x v="1"/>
    <n v="8.4528099363643333E-2"/>
    <d v="2025-03-01T00:00:00"/>
    <d v="2025-03-31T00:00:00"/>
    <x v="0"/>
  </r>
  <r>
    <s v="SP170"/>
    <s v="Twitter"/>
    <d v="2024-11-23T00:00:00"/>
    <s v="Text"/>
    <s v="New music just dropped. Hit play!"/>
    <n v="4318"/>
    <n v="371"/>
    <n v="329"/>
    <n v="32347"/>
    <n v="68956"/>
    <n v="259"/>
    <s v="#SoundtrackOfLife"/>
    <x v="1"/>
    <n v="0.15513030574705536"/>
    <d v="2025-03-01T00:00:00"/>
    <d v="2025-03-31T00:00:00"/>
    <x v="0"/>
  </r>
  <r>
    <s v="SP171"/>
    <s v="Instagram"/>
    <d v="2024-09-01T00:00:00"/>
    <s v="Story"/>
    <s v="Wrapped is here! Relive your top tracks 🎧"/>
    <n v="2335"/>
    <n v="150"/>
    <n v="75"/>
    <n v="26114"/>
    <n v="57549"/>
    <n v="135"/>
    <s v="#NowPlaying"/>
    <x v="2"/>
    <n v="9.8031707130274953E-2"/>
    <d v="2024-12-01T00:00:00"/>
    <d v="2024-12-31T00:00:00"/>
    <x v="0"/>
  </r>
  <r>
    <s v="SP172"/>
    <s v="YouTube"/>
    <d v="2024-04-18T00:00:00"/>
    <s v="Text"/>
    <s v="Explore the latest podcasts now."/>
    <n v="4023"/>
    <n v="293"/>
    <n v="91"/>
    <n v="26795"/>
    <n v="28924"/>
    <n v="278"/>
    <s v="#DiscoverWeekly,#SpotifyWrapped"/>
    <x v="1"/>
    <n v="0.16447098339242397"/>
    <d v="2025-03-01T00:00:00"/>
    <d v="2025-03-31T00:00:00"/>
    <x v="0"/>
  </r>
  <r>
    <s v="SP173"/>
    <s v="Instagram"/>
    <d v="2024-06-04T00:00:00"/>
    <s v="Text"/>
    <s v="Get into the groove with our new drop!"/>
    <n v="3948"/>
    <n v="151"/>
    <n v="249"/>
    <n v="43147"/>
    <n v="63136"/>
    <n v="230"/>
    <s v="#DiscoverWeekly"/>
    <x v="1"/>
    <n v="0.10077178019329269"/>
    <d v="2025-03-01T00:00:00"/>
    <d v="2025-03-31T00:00:00"/>
    <x v="0"/>
  </r>
  <r>
    <s v="SP174"/>
    <s v="YouTube"/>
    <d v="2025-04-02T00:00:00"/>
    <s v="Text"/>
    <s v="Wrapped is here! Relive your top tracks 🎧"/>
    <n v="4598"/>
    <n v="455"/>
    <n v="378"/>
    <n v="52952"/>
    <n v="58504"/>
    <n v="269"/>
    <s v="#DiscoverWeekly,#SpotifyWrapped"/>
    <x v="1"/>
    <n v="0.10256458679558846"/>
    <d v="2025-03-01T00:00:00"/>
    <d v="2025-03-31T00:00:00"/>
    <x v="0"/>
  </r>
  <r>
    <s v="SP175"/>
    <s v="Twitter"/>
    <d v="2025-04-01T00:00:00"/>
    <s v="Story"/>
    <s v="Music that moves you-only on Spotify."/>
    <n v="2665"/>
    <n v="143"/>
    <n v="315"/>
    <n v="54808"/>
    <n v="29818"/>
    <n v="98"/>
    <s v="#DiscoverWeekly,#MusicForEveryone"/>
    <x v="0"/>
    <n v="5.6980732739746021E-2"/>
    <d v="2025-01-10T00:00:00"/>
    <d v="2025-02-10T00:00:00"/>
    <x v="0"/>
  </r>
  <r>
    <s v="SP176"/>
    <s v="Instagram"/>
    <d v="2024-07-02T00:00:00"/>
    <s v="Text"/>
    <s v="Top trending tracks updated daily!"/>
    <n v="3469"/>
    <n v="371"/>
    <n v="76"/>
    <n v="46493"/>
    <n v="26906"/>
    <n v="150"/>
    <s v="#SoundtrackOfLife,#NowPlaying"/>
    <x v="0"/>
    <n v="8.4227733207149463E-2"/>
    <d v="2025-01-10T00:00:00"/>
    <d v="2025-02-10T00:00:00"/>
    <x v="0"/>
  </r>
  <r>
    <s v="SP177"/>
    <s v="Twitter"/>
    <d v="2024-11-10T00:00:00"/>
    <s v="Text"/>
    <s v="Explore the latest podcasts now."/>
    <n v="4823"/>
    <n v="489"/>
    <n v="302"/>
    <n v="32470"/>
    <n v="31861"/>
    <n v="178"/>
    <s v="#SoundtrackOfLife"/>
    <x v="1"/>
    <n v="0.1728980597474592"/>
    <d v="2025-03-01T00:00:00"/>
    <d v="2025-03-31T00:00:00"/>
    <x v="0"/>
  </r>
  <r>
    <s v="SP178"/>
    <s v="Instagram"/>
    <d v="2024-12-14T00:00:00"/>
    <s v="Story"/>
    <s v="From pop to podcasts, it's all here."/>
    <n v="3812"/>
    <n v="321"/>
    <n v="289"/>
    <n v="59838"/>
    <n v="36337"/>
    <n v="161"/>
    <s v="#NowPlaying"/>
    <x v="2"/>
    <n v="7.3899528727564417E-2"/>
    <d v="2024-12-01T00:00:00"/>
    <d v="2024-12-31T00:00:00"/>
    <x v="1"/>
  </r>
  <r>
    <s v="SP179"/>
    <s v="Twitter"/>
    <d v="2024-11-19T00:00:00"/>
    <s v="Text"/>
    <s v="Explore the latest podcasts now."/>
    <n v="2387"/>
    <n v="353"/>
    <n v="78"/>
    <n v="39745"/>
    <n v="69226"/>
    <n v="208"/>
    <s v="#SoundtrackOfLife"/>
    <x v="1"/>
    <n v="7.090200025160398E-2"/>
    <d v="2025-03-01T00:00:00"/>
    <d v="2025-03-31T00:00:00"/>
    <x v="0"/>
  </r>
  <r>
    <s v="SP180"/>
    <s v="Twitter"/>
    <d v="2025-04-30T00:00:00"/>
    <s v="Story"/>
    <s v="Wrapped is here! Relive your top tracks 🎧"/>
    <n v="3929"/>
    <n v="275"/>
    <n v="330"/>
    <n v="58329"/>
    <n v="33196"/>
    <n v="85"/>
    <s v="#MusicForEveryone,#NowPlaying"/>
    <x v="0"/>
    <n v="7.7731488624869283E-2"/>
    <d v="2025-01-10T00:00:00"/>
    <d v="2025-02-10T00:00:00"/>
    <x v="0"/>
  </r>
  <r>
    <s v="SP181"/>
    <s v="Twitter"/>
    <d v="2024-03-19T00:00:00"/>
    <s v="Text"/>
    <s v="From pop to podcasts, it's all here."/>
    <n v="2191"/>
    <n v="288"/>
    <n v="83"/>
    <n v="59606"/>
    <n v="24765"/>
    <n v="281"/>
    <s v="#SoundtrackOfLife"/>
    <x v="1"/>
    <n v="4.2982250109049422E-2"/>
    <d v="2025-03-01T00:00:00"/>
    <d v="2025-03-31T00:00:00"/>
    <x v="0"/>
  </r>
  <r>
    <s v="SP182"/>
    <s v="Instagram"/>
    <d v="2024-03-19T00:00:00"/>
    <s v="Text"/>
    <s v="From pop to podcasts, it's all here."/>
    <n v="2878"/>
    <n v="278"/>
    <n v="255"/>
    <n v="47235"/>
    <n v="57922"/>
    <n v="112"/>
    <s v="#SoundtrackOfLife,#NowPlaying"/>
    <x v="0"/>
    <n v="7.2213401079707848E-2"/>
    <d v="2025-01-10T00:00:00"/>
    <d v="2025-02-10T00:00:00"/>
    <x v="0"/>
  </r>
  <r>
    <s v="SP183"/>
    <s v="Twitter"/>
    <d v="2024-07-23T00:00:00"/>
    <s v="Text"/>
    <s v="Top trending tracks updated daily!"/>
    <n v="3204"/>
    <n v="398"/>
    <n v="85"/>
    <n v="22020"/>
    <n v="58353"/>
    <n v="286"/>
    <s v="#SoundtrackOfLife"/>
    <x v="1"/>
    <n v="0.16743869209809265"/>
    <d v="2025-03-01T00:00:00"/>
    <d v="2025-03-31T00:00:00"/>
    <x v="0"/>
  </r>
  <r>
    <s v="SP184"/>
    <s v="Twitter"/>
    <d v="2024-07-13T00:00:00"/>
    <s v="Story"/>
    <s v="Get into the groove with our new drop!"/>
    <n v="2408"/>
    <n v="323"/>
    <n v="251"/>
    <n v="47599"/>
    <n v="35543"/>
    <n v="287"/>
    <s v="#MusicForEveryone,#NowPlaying"/>
    <x v="0"/>
    <n v="6.2648374965860634E-2"/>
    <d v="2025-01-10T00:00:00"/>
    <d v="2025-02-10T00:00:00"/>
    <x v="0"/>
  </r>
  <r>
    <s v="SP185"/>
    <s v="YouTube"/>
    <d v="2025-04-22T00:00:00"/>
    <s v="Reel"/>
    <s v="New music just dropped. Hit play!"/>
    <n v="2733"/>
    <n v="297"/>
    <n v="235"/>
    <n v="37980"/>
    <n v="33058"/>
    <n v="219"/>
    <s v="#DiscoverWeekly,#SoundtrackOfLife"/>
    <x v="3"/>
    <n v="8.5966298051606105E-2"/>
    <d v="2024-06-15T00:00:00"/>
    <d v="2024-07-15T00:00:00"/>
    <x v="0"/>
  </r>
  <r>
    <s v="SP186"/>
    <s v="Twitter"/>
    <d v="2024-06-16T00:00:00"/>
    <s v="Story"/>
    <s v="Explore the latest podcasts now."/>
    <n v="4618"/>
    <n v="312"/>
    <n v="254"/>
    <n v="22571"/>
    <n v="29453"/>
    <n v="197"/>
    <s v="#MusicForEveryone,#NowPlaying"/>
    <x v="0"/>
    <n v="0.22967524699836073"/>
    <d v="2025-01-10T00:00:00"/>
    <d v="2025-02-10T00:00:00"/>
    <x v="0"/>
  </r>
  <r>
    <s v="SP187"/>
    <s v="YouTube"/>
    <d v="2025-05-18T00:00:00"/>
    <s v="Reel"/>
    <s v="Wrapped is here! Relive your top tracks 🎧"/>
    <n v="4210"/>
    <n v="319"/>
    <n v="350"/>
    <n v="37762"/>
    <n v="55162"/>
    <n v="204"/>
    <s v="#DiscoverWeekly,#SoundtrackOfLife"/>
    <x v="3"/>
    <n v="0.12920396165457337"/>
    <d v="2024-06-15T00:00:00"/>
    <d v="2024-07-15T00:00:00"/>
    <x v="0"/>
  </r>
  <r>
    <s v="SP188"/>
    <s v="Instagram"/>
    <d v="2025-06-06T00:00:00"/>
    <s v="Text"/>
    <s v="Wrapped is here! Relive your top tracks 🎧"/>
    <n v="3987"/>
    <n v="171"/>
    <n v="274"/>
    <n v="45122"/>
    <n v="65431"/>
    <n v="168"/>
    <s v="#DiscoverWeekly"/>
    <x v="1"/>
    <n v="9.8222596516111871E-2"/>
    <d v="2025-03-01T00:00:00"/>
    <d v="2025-03-31T00:00:00"/>
    <x v="0"/>
  </r>
  <r>
    <s v="SP189"/>
    <s v="YouTube"/>
    <d v="2025-02-20T00:00:00"/>
    <s v="Reel"/>
    <s v="Get into the groove with our new drop!"/>
    <n v="4957"/>
    <n v="262"/>
    <n v="365"/>
    <n v="49199"/>
    <n v="40314"/>
    <n v="216"/>
    <s v="#DiscoverWeekly,#SoundtrackOfLife"/>
    <x v="3"/>
    <n v="0.11349824183418362"/>
    <d v="2024-06-15T00:00:00"/>
    <d v="2024-07-15T00:00:00"/>
    <x v="0"/>
  </r>
  <r>
    <s v="SP190"/>
    <s v="Instagram"/>
    <d v="2025-01-16T00:00:00"/>
    <s v="Text"/>
    <s v="Music that moves you-only on Spotify."/>
    <n v="2605"/>
    <n v="282"/>
    <n v="148"/>
    <n v="32201"/>
    <n v="49583"/>
    <n v="241"/>
    <s v="#SoundtrackOfLife,#NowPlaying"/>
    <x v="0"/>
    <n v="9.4251731312692155E-2"/>
    <d v="2025-01-10T00:00:00"/>
    <d v="2025-02-10T00:00:00"/>
    <x v="1"/>
  </r>
  <r>
    <s v="SP191"/>
    <s v="YouTube"/>
    <d v="2024-02-24T00:00:00"/>
    <s v="Reel"/>
    <s v="Discover fresh beats on Spotify!"/>
    <n v="4221"/>
    <n v="307"/>
    <n v="58"/>
    <n v="45080"/>
    <n v="37214"/>
    <n v="240"/>
    <s v="#DiscoverWeekly,#SoundtrackOfLife"/>
    <x v="3"/>
    <n v="0.10173025732031943"/>
    <d v="2024-06-15T00:00:00"/>
    <d v="2024-07-15T00:00:00"/>
    <x v="0"/>
  </r>
  <r>
    <s v="SP192"/>
    <s v="Twitter"/>
    <d v="2024-09-16T00:00:00"/>
    <s v="Story"/>
    <s v="What's your vibe today? #SpotifyHits"/>
    <n v="4422"/>
    <n v="434"/>
    <n v="156"/>
    <n v="56165"/>
    <n v="52431"/>
    <n v="173"/>
    <s v="#DiscoverWeekly,#MusicForEveryone"/>
    <x v="0"/>
    <n v="8.9237069349238848E-2"/>
    <d v="2025-01-10T00:00:00"/>
    <d v="2025-02-10T00:00:00"/>
    <x v="0"/>
  </r>
  <r>
    <s v="SP193"/>
    <s v="YouTube"/>
    <d v="2024-06-04T00:00:00"/>
    <s v="Reel"/>
    <s v="Wrapped is here! Relive your top tracks 🎧"/>
    <n v="1211"/>
    <n v="431"/>
    <n v="83"/>
    <n v="26532"/>
    <n v="47305"/>
    <n v="232"/>
    <s v="#DiscoverWeekly,#SoundtrackOfLife"/>
    <x v="3"/>
    <n v="6.5015829941203071E-2"/>
    <d v="2024-06-15T00:00:00"/>
    <d v="2024-07-15T00:00:00"/>
    <x v="0"/>
  </r>
  <r>
    <s v="SP194"/>
    <s v="Twitter"/>
    <d v="2024-05-10T00:00:00"/>
    <s v="Story"/>
    <s v="Explore the latest podcasts now."/>
    <n v="2784"/>
    <n v="111"/>
    <n v="399"/>
    <n v="58366"/>
    <n v="69512"/>
    <n v="269"/>
    <s v="#MusicForEveryone,#NowPlaying"/>
    <x v="0"/>
    <n v="5.6436966727204191E-2"/>
    <d v="2025-01-10T00:00:00"/>
    <d v="2025-02-10T00:00:00"/>
    <x v="0"/>
  </r>
  <r>
    <s v="SP195"/>
    <s v="YouTube"/>
    <d v="2024-01-14T00:00:00"/>
    <s v="Text"/>
    <s v="New music just dropped. Hit play!"/>
    <n v="3634"/>
    <n v="280"/>
    <n v="399"/>
    <n v="40256"/>
    <n v="52605"/>
    <n v="213"/>
    <s v="#DiscoverWeekly,#SpotifyWrapped"/>
    <x v="1"/>
    <n v="0.10713930842607314"/>
    <d v="2025-03-01T00:00:00"/>
    <d v="2025-03-31T00:00:00"/>
    <x v="0"/>
  </r>
  <r>
    <s v="SP196"/>
    <s v="Instagram"/>
    <d v="2025-01-12T00:00:00"/>
    <s v="Text"/>
    <s v="From pop to podcasts, it's all here."/>
    <n v="1771"/>
    <n v="487"/>
    <n v="272"/>
    <n v="48810"/>
    <n v="48084"/>
    <n v="272"/>
    <s v="#SoundtrackOfLife,#NowPlaying"/>
    <x v="0"/>
    <n v="5.1833640647408315E-2"/>
    <d v="2025-01-10T00:00:00"/>
    <d v="2025-02-10T00:00:00"/>
    <x v="1"/>
  </r>
  <r>
    <s v="SP197"/>
    <s v="YouTube"/>
    <d v="2024-12-08T00:00:00"/>
    <s v="Text"/>
    <s v="Top trending tracks updated daily!"/>
    <n v="1424"/>
    <n v="396"/>
    <n v="312"/>
    <n v="59517"/>
    <n v="46102"/>
    <n v="239"/>
    <s v="#DiscoverWeekly,#SpotifyWrapped"/>
    <x v="1"/>
    <n v="3.5821698002251455E-2"/>
    <d v="2025-03-01T00:00:00"/>
    <d v="2025-03-31T00:00:00"/>
    <x v="0"/>
  </r>
  <r>
    <s v="SP198"/>
    <s v="Twitter"/>
    <d v="2025-02-01T00:00:00"/>
    <s v="Story"/>
    <s v="Top trending tracks updated daily!"/>
    <n v="1079"/>
    <n v="265"/>
    <n v="190"/>
    <n v="43786"/>
    <n v="72428"/>
    <n v="222"/>
    <s v="#SoundtrackOfLife,#NowPlaying"/>
    <x v="0"/>
    <n v="3.5034029141734799E-2"/>
    <d v="2025-01-10T00:00:00"/>
    <d v="2025-02-10T00:00:00"/>
    <x v="1"/>
  </r>
  <r>
    <s v="SP199"/>
    <s v="Twitter"/>
    <d v="2024-07-11T00:00:00"/>
    <s v="Story"/>
    <s v="Get into the groove with our new drop!"/>
    <n v="4247"/>
    <n v="179"/>
    <n v="175"/>
    <n v="32991"/>
    <n v="70120"/>
    <n v="276"/>
    <s v="#SoundtrackOfLife,#NowPlaying"/>
    <x v="0"/>
    <n v="0.13946227759085811"/>
    <d v="2025-01-10T00:00:00"/>
    <d v="2025-02-10T00:00:00"/>
    <x v="0"/>
  </r>
  <r>
    <s v="SP200"/>
    <s v="Twitter"/>
    <d v="2024-03-18T00:00:00"/>
    <s v="Text"/>
    <s v="New music just dropped. Hit play!"/>
    <n v="2033"/>
    <n v="420"/>
    <n v="94"/>
    <n v="56290"/>
    <n v="57391"/>
    <n v="196"/>
    <s v="#NowPlaying"/>
    <x v="0"/>
    <n v="4.5247823769763724E-2"/>
    <d v="2025-01-10T00:00:00"/>
    <d v="2025-02-10T00:00:00"/>
    <x v="0"/>
  </r>
  <r>
    <s v="SP201"/>
    <s v="Twitter"/>
    <d v="2024-09-12T00:00:00"/>
    <s v="Story"/>
    <s v="Wrapped is here! Relive your top tracks 🎧"/>
    <n v="1839"/>
    <n v="223"/>
    <n v="171"/>
    <n v="35459"/>
    <n v="69988"/>
    <n v="114"/>
    <s v="#MusicForEveryone,#NowPlaying"/>
    <x v="0"/>
    <n v="6.2974139146620034E-2"/>
    <d v="2025-01-10T00:00:00"/>
    <d v="2025-02-10T00:00:00"/>
    <x v="0"/>
  </r>
  <r>
    <s v="SP202"/>
    <s v="Twitter"/>
    <d v="2024-01-11T00:00:00"/>
    <s v="Story"/>
    <s v="Wrapped is here! Relive your top tracks 🎧"/>
    <n v="2340"/>
    <n v="141"/>
    <n v="206"/>
    <n v="24916"/>
    <n v="30582"/>
    <n v="157"/>
    <s v="#SoundtrackOfLife,#NowPlaying"/>
    <x v="0"/>
    <n v="0.10784235029699792"/>
    <d v="2025-01-10T00:00:00"/>
    <d v="2025-02-10T00:00:00"/>
    <x v="0"/>
  </r>
  <r>
    <s v="SP203"/>
    <s v="Instagram"/>
    <d v="2024-10-06T00:00:00"/>
    <s v="Text"/>
    <s v="Top trending tracks updated daily!"/>
    <n v="2080"/>
    <n v="389"/>
    <n v="92"/>
    <n v="30971"/>
    <n v="25347"/>
    <n v="111"/>
    <s v="#DiscoverWeekly"/>
    <x v="1"/>
    <n v="8.2690258629040073E-2"/>
    <d v="2025-03-01T00:00:00"/>
    <d v="2025-03-31T00:00:00"/>
    <x v="0"/>
  </r>
  <r>
    <s v="SP204"/>
    <s v="Twitter"/>
    <d v="2024-12-30T00:00:00"/>
    <s v="Text"/>
    <s v="Get into the groove with our new drop!"/>
    <n v="4214"/>
    <n v="286"/>
    <n v="127"/>
    <n v="47293"/>
    <n v="27184"/>
    <n v="232"/>
    <s v="#NowPlaying"/>
    <x v="0"/>
    <n v="9.7836889180216949E-2"/>
    <d v="2025-01-10T00:00:00"/>
    <d v="2025-02-10T00:00:00"/>
    <x v="0"/>
  </r>
  <r>
    <s v="SP205"/>
    <s v="Twitter"/>
    <d v="2025-04-16T00:00:00"/>
    <s v="Text"/>
    <s v="Wrapped is here! Relive your top tracks 🎧"/>
    <n v="3792"/>
    <n v="315"/>
    <n v="120"/>
    <n v="54592"/>
    <n v="67886"/>
    <n v="117"/>
    <s v="#SoundtrackOfLife"/>
    <x v="1"/>
    <n v="7.7428927315357568E-2"/>
    <d v="2025-03-01T00:00:00"/>
    <d v="2025-03-31T00:00:00"/>
    <x v="0"/>
  </r>
  <r>
    <s v="SP206"/>
    <s v="Twitter"/>
    <d v="2024-08-21T00:00:00"/>
    <s v="Story"/>
    <s v="Explore the latest podcasts now."/>
    <n v="3989"/>
    <n v="476"/>
    <n v="128"/>
    <n v="57569"/>
    <n v="40193"/>
    <n v="222"/>
    <s v="#DiscoverWeekly,#MusicForEveryone"/>
    <x v="0"/>
    <n v="7.9782521843353188E-2"/>
    <d v="2025-01-10T00:00:00"/>
    <d v="2025-02-10T00:00:00"/>
    <x v="0"/>
  </r>
  <r>
    <s v="SP207"/>
    <s v="Twitter"/>
    <d v="2024-04-05T00:00:00"/>
    <s v="Story"/>
    <s v="Wrapped is here! Relive your top tracks 🎧"/>
    <n v="2857"/>
    <n v="443"/>
    <n v="359"/>
    <n v="51519"/>
    <n v="28256"/>
    <n v="155"/>
    <s v="#SoundtrackOfLife,#NowPlaying"/>
    <x v="0"/>
    <n v="7.1022341272152026E-2"/>
    <d v="2025-01-10T00:00:00"/>
    <d v="2025-02-10T00:00:00"/>
    <x v="0"/>
  </r>
  <r>
    <s v="SP208"/>
    <s v="Twitter"/>
    <d v="2025-04-07T00:00:00"/>
    <s v="Text"/>
    <s v="From pop to podcasts, it's all here."/>
    <n v="1403"/>
    <n v="385"/>
    <n v="344"/>
    <n v="54223"/>
    <n v="72595"/>
    <n v="239"/>
    <s v="#SoundtrackOfLife"/>
    <x v="1"/>
    <n v="3.9319108127547353E-2"/>
    <d v="2025-03-01T00:00:00"/>
    <d v="2025-03-31T00:00:00"/>
    <x v="0"/>
  </r>
  <r>
    <s v="SP209"/>
    <s v="Twitter"/>
    <d v="2024-07-19T00:00:00"/>
    <s v="Story"/>
    <s v="What's your vibe today? #SpotifyHits"/>
    <n v="3071"/>
    <n v="126"/>
    <n v="200"/>
    <n v="44013"/>
    <n v="44679"/>
    <n v="118"/>
    <s v="#DiscoverWeekly,#MusicForEveryone"/>
    <x v="0"/>
    <n v="7.7181741758116915E-2"/>
    <d v="2025-01-10T00:00:00"/>
    <d v="2025-02-10T00:00:00"/>
    <x v="0"/>
  </r>
  <r>
    <s v="SP210"/>
    <s v="Twitter"/>
    <d v="2025-05-03T00:00:00"/>
    <s v="Story"/>
    <s v="Top trending tracks updated daily!"/>
    <n v="1010"/>
    <n v="361"/>
    <n v="240"/>
    <n v="47229"/>
    <n v="72573"/>
    <n v="275"/>
    <s v="#SoundtrackOfLife,#NowPlaying"/>
    <x v="0"/>
    <n v="3.4110398272247981E-2"/>
    <d v="2025-01-10T00:00:00"/>
    <d v="2025-02-10T00:00:00"/>
    <x v="0"/>
  </r>
  <r>
    <s v="SP211"/>
    <s v="Twitter"/>
    <d v="2024-04-14T00:00:00"/>
    <s v="Story"/>
    <s v="Discover fresh beats on Spotify!"/>
    <n v="1295"/>
    <n v="153"/>
    <n v="81"/>
    <n v="48350"/>
    <n v="61033"/>
    <n v="232"/>
    <s v="#DiscoverWeekly,#MusicForEveryone"/>
    <x v="0"/>
    <n v="3.1623578076525334E-2"/>
    <d v="2025-01-10T00:00:00"/>
    <d v="2025-02-10T00:00:00"/>
    <x v="0"/>
  </r>
  <r>
    <s v="SP212"/>
    <s v="Twitter"/>
    <d v="2025-06-19T00:00:00"/>
    <s v="Story"/>
    <s v="What's your vibe today? #SpotifyHits"/>
    <n v="1433"/>
    <n v="452"/>
    <n v="305"/>
    <n v="54541"/>
    <n v="63700"/>
    <n v="296"/>
    <s v="#DiscoverWeekly,#MusicForEveryone"/>
    <x v="0"/>
    <n v="4.0153279184466734E-2"/>
    <d v="2025-01-10T00:00:00"/>
    <d v="2025-02-10T00:00:00"/>
    <x v="0"/>
  </r>
  <r>
    <s v="SP213"/>
    <s v="Instagram"/>
    <d v="2025-06-24T00:00:00"/>
    <s v="Story"/>
    <s v="Get into the groove with our new drop!"/>
    <n v="4902"/>
    <n v="422"/>
    <n v="376"/>
    <n v="31674"/>
    <n v="53225"/>
    <n v="147"/>
    <s v="#NowPlaying"/>
    <x v="2"/>
    <n v="0.17995832544042431"/>
    <d v="2024-12-01T00:00:00"/>
    <d v="2024-12-31T00:00:00"/>
    <x v="0"/>
  </r>
  <r>
    <s v="SP214"/>
    <s v="Twitter"/>
    <d v="2024-10-09T00:00:00"/>
    <s v="Text"/>
    <s v="Wrapped is here! Relive your top tracks 🎧"/>
    <n v="2659"/>
    <n v="167"/>
    <n v="73"/>
    <n v="23090"/>
    <n v="25872"/>
    <n v="293"/>
    <s v="#SoundtrackOfLife"/>
    <x v="1"/>
    <n v="0.12555218709398008"/>
    <d v="2025-03-01T00:00:00"/>
    <d v="2025-03-31T00:00:00"/>
    <x v="0"/>
  </r>
  <r>
    <s v="SP215"/>
    <s v="YouTube"/>
    <d v="2025-01-15T00:00:00"/>
    <s v="Text"/>
    <s v="Your weekend playlist is waiting."/>
    <n v="2599"/>
    <n v="324"/>
    <n v="182"/>
    <n v="37525"/>
    <n v="37216"/>
    <n v="186"/>
    <s v="#DiscoverWeekly,#SpotifyWrapped"/>
    <x v="1"/>
    <n v="8.2744836775483013E-2"/>
    <d v="2025-03-01T00:00:00"/>
    <d v="2025-03-31T00:00:00"/>
    <x v="0"/>
  </r>
  <r>
    <s v="SP216"/>
    <s v="Twitter"/>
    <d v="2025-01-12T00:00:00"/>
    <s v="Text"/>
    <s v="Music that moves you-only on Spotify."/>
    <n v="1765"/>
    <n v="285"/>
    <n v="100"/>
    <n v="41313"/>
    <n v="56575"/>
    <n v="174"/>
    <s v="#SoundtrackOfLife"/>
    <x v="1"/>
    <n v="5.2041730205988429E-2"/>
    <d v="2025-03-01T00:00:00"/>
    <d v="2025-03-31T00:00:00"/>
    <x v="0"/>
  </r>
  <r>
    <s v="SP217"/>
    <s v="Instagram"/>
    <d v="2025-05-31T00:00:00"/>
    <s v="Text"/>
    <s v="What's your vibe today? #SpotifyHits"/>
    <n v="2169"/>
    <n v="240"/>
    <n v="57"/>
    <n v="26109"/>
    <n v="46667"/>
    <n v="133"/>
    <s v="#SoundtrackOfLife,#NowPlaying"/>
    <x v="0"/>
    <n v="9.4450189589796618E-2"/>
    <d v="2025-01-10T00:00:00"/>
    <d v="2025-02-10T00:00:00"/>
    <x v="0"/>
  </r>
  <r>
    <s v="SP218"/>
    <s v="Twitter"/>
    <d v="2024-10-14T00:00:00"/>
    <s v="Story"/>
    <s v="Explore the latest podcasts now."/>
    <n v="4303"/>
    <n v="306"/>
    <n v="302"/>
    <n v="39575"/>
    <n v="33762"/>
    <n v="265"/>
    <s v="#DiscoverWeekly,#MusicForEveryone"/>
    <x v="0"/>
    <n v="0.12409349336702463"/>
    <d v="2025-01-10T00:00:00"/>
    <d v="2025-02-10T00:00:00"/>
    <x v="0"/>
  </r>
  <r>
    <s v="SP219"/>
    <s v="Twitter"/>
    <d v="2024-02-10T00:00:00"/>
    <s v="Text"/>
    <s v="From pop to podcasts, it's all here."/>
    <n v="1519"/>
    <n v="456"/>
    <n v="379"/>
    <n v="51611"/>
    <n v="45880"/>
    <n v="176"/>
    <s v="#SoundtrackOfLife"/>
    <x v="1"/>
    <n v="4.5610431884675749E-2"/>
    <d v="2025-03-01T00:00:00"/>
    <d v="2025-03-31T00:00:00"/>
    <x v="0"/>
  </r>
  <r>
    <s v="SP220"/>
    <s v="YouTube"/>
    <d v="2024-12-10T00:00:00"/>
    <s v="Text"/>
    <s v="What's your vibe today? #SpotifyHits"/>
    <n v="2569"/>
    <n v="140"/>
    <n v="375"/>
    <n v="38372"/>
    <n v="22102"/>
    <n v="255"/>
    <s v="#DiscoverWeekly,#SpotifyWrapped"/>
    <x v="1"/>
    <n v="8.0371103929948923E-2"/>
    <d v="2025-03-01T00:00:00"/>
    <d v="2025-03-31T00:00:00"/>
    <x v="0"/>
  </r>
  <r>
    <s v="SP221"/>
    <s v="Twitter"/>
    <d v="2025-05-09T00:00:00"/>
    <s v="Story"/>
    <s v="Music that moves you-only on Spotify."/>
    <n v="2778"/>
    <n v="241"/>
    <n v="317"/>
    <n v="26247"/>
    <n v="20677"/>
    <n v="282"/>
    <s v="#MusicForEveryone,#NowPlaying"/>
    <x v="0"/>
    <n v="0.1271002400274317"/>
    <d v="2025-01-10T00:00:00"/>
    <d v="2025-02-10T00:00:00"/>
    <x v="0"/>
  </r>
  <r>
    <s v="SP222"/>
    <s v="Twitter"/>
    <d v="2025-06-21T00:00:00"/>
    <s v="Text"/>
    <s v="Explore the latest podcasts now."/>
    <n v="3611"/>
    <n v="127"/>
    <n v="139"/>
    <n v="44768"/>
    <n v="29435"/>
    <n v="178"/>
    <s v="#NowPlaying"/>
    <x v="0"/>
    <n v="8.6602037169406718E-2"/>
    <d v="2025-01-10T00:00:00"/>
    <d v="2025-02-10T00:00:00"/>
    <x v="0"/>
  </r>
  <r>
    <s v="SP223"/>
    <s v="Twitter"/>
    <d v="2024-06-19T00:00:00"/>
    <s v="Text"/>
    <s v="What's your vibe today? #SpotifyHits"/>
    <n v="1224"/>
    <n v="168"/>
    <n v="199"/>
    <n v="54232"/>
    <n v="52844"/>
    <n v="271"/>
    <s v="#SoundtrackOfLife"/>
    <x v="1"/>
    <n v="2.9336922849977874E-2"/>
    <d v="2025-03-01T00:00:00"/>
    <d v="2025-03-31T00:00:00"/>
    <x v="0"/>
  </r>
  <r>
    <s v="SP224"/>
    <s v="Twitter"/>
    <d v="2024-12-10T00:00:00"/>
    <s v="Text"/>
    <s v="From pop to podcasts, it's all here."/>
    <n v="4673"/>
    <n v="270"/>
    <n v="93"/>
    <n v="45260"/>
    <n v="57513"/>
    <n v="103"/>
    <s v="#NowPlaying"/>
    <x v="0"/>
    <n v="0.11126822801590809"/>
    <d v="2025-01-10T00:00:00"/>
    <d v="2025-02-10T00:00:00"/>
    <x v="0"/>
  </r>
  <r>
    <s v="SP225"/>
    <s v="YouTube"/>
    <d v="2024-02-01T00:00:00"/>
    <s v="Text"/>
    <s v="Wrapped is here! Relive your top tracks 🎧"/>
    <n v="1432"/>
    <n v="437"/>
    <n v="267"/>
    <n v="40634"/>
    <n v="54511"/>
    <n v="197"/>
    <s v="#DiscoverWeekly,#SpotifyWrapped"/>
    <x v="1"/>
    <n v="5.2566815966924252E-2"/>
    <d v="2025-03-01T00:00:00"/>
    <d v="2025-03-31T00:00:00"/>
    <x v="0"/>
  </r>
  <r>
    <s v="SP226"/>
    <s v="Twitter"/>
    <d v="2024-01-17T00:00:00"/>
    <s v="Story"/>
    <s v="New music just dropped. Hit play!"/>
    <n v="2174"/>
    <n v="499"/>
    <n v="212"/>
    <n v="54938"/>
    <n v="27190"/>
    <n v="265"/>
    <s v="#MusicForEveryone,#NowPlaying"/>
    <x v="0"/>
    <n v="5.2513742764570971E-2"/>
    <d v="2025-01-10T00:00:00"/>
    <d v="2025-02-10T00:00:00"/>
    <x v="0"/>
  </r>
  <r>
    <s v="SP227"/>
    <s v="YouTube"/>
    <d v="2025-03-22T00:00:00"/>
    <s v="Text"/>
    <s v="Music that moves you-only on Spotify."/>
    <n v="4308"/>
    <n v="171"/>
    <n v="106"/>
    <n v="36955"/>
    <n v="23949"/>
    <n v="294"/>
    <s v="#DiscoverWeekly,#SpotifyWrapped"/>
    <x v="1"/>
    <n v="0.12406981463942633"/>
    <d v="2025-03-01T00:00:00"/>
    <d v="2025-03-31T00:00:00"/>
    <x v="1"/>
  </r>
  <r>
    <s v="SP228"/>
    <s v="YouTube"/>
    <d v="2024-05-30T00:00:00"/>
    <s v="Reel"/>
    <s v="What's your vibe today? #SpotifyHits"/>
    <n v="1060"/>
    <n v="442"/>
    <n v="319"/>
    <n v="57194"/>
    <n v="24258"/>
    <n v="101"/>
    <s v="#DiscoverWeekly,#SoundtrackOfLife"/>
    <x v="3"/>
    <n v="3.1839004091338254E-2"/>
    <d v="2024-06-15T00:00:00"/>
    <d v="2024-07-15T00:00:00"/>
    <x v="0"/>
  </r>
  <r>
    <s v="SP229"/>
    <s v="YouTube"/>
    <d v="2024-02-24T00:00:00"/>
    <s v="Text"/>
    <s v="Music that moves you-only on Spotify."/>
    <n v="4653"/>
    <n v="226"/>
    <n v="349"/>
    <n v="56876"/>
    <n v="28452"/>
    <n v="257"/>
    <s v="#DiscoverWeekly,#SpotifyWrapped"/>
    <x v="1"/>
    <n v="9.191926295801392E-2"/>
    <d v="2025-03-01T00:00:00"/>
    <d v="2025-03-31T00:00:00"/>
    <x v="0"/>
  </r>
  <r>
    <s v="SP230"/>
    <s v="YouTube"/>
    <d v="2025-05-14T00:00:00"/>
    <s v="Text"/>
    <s v="Discover fresh beats on Spotify!"/>
    <n v="1701"/>
    <n v="272"/>
    <n v="385"/>
    <n v="47496"/>
    <n v="40832"/>
    <n v="246"/>
    <s v="#DiscoverWeekly,#SpotifyWrapped"/>
    <x v="1"/>
    <n v="4.9646286003031836E-2"/>
    <d v="2025-03-01T00:00:00"/>
    <d v="2025-03-31T00:00:00"/>
    <x v="0"/>
  </r>
  <r>
    <s v="SP231"/>
    <s v="Instagram"/>
    <d v="2024-03-28T00:00:00"/>
    <s v="Text"/>
    <s v="What's your vibe today? #SpotifyHits"/>
    <n v="1673"/>
    <n v="280"/>
    <n v="67"/>
    <n v="29847"/>
    <n v="48016"/>
    <n v="213"/>
    <s v="#SoundtrackOfLife,#NowPlaying"/>
    <x v="0"/>
    <n v="6.76784936509532E-2"/>
    <d v="2025-01-10T00:00:00"/>
    <d v="2025-02-10T00:00:00"/>
    <x v="0"/>
  </r>
  <r>
    <s v="SP232"/>
    <s v="YouTube"/>
    <d v="2025-03-07T00:00:00"/>
    <s v="Text"/>
    <s v="Top trending tracks updated daily!"/>
    <n v="4310"/>
    <n v="284"/>
    <n v="306"/>
    <n v="44606"/>
    <n v="42604"/>
    <n v="290"/>
    <s v="#DiscoverWeekly,#SpotifyWrapped"/>
    <x v="1"/>
    <n v="0.10985069273191947"/>
    <d v="2025-03-01T00:00:00"/>
    <d v="2025-03-31T00:00:00"/>
    <x v="1"/>
  </r>
  <r>
    <s v="SP233"/>
    <s v="Twitter"/>
    <d v="2024-10-20T00:00:00"/>
    <s v="Text"/>
    <s v="From pop to podcasts, it's all here."/>
    <n v="2752"/>
    <n v="309"/>
    <n v="91"/>
    <n v="39038"/>
    <n v="28095"/>
    <n v="277"/>
    <s v="#NowPlaying"/>
    <x v="0"/>
    <n v="8.0741841282852611E-2"/>
    <d v="2025-01-10T00:00:00"/>
    <d v="2025-02-10T00:00:00"/>
    <x v="0"/>
  </r>
  <r>
    <s v="SP234"/>
    <s v="Twitter"/>
    <d v="2024-02-02T00:00:00"/>
    <s v="Text"/>
    <s v="From pop to podcasts, it's all here."/>
    <n v="3818"/>
    <n v="115"/>
    <n v="286"/>
    <n v="25127"/>
    <n v="22277"/>
    <n v="263"/>
    <s v="#NowPlaying"/>
    <x v="0"/>
    <n v="0.16790703227603773"/>
    <d v="2025-01-10T00:00:00"/>
    <d v="2025-02-10T00:00:00"/>
    <x v="0"/>
  </r>
  <r>
    <s v="SP235"/>
    <s v="YouTube"/>
    <d v="2024-09-07T00:00:00"/>
    <s v="Text"/>
    <s v="Your weekend playlist is waiting."/>
    <n v="2101"/>
    <n v="411"/>
    <n v="190"/>
    <n v="41791"/>
    <n v="57090"/>
    <n v="172"/>
    <s v="#DiscoverWeekly,#SpotifyWrapped"/>
    <x v="1"/>
    <n v="6.4655069273288512E-2"/>
    <d v="2025-03-01T00:00:00"/>
    <d v="2025-03-31T00:00:00"/>
    <x v="0"/>
  </r>
  <r>
    <s v="SP236"/>
    <s v="Instagram"/>
    <d v="2024-12-20T00:00:00"/>
    <s v="Text"/>
    <s v="Discover fresh beats on Spotify!"/>
    <n v="2519"/>
    <n v="202"/>
    <n v="239"/>
    <n v="36245"/>
    <n v="48606"/>
    <n v="145"/>
    <s v="#DiscoverWeekly"/>
    <x v="1"/>
    <n v="8.1666436749896543E-2"/>
    <d v="2025-03-01T00:00:00"/>
    <d v="2025-03-31T00:00:00"/>
    <x v="0"/>
  </r>
  <r>
    <s v="SP237"/>
    <s v="YouTube"/>
    <d v="2024-01-14T00:00:00"/>
    <s v="Text"/>
    <s v="What's your vibe today? #SpotifyHits"/>
    <n v="4502"/>
    <n v="238"/>
    <n v="386"/>
    <n v="39198"/>
    <n v="25050"/>
    <n v="297"/>
    <s v="#DiscoverWeekly,#SpotifyWrapped"/>
    <x v="1"/>
    <n v="0.13077197816215114"/>
    <d v="2025-03-01T00:00:00"/>
    <d v="2025-03-31T00:00:00"/>
    <x v="0"/>
  </r>
  <r>
    <s v="SP238"/>
    <s v="Instagram"/>
    <d v="2025-06-15T00:00:00"/>
    <s v="Text"/>
    <s v="Explore the latest podcasts now."/>
    <n v="2478"/>
    <n v="427"/>
    <n v="242"/>
    <n v="59272"/>
    <n v="37833"/>
    <n v="214"/>
    <s v="#SoundtrackOfLife,#NowPlaying"/>
    <x v="0"/>
    <n v="5.3094209744904843E-2"/>
    <d v="2025-01-10T00:00:00"/>
    <d v="2025-02-10T00:00:00"/>
    <x v="0"/>
  </r>
  <r>
    <s v="SP239"/>
    <s v="Twitter"/>
    <d v="2024-12-13T00:00:00"/>
    <s v="Story"/>
    <s v="New music just dropped. Hit play!"/>
    <n v="4984"/>
    <n v="300"/>
    <n v="338"/>
    <n v="32900"/>
    <n v="31691"/>
    <n v="160"/>
    <s v="#MusicForEveryone,#NowPlaying"/>
    <x v="0"/>
    <n v="0.17088145896656534"/>
    <d v="2025-01-10T00:00:00"/>
    <d v="2025-02-10T00:00:00"/>
    <x v="0"/>
  </r>
  <r>
    <s v="SP240"/>
    <s v="YouTube"/>
    <d v="2024-08-29T00:00:00"/>
    <s v="Text"/>
    <s v="Wrapped is here! Relive your top tracks 🎧"/>
    <n v="4774"/>
    <n v="389"/>
    <n v="358"/>
    <n v="52346"/>
    <n v="30518"/>
    <n v="277"/>
    <s v="#DiscoverWeekly,#SpotifyWrapped"/>
    <x v="1"/>
    <n v="0.10547128720437092"/>
    <d v="2025-03-01T00:00:00"/>
    <d v="2025-03-31T00:00:00"/>
    <x v="0"/>
  </r>
  <r>
    <s v="SP241"/>
    <s v="Twitter"/>
    <d v="2024-09-15T00:00:00"/>
    <s v="Text"/>
    <s v="Get into the groove with our new drop!"/>
    <n v="2145"/>
    <n v="340"/>
    <n v="85"/>
    <n v="53323"/>
    <n v="49938"/>
    <n v="104"/>
    <s v="#NowPlaying"/>
    <x v="0"/>
    <n v="4.819683813738912E-2"/>
    <d v="2025-01-10T00:00:00"/>
    <d v="2025-02-10T00:00:00"/>
    <x v="0"/>
  </r>
  <r>
    <s v="SP242"/>
    <s v="Twitter"/>
    <d v="2025-04-12T00:00:00"/>
    <s v="Story"/>
    <s v="From pop to podcasts, it's all here."/>
    <n v="4315"/>
    <n v="208"/>
    <n v="273"/>
    <n v="35780"/>
    <n v="44349"/>
    <n v="133"/>
    <s v="#DiscoverWeekly,#MusicForEveryone"/>
    <x v="0"/>
    <n v="0.13404136389044158"/>
    <d v="2025-01-10T00:00:00"/>
    <d v="2025-02-10T00:00:00"/>
    <x v="0"/>
  </r>
  <r>
    <s v="SP243"/>
    <s v="Twitter"/>
    <d v="2024-12-10T00:00:00"/>
    <s v="Story"/>
    <s v="Wrapped is here! Relive your top tracks 🎧"/>
    <n v="2267"/>
    <n v="230"/>
    <n v="243"/>
    <n v="27904"/>
    <n v="69771"/>
    <n v="255"/>
    <s v="#DiscoverWeekly,#MusicForEveryone"/>
    <x v="0"/>
    <n v="9.8193807339449546E-2"/>
    <d v="2025-01-10T00:00:00"/>
    <d v="2025-02-10T00:00:00"/>
    <x v="0"/>
  </r>
  <r>
    <s v="SP244"/>
    <s v="YouTube"/>
    <d v="2025-06-08T00:00:00"/>
    <s v="Text"/>
    <s v="Music that moves you-only on Spotify."/>
    <n v="4375"/>
    <n v="303"/>
    <n v="294"/>
    <n v="57468"/>
    <n v="53397"/>
    <n v="159"/>
    <s v="#DiscoverWeekly,#SpotifyWrapped"/>
    <x v="1"/>
    <n v="8.6517714206166912E-2"/>
    <d v="2025-03-01T00:00:00"/>
    <d v="2025-03-31T00:00:00"/>
    <x v="0"/>
  </r>
  <r>
    <s v="SP245"/>
    <s v="Twitter"/>
    <d v="2025-01-09T00:00:00"/>
    <s v="Story"/>
    <s v="Your weekend playlist is waiting."/>
    <n v="3817"/>
    <n v="284"/>
    <n v="204"/>
    <n v="46434"/>
    <n v="53396"/>
    <n v="104"/>
    <s v="#MusicForEveryone,#NowPlaying"/>
    <x v="0"/>
    <n v="9.2712236723090841E-2"/>
    <d v="2025-01-10T00:00:00"/>
    <d v="2025-02-10T00:00:00"/>
    <x v="0"/>
  </r>
  <r>
    <s v="SP246"/>
    <s v="Twitter"/>
    <d v="2024-07-08T00:00:00"/>
    <s v="Story"/>
    <s v="Top trending tracks updated daily!"/>
    <n v="2981"/>
    <n v="258"/>
    <n v="168"/>
    <n v="20677"/>
    <n v="68290"/>
    <n v="130"/>
    <s v="#SoundtrackOfLife,#NowPlaying"/>
    <x v="0"/>
    <n v="0.16477245248343569"/>
    <d v="2025-01-10T00:00:00"/>
    <d v="2025-02-10T00:00:00"/>
    <x v="0"/>
  </r>
  <r>
    <s v="SP247"/>
    <s v="Twitter"/>
    <d v="2024-09-16T00:00:00"/>
    <s v="Story"/>
    <s v="Your weekend playlist is waiting."/>
    <n v="3300"/>
    <n v="354"/>
    <n v="397"/>
    <n v="56773"/>
    <n v="72110"/>
    <n v="163"/>
    <s v="#DiscoverWeekly,#MusicForEveryone"/>
    <x v="0"/>
    <n v="7.1354340971940891E-2"/>
    <d v="2025-01-10T00:00:00"/>
    <d v="2025-02-10T00:00:00"/>
    <x v="0"/>
  </r>
  <r>
    <s v="SP248"/>
    <s v="YouTube"/>
    <d v="2024-06-14T00:00:00"/>
    <s v="Reel"/>
    <s v="Wrapped is here! Relive your top tracks 🎧"/>
    <n v="4722"/>
    <n v="310"/>
    <n v="344"/>
    <n v="27911"/>
    <n v="19000"/>
    <n v="225"/>
    <s v="#DiscoverWeekly,#SoundtrackOfLife"/>
    <x v="3"/>
    <n v="0.19261223173659131"/>
    <d v="2024-06-15T00:00:00"/>
    <d v="2024-07-15T00:00:00"/>
    <x v="0"/>
  </r>
  <r>
    <s v="SP249"/>
    <s v="Instagram"/>
    <d v="2024-03-06T00:00:00"/>
    <s v="Text"/>
    <s v="What's your vibe today? #SpotifyHits"/>
    <n v="3529"/>
    <n v="263"/>
    <n v="107"/>
    <n v="26570"/>
    <n v="19367"/>
    <n v="96"/>
    <s v="#DiscoverWeekly"/>
    <x v="1"/>
    <n v="0.14674444862627023"/>
    <d v="2025-03-01T00:00:00"/>
    <d v="2025-03-31T00:00:00"/>
    <x v="0"/>
  </r>
  <r>
    <s v="SP250"/>
    <s v="Twitter"/>
    <d v="2025-05-15T00:00:00"/>
    <s v="Text"/>
    <s v="Your weekend playlist is waiting."/>
    <n v="4782"/>
    <n v="210"/>
    <n v="311"/>
    <n v="29793"/>
    <n v="37543"/>
    <n v="145"/>
    <s v="#NowPlaying"/>
    <x v="0"/>
    <n v="0.17799483100057059"/>
    <d v="2025-01-10T00:00:00"/>
    <d v="2025-02-10T00:00:00"/>
    <x v="0"/>
  </r>
  <r>
    <s v="SP251"/>
    <s v="Twitter"/>
    <d v="2024-07-07T00:00:00"/>
    <s v="Text"/>
    <s v="What's your vibe today? #SpotifyHits"/>
    <n v="1848"/>
    <n v="417"/>
    <n v="294"/>
    <n v="57819"/>
    <n v="19798"/>
    <n v="262"/>
    <s v="#SoundtrackOfLife"/>
    <x v="1"/>
    <n v="4.4258807658382193E-2"/>
    <d v="2025-03-01T00:00:00"/>
    <d v="2025-03-31T00:00:00"/>
    <x v="0"/>
  </r>
  <r>
    <s v="SP252"/>
    <s v="YouTube"/>
    <d v="2024-10-26T00:00:00"/>
    <s v="Text"/>
    <s v="New music just dropped. Hit play!"/>
    <n v="4676"/>
    <n v="211"/>
    <n v="55"/>
    <n v="45917"/>
    <n v="73503"/>
    <n v="248"/>
    <s v="#DiscoverWeekly,#SpotifyWrapped"/>
    <x v="1"/>
    <n v="0.10762898272970794"/>
    <d v="2025-03-01T00:00:00"/>
    <d v="2025-03-31T00:00:00"/>
    <x v="0"/>
  </r>
  <r>
    <s v="SP253"/>
    <s v="YouTube"/>
    <d v="2024-08-08T00:00:00"/>
    <s v="Text"/>
    <s v="From pop to podcasts, it's all here."/>
    <n v="1994"/>
    <n v="197"/>
    <n v="290"/>
    <n v="49500"/>
    <n v="23343"/>
    <n v="160"/>
    <s v="#DiscoverWeekly,#SpotifyWrapped"/>
    <x v="1"/>
    <n v="5.0121212121212122E-2"/>
    <d v="2025-03-01T00:00:00"/>
    <d v="2025-03-31T00:00:00"/>
    <x v="0"/>
  </r>
  <r>
    <s v="SP254"/>
    <s v="Twitter"/>
    <d v="2025-02-03T00:00:00"/>
    <s v="Text"/>
    <s v="What's your vibe today? #SpotifyHits"/>
    <n v="4995"/>
    <n v="231"/>
    <n v="94"/>
    <n v="34431"/>
    <n v="32560"/>
    <n v="262"/>
    <s v="#NowPlaying"/>
    <x v="0"/>
    <n v="0.15451192239551567"/>
    <d v="2025-01-10T00:00:00"/>
    <d v="2025-02-10T00:00:00"/>
    <x v="1"/>
  </r>
  <r>
    <s v="SP255"/>
    <s v="Twitter"/>
    <d v="2024-04-03T00:00:00"/>
    <s v="Story"/>
    <s v="Top trending tracks updated daily!"/>
    <n v="2291"/>
    <n v="146"/>
    <n v="399"/>
    <n v="49319"/>
    <n v="28056"/>
    <n v="90"/>
    <s v="#DiscoverWeekly,#MusicForEveryone"/>
    <x v="0"/>
    <n v="5.7503193495407452E-2"/>
    <d v="2025-01-10T00:00:00"/>
    <d v="2025-02-10T00:00:00"/>
    <x v="0"/>
  </r>
  <r>
    <s v="SP256"/>
    <s v="Twitter"/>
    <d v="2024-07-08T00:00:00"/>
    <s v="Story"/>
    <s v="Wrapped is here! Relive your top tracks 🎧"/>
    <n v="2304"/>
    <n v="289"/>
    <n v="161"/>
    <n v="52645"/>
    <n v="66262"/>
    <n v="146"/>
    <s v="#MusicForEveryone,#NowPlaying"/>
    <x v="0"/>
    <n v="5.2312660271630736E-2"/>
    <d v="2025-01-10T00:00:00"/>
    <d v="2025-02-10T00:00:00"/>
    <x v="0"/>
  </r>
  <r>
    <s v="SP257"/>
    <s v="Twitter"/>
    <d v="2024-06-08T00:00:00"/>
    <s v="Story"/>
    <s v="Top trending tracks updated daily!"/>
    <n v="3413"/>
    <n v="326"/>
    <n v="86"/>
    <n v="44680"/>
    <n v="52719"/>
    <n v="272"/>
    <s v="#DiscoverWeekly,#MusicForEveryone"/>
    <x v="0"/>
    <n v="8.5608773500447627E-2"/>
    <d v="2025-01-10T00:00:00"/>
    <d v="2025-02-10T00:00:00"/>
    <x v="0"/>
  </r>
  <r>
    <s v="SP258"/>
    <s v="YouTube"/>
    <d v="2025-03-20T00:00:00"/>
    <s v="Reel"/>
    <s v="From pop to podcasts, it's all here."/>
    <n v="1453"/>
    <n v="156"/>
    <n v="178"/>
    <n v="52980"/>
    <n v="57180"/>
    <n v="286"/>
    <s v="#DiscoverWeekly,#SoundtrackOfLife"/>
    <x v="3"/>
    <n v="3.3729709324273313E-2"/>
    <d v="2024-06-15T00:00:00"/>
    <d v="2024-07-15T00:00:00"/>
    <x v="0"/>
  </r>
  <r>
    <s v="SP259"/>
    <s v="Twitter"/>
    <d v="2025-01-19T00:00:00"/>
    <s v="Story"/>
    <s v="Music that moves you-only on Spotify."/>
    <n v="1651"/>
    <n v="480"/>
    <n v="282"/>
    <n v="32140"/>
    <n v="70560"/>
    <n v="138"/>
    <s v="#SoundtrackOfLife,#NowPlaying"/>
    <x v="0"/>
    <n v="7.5077784691972627E-2"/>
    <d v="2025-01-10T00:00:00"/>
    <d v="2025-02-10T00:00:00"/>
    <x v="1"/>
  </r>
  <r>
    <s v="SP260"/>
    <s v="Twitter"/>
    <d v="2025-01-05T00:00:00"/>
    <s v="Story"/>
    <s v="Explore the latest podcasts now."/>
    <n v="3341"/>
    <n v="154"/>
    <n v="123"/>
    <n v="43369"/>
    <n v="49035"/>
    <n v="128"/>
    <s v="#MusicForEveryone,#NowPlaying"/>
    <x v="0"/>
    <n v="8.3423643616408028E-2"/>
    <d v="2025-01-10T00:00:00"/>
    <d v="2025-02-10T00:00:00"/>
    <x v="0"/>
  </r>
  <r>
    <s v="SP261"/>
    <s v="Twitter"/>
    <d v="2024-11-16T00:00:00"/>
    <s v="Text"/>
    <s v="From pop to podcasts, it's all here."/>
    <n v="2972"/>
    <n v="263"/>
    <n v="308"/>
    <n v="51740"/>
    <n v="28214"/>
    <n v="190"/>
    <s v="#SoundtrackOfLife"/>
    <x v="1"/>
    <n v="6.8477000386548123E-2"/>
    <d v="2025-03-01T00:00:00"/>
    <d v="2025-03-31T00:00:00"/>
    <x v="0"/>
  </r>
  <r>
    <s v="SP262"/>
    <s v="Twitter"/>
    <d v="2024-11-30T00:00:00"/>
    <s v="Story"/>
    <s v="Explore the latest podcasts now."/>
    <n v="4963"/>
    <n v="255"/>
    <n v="193"/>
    <n v="44386"/>
    <n v="28415"/>
    <n v="174"/>
    <s v="#MusicForEveryone,#NowPlaying"/>
    <x v="0"/>
    <n v="0.12190780876853062"/>
    <d v="2025-01-10T00:00:00"/>
    <d v="2025-02-10T00:00:00"/>
    <x v="0"/>
  </r>
  <r>
    <s v="SP263"/>
    <s v="YouTube"/>
    <d v="2024-03-27T00:00:00"/>
    <s v="Text"/>
    <s v="Music that moves you-only on Spotify."/>
    <n v="2399"/>
    <n v="191"/>
    <n v="221"/>
    <n v="51603"/>
    <n v="40033"/>
    <n v="173"/>
    <s v="#DiscoverWeekly,#SpotifyWrapped"/>
    <x v="1"/>
    <n v="5.4473577117609438E-2"/>
    <d v="2025-03-01T00:00:00"/>
    <d v="2025-03-31T00:00:00"/>
    <x v="0"/>
  </r>
  <r>
    <s v="SP264"/>
    <s v="YouTube"/>
    <d v="2025-05-31T00:00:00"/>
    <s v="Reel"/>
    <s v="Get into the groove with our new drop!"/>
    <n v="2162"/>
    <n v="318"/>
    <n v="83"/>
    <n v="46719"/>
    <n v="20482"/>
    <n v="185"/>
    <s v="#DiscoverWeekly,#SoundtrackOfLife"/>
    <x v="3"/>
    <n v="5.4859907104176028E-2"/>
    <d v="2024-06-15T00:00:00"/>
    <d v="2024-07-15T00:00:00"/>
    <x v="0"/>
  </r>
  <r>
    <s v="SP265"/>
    <s v="Twitter"/>
    <d v="2025-06-17T00:00:00"/>
    <s v="Story"/>
    <s v="Explore the latest podcasts now."/>
    <n v="4341"/>
    <n v="141"/>
    <n v="63"/>
    <n v="50081"/>
    <n v="27507"/>
    <n v="221"/>
    <s v="#DiscoverWeekly,#MusicForEveryone"/>
    <x v="0"/>
    <n v="9.0752980172121162E-2"/>
    <d v="2025-01-10T00:00:00"/>
    <d v="2025-02-10T00:00:00"/>
    <x v="0"/>
  </r>
  <r>
    <s v="SP266"/>
    <s v="Instagram"/>
    <d v="2024-05-30T00:00:00"/>
    <s v="Story"/>
    <s v="Get into the groove with our new drop!"/>
    <n v="2448"/>
    <n v="464"/>
    <n v="98"/>
    <n v="25737"/>
    <n v="48545"/>
    <n v="246"/>
    <s v="#NowPlaying"/>
    <x v="2"/>
    <n v="0.11695224773672146"/>
    <d v="2024-12-01T00:00:00"/>
    <d v="2024-12-31T00:00:00"/>
    <x v="0"/>
  </r>
  <r>
    <s v="SP267"/>
    <s v="YouTube"/>
    <d v="2024-11-08T00:00:00"/>
    <s v="Text"/>
    <s v="Top trending tracks updated daily!"/>
    <n v="2471"/>
    <n v="166"/>
    <n v="320"/>
    <n v="48254"/>
    <n v="46900"/>
    <n v="111"/>
    <s v="#DiscoverWeekly,#SpotifyWrapped"/>
    <x v="1"/>
    <n v="6.1279893894806647E-2"/>
    <d v="2025-03-01T00:00:00"/>
    <d v="2025-03-31T00:00:00"/>
    <x v="0"/>
  </r>
  <r>
    <s v="SP268"/>
    <s v="YouTube"/>
    <d v="2024-03-17T00:00:00"/>
    <s v="Reel"/>
    <s v="Explore the latest podcasts now."/>
    <n v="2692"/>
    <n v="446"/>
    <n v="216"/>
    <n v="45818"/>
    <n v="62723"/>
    <n v="85"/>
    <s v="#DiscoverWeekly,#SoundtrackOfLife"/>
    <x v="3"/>
    <n v="7.3202671439172376E-2"/>
    <d v="2024-06-15T00:00:00"/>
    <d v="2024-07-15T00:00:00"/>
    <x v="0"/>
  </r>
  <r>
    <s v="SP269"/>
    <s v="YouTube"/>
    <d v="2024-06-21T00:00:00"/>
    <s v="Reel"/>
    <s v="Music that moves you-only on Spotify."/>
    <n v="4621"/>
    <n v="374"/>
    <n v="298"/>
    <n v="56979"/>
    <n v="24098"/>
    <n v="205"/>
    <s v="#DiscoverWeekly,#SoundtrackOfLife"/>
    <x v="3"/>
    <n v="9.2893873181347508E-2"/>
    <d v="2024-06-15T00:00:00"/>
    <d v="2024-07-15T00:00:00"/>
    <x v="1"/>
  </r>
  <r>
    <s v="SP270"/>
    <s v="Twitter"/>
    <d v="2024-11-13T00:00:00"/>
    <s v="Story"/>
    <s v="New music just dropped. Hit play!"/>
    <n v="1409"/>
    <n v="466"/>
    <n v="105"/>
    <n v="58923"/>
    <n v="38753"/>
    <n v="265"/>
    <s v="#DiscoverWeekly,#MusicForEveryone"/>
    <x v="0"/>
    <n v="3.3603177027646251E-2"/>
    <d v="2025-01-10T00:00:00"/>
    <d v="2025-02-10T00:00:00"/>
    <x v="0"/>
  </r>
  <r>
    <s v="SP271"/>
    <s v="Twitter"/>
    <d v="2025-02-05T00:00:00"/>
    <s v="Story"/>
    <s v="Discover fresh beats on Spotify!"/>
    <n v="3029"/>
    <n v="440"/>
    <n v="66"/>
    <n v="23815"/>
    <n v="47895"/>
    <n v="210"/>
    <s v="#DiscoverWeekly,#MusicForEveryone"/>
    <x v="0"/>
    <n v="0.14843585975225698"/>
    <d v="2025-01-10T00:00:00"/>
    <d v="2025-02-10T00:00:00"/>
    <x v="1"/>
  </r>
  <r>
    <s v="SP272"/>
    <s v="Twitter"/>
    <d v="2024-11-07T00:00:00"/>
    <s v="Text"/>
    <s v="Explore the latest podcasts now."/>
    <n v="2229"/>
    <n v="395"/>
    <n v="328"/>
    <n v="56921"/>
    <n v="37176"/>
    <n v="126"/>
    <s v="#SoundtrackOfLife"/>
    <x v="1"/>
    <n v="5.1861351697967357E-2"/>
    <d v="2025-03-01T00:00:00"/>
    <d v="2025-03-31T00:00:00"/>
    <x v="0"/>
  </r>
  <r>
    <s v="SP273"/>
    <s v="Twitter"/>
    <d v="2024-02-12T00:00:00"/>
    <s v="Text"/>
    <s v="Explore the latest podcasts now."/>
    <n v="2691"/>
    <n v="486"/>
    <n v="206"/>
    <n v="51133"/>
    <n v="44583"/>
    <n v="276"/>
    <s v="#NowPlaying"/>
    <x v="0"/>
    <n v="6.6160796354604659E-2"/>
    <d v="2025-01-10T00:00:00"/>
    <d v="2025-02-10T00:00:00"/>
    <x v="0"/>
  </r>
  <r>
    <s v="SP274"/>
    <s v="Instagram"/>
    <d v="2024-10-08T00:00:00"/>
    <s v="Text"/>
    <s v="Explore the latest podcasts now."/>
    <n v="2110"/>
    <n v="384"/>
    <n v="236"/>
    <n v="49965"/>
    <n v="61555"/>
    <n v="195"/>
    <s v="#DiscoverWeekly"/>
    <x v="1"/>
    <n v="5.4638246772740921E-2"/>
    <d v="2025-03-01T00:00:00"/>
    <d v="2025-03-31T00:00:00"/>
    <x v="0"/>
  </r>
  <r>
    <s v="SP275"/>
    <s v="Instagram"/>
    <d v="2024-02-19T00:00:00"/>
    <s v="Text"/>
    <s v="Wrapped is here! Relive your top tracks 🎧"/>
    <n v="4752"/>
    <n v="449"/>
    <n v="309"/>
    <n v="58530"/>
    <n v="26630"/>
    <n v="234"/>
    <s v="#DiscoverWeekly"/>
    <x v="1"/>
    <n v="9.4139757389372969E-2"/>
    <d v="2025-03-01T00:00:00"/>
    <d v="2025-03-31T00:00:00"/>
    <x v="0"/>
  </r>
  <r>
    <s v="SP276"/>
    <s v="Twitter"/>
    <d v="2025-03-04T00:00:00"/>
    <s v="Text"/>
    <s v="Discover fresh beats on Spotify!"/>
    <n v="2177"/>
    <n v="258"/>
    <n v="292"/>
    <n v="47276"/>
    <n v="51324"/>
    <n v="143"/>
    <s v="#NowPlaying"/>
    <x v="0"/>
    <n v="5.7682545054573146E-2"/>
    <d v="2025-01-10T00:00:00"/>
    <d v="2025-02-10T00:00:00"/>
    <x v="0"/>
  </r>
  <r>
    <s v="SP277"/>
    <s v="Instagram"/>
    <d v="2025-02-03T00:00:00"/>
    <s v="Story"/>
    <s v="New music just dropped. Hit play!"/>
    <n v="1205"/>
    <n v="486"/>
    <n v="269"/>
    <n v="23341"/>
    <n v="42411"/>
    <n v="184"/>
    <s v="#NowPlaying"/>
    <x v="2"/>
    <n v="8.3972409065592737E-2"/>
    <d v="2024-12-01T00:00:00"/>
    <d v="2024-12-31T00:00:00"/>
    <x v="0"/>
  </r>
  <r>
    <s v="SP278"/>
    <s v="Instagram"/>
    <d v="2024-12-02T00:00:00"/>
    <s v="Text"/>
    <s v="Top trending tracks updated daily!"/>
    <n v="3194"/>
    <n v="292"/>
    <n v="245"/>
    <n v="56371"/>
    <n v="65597"/>
    <n v="163"/>
    <s v="#SoundtrackOfLife,#NowPlaying"/>
    <x v="0"/>
    <n v="6.6186514342481059E-2"/>
    <d v="2025-01-10T00:00:00"/>
    <d v="2025-02-10T00:00:00"/>
    <x v="0"/>
  </r>
  <r>
    <s v="SP279"/>
    <s v="Twitter"/>
    <d v="2025-01-19T00:00:00"/>
    <s v="Story"/>
    <s v="New music just dropped. Hit play!"/>
    <n v="3507"/>
    <n v="295"/>
    <n v="371"/>
    <n v="20410"/>
    <n v="53965"/>
    <n v="212"/>
    <s v="#SoundtrackOfLife,#NowPlaying"/>
    <x v="0"/>
    <n v="0.20445859872611466"/>
    <d v="2025-01-10T00:00:00"/>
    <d v="2025-02-10T00:00:00"/>
    <x v="1"/>
  </r>
  <r>
    <s v="SP280"/>
    <s v="Twitter"/>
    <d v="2024-09-28T00:00:00"/>
    <s v="Story"/>
    <s v="Wrapped is here! Relive your top tracks 🎧"/>
    <n v="4471"/>
    <n v="317"/>
    <n v="249"/>
    <n v="44862"/>
    <n v="33365"/>
    <n v="184"/>
    <s v="#DiscoverWeekly,#MusicForEveryone"/>
    <x v="0"/>
    <n v="0.1122776514644911"/>
    <d v="2025-01-10T00:00:00"/>
    <d v="2025-02-10T00:00:00"/>
    <x v="0"/>
  </r>
  <r>
    <s v="SP281"/>
    <s v="Instagram"/>
    <d v="2024-01-07T00:00:00"/>
    <s v="Text"/>
    <s v="Top trending tracks updated daily!"/>
    <n v="4931"/>
    <n v="469"/>
    <n v="193"/>
    <n v="56701"/>
    <n v="69437"/>
    <n v="291"/>
    <s v="#SoundtrackOfLife,#NowPlaying"/>
    <x v="0"/>
    <n v="9.8640235621946709E-2"/>
    <d v="2025-01-10T00:00:00"/>
    <d v="2025-02-10T00:00:00"/>
    <x v="0"/>
  </r>
  <r>
    <s v="SP282"/>
    <s v="Twitter"/>
    <d v="2024-02-21T00:00:00"/>
    <s v="Story"/>
    <s v="Get into the groove with our new drop!"/>
    <n v="2604"/>
    <n v="439"/>
    <n v="148"/>
    <n v="58468"/>
    <n v="39629"/>
    <n v="163"/>
    <s v="#MusicForEveryone,#NowPlaying"/>
    <x v="0"/>
    <n v="5.4576862557296296E-2"/>
    <d v="2025-01-10T00:00:00"/>
    <d v="2025-02-10T00:00:00"/>
    <x v="0"/>
  </r>
  <r>
    <s v="SP283"/>
    <s v="Instagram"/>
    <d v="2024-08-27T00:00:00"/>
    <s v="Text"/>
    <s v="Music that moves you-only on Spotify."/>
    <n v="4197"/>
    <n v="359"/>
    <n v="280"/>
    <n v="56048"/>
    <n v="70930"/>
    <n v="295"/>
    <s v="#DiscoverWeekly"/>
    <x v="1"/>
    <n v="8.628318584070796E-2"/>
    <d v="2025-03-01T00:00:00"/>
    <d v="2025-03-31T00:00:00"/>
    <x v="0"/>
  </r>
  <r>
    <s v="SP284"/>
    <s v="Instagram"/>
    <d v="2024-10-24T00:00:00"/>
    <s v="Story"/>
    <s v="Top trending tracks updated daily!"/>
    <n v="1914"/>
    <n v="255"/>
    <n v="156"/>
    <n v="27660"/>
    <n v="47776"/>
    <n v="111"/>
    <s v="#NowPlaying"/>
    <x v="2"/>
    <n v="8.4056399132321047E-2"/>
    <d v="2024-12-01T00:00:00"/>
    <d v="2024-12-31T00:00:00"/>
    <x v="0"/>
  </r>
  <r>
    <s v="SP285"/>
    <s v="YouTube"/>
    <d v="2025-01-29T00:00:00"/>
    <s v="Text"/>
    <s v="New music just dropped. Hit play!"/>
    <n v="1334"/>
    <n v="357"/>
    <n v="257"/>
    <n v="56910"/>
    <n v="70606"/>
    <n v="228"/>
    <s v="#DiscoverWeekly,#SpotifyWrapped"/>
    <x v="1"/>
    <n v="3.4229485151994379E-2"/>
    <d v="2025-03-01T00:00:00"/>
    <d v="2025-03-31T00:00:00"/>
    <x v="0"/>
  </r>
  <r>
    <s v="SP286"/>
    <s v="Instagram"/>
    <d v="2024-05-01T00:00:00"/>
    <s v="Text"/>
    <s v="Get into the groove with our new drop!"/>
    <n v="3359"/>
    <n v="137"/>
    <n v="387"/>
    <n v="33861"/>
    <n v="47257"/>
    <n v="198"/>
    <s v="#DiscoverWeekly"/>
    <x v="1"/>
    <n v="0.11467469950680724"/>
    <d v="2025-03-01T00:00:00"/>
    <d v="2025-03-31T00:00:00"/>
    <x v="0"/>
  </r>
  <r>
    <s v="SP287"/>
    <s v="YouTube"/>
    <d v="2024-06-25T00:00:00"/>
    <s v="Text"/>
    <s v="Your weekend playlist is waiting."/>
    <n v="2172"/>
    <n v="338"/>
    <n v="70"/>
    <n v="30515"/>
    <n v="57853"/>
    <n v="156"/>
    <s v="#DiscoverWeekly,#SpotifyWrapped"/>
    <x v="1"/>
    <n v="8.4548582664263475E-2"/>
    <d v="2025-03-01T00:00:00"/>
    <d v="2025-03-31T00:00:00"/>
    <x v="0"/>
  </r>
  <r>
    <s v="SP288"/>
    <s v="Twitter"/>
    <d v="2024-08-09T00:00:00"/>
    <s v="Story"/>
    <s v="From pop to podcasts, it's all here."/>
    <n v="4877"/>
    <n v="442"/>
    <n v="236"/>
    <n v="52673"/>
    <n v="48241"/>
    <n v="114"/>
    <s v="#DiscoverWeekly,#MusicForEveryone"/>
    <x v="0"/>
    <n v="0.10546200140489435"/>
    <d v="2025-01-10T00:00:00"/>
    <d v="2025-02-10T00:00:00"/>
    <x v="0"/>
  </r>
  <r>
    <s v="SP289"/>
    <s v="Instagram"/>
    <d v="2025-01-21T00:00:00"/>
    <s v="Story"/>
    <s v="New music just dropped. Hit play!"/>
    <n v="4918"/>
    <n v="440"/>
    <n v="149"/>
    <n v="53269"/>
    <n v="64370"/>
    <n v="269"/>
    <s v="#NowPlaying"/>
    <x v="2"/>
    <n v="0.10338095327488783"/>
    <d v="2024-12-01T00:00:00"/>
    <d v="2024-12-31T00:00:00"/>
    <x v="0"/>
  </r>
  <r>
    <s v="SP290"/>
    <s v="Twitter"/>
    <d v="2024-08-13T00:00:00"/>
    <s v="Text"/>
    <s v="Explore the latest podcasts now."/>
    <n v="3418"/>
    <n v="107"/>
    <n v="221"/>
    <n v="23927"/>
    <n v="26182"/>
    <n v="155"/>
    <s v="#SoundtrackOfLife"/>
    <x v="1"/>
    <n v="0.1565595352530614"/>
    <d v="2025-03-01T00:00:00"/>
    <d v="2025-03-31T00:00:00"/>
    <x v="0"/>
  </r>
  <r>
    <s v="SP291"/>
    <s v="Instagram"/>
    <d v="2024-06-29T00:00:00"/>
    <s v="Text"/>
    <s v="Your weekend playlist is waiting."/>
    <n v="2088"/>
    <n v="490"/>
    <n v="124"/>
    <n v="46544"/>
    <n v="69346"/>
    <n v="178"/>
    <s v="#SoundtrackOfLife,#NowPlaying"/>
    <x v="0"/>
    <n v="5.8052595393606049E-2"/>
    <d v="2025-01-10T00:00:00"/>
    <d v="2025-02-10T00:00:00"/>
    <x v="0"/>
  </r>
  <r>
    <s v="SP292"/>
    <s v="Twitter"/>
    <d v="2024-11-03T00:00:00"/>
    <s v="Story"/>
    <s v="Explore the latest podcasts now."/>
    <n v="3061"/>
    <n v="320"/>
    <n v="76"/>
    <n v="26640"/>
    <n v="24306"/>
    <n v="112"/>
    <s v="#MusicForEveryone,#NowPlaying"/>
    <x v="0"/>
    <n v="0.12976726726726726"/>
    <d v="2025-01-10T00:00:00"/>
    <d v="2025-02-10T00:00:00"/>
    <x v="0"/>
  </r>
  <r>
    <s v="SP293"/>
    <s v="YouTube"/>
    <d v="2025-04-18T00:00:00"/>
    <s v="Reel"/>
    <s v="Your weekend playlist is waiting."/>
    <n v="1265"/>
    <n v="230"/>
    <n v="364"/>
    <n v="41312"/>
    <n v="50382"/>
    <n v="106"/>
    <s v="#DiscoverWeekly,#SoundtrackOfLife"/>
    <x v="3"/>
    <n v="4.4999031758326875E-2"/>
    <d v="2024-06-15T00:00:00"/>
    <d v="2024-07-15T00:00:00"/>
    <x v="0"/>
  </r>
  <r>
    <s v="SP294"/>
    <s v="Instagram"/>
    <d v="2024-12-27T00:00:00"/>
    <s v="Text"/>
    <s v="From pop to podcasts, it's all here."/>
    <n v="1436"/>
    <n v="219"/>
    <n v="229"/>
    <n v="58488"/>
    <n v="24314"/>
    <n v="147"/>
    <s v="#DiscoverWeekly"/>
    <x v="1"/>
    <n v="3.221173574066475E-2"/>
    <d v="2025-03-01T00:00:00"/>
    <d v="2025-03-31T00:00:00"/>
    <x v="0"/>
  </r>
  <r>
    <s v="SP295"/>
    <s v="Instagram"/>
    <d v="2025-03-08T00:00:00"/>
    <s v="Story"/>
    <s v="Top trending tracks updated daily!"/>
    <n v="2244"/>
    <n v="392"/>
    <n v="231"/>
    <n v="25834"/>
    <n v="50906"/>
    <n v="165"/>
    <s v="#NowPlaying"/>
    <x v="2"/>
    <n v="0.1109777812185492"/>
    <d v="2024-12-01T00:00:00"/>
    <d v="2024-12-31T00:00:00"/>
    <x v="0"/>
  </r>
  <r>
    <s v="SP296"/>
    <s v="Twitter"/>
    <d v="2025-03-20T00:00:00"/>
    <s v="Story"/>
    <s v="Your weekend playlist is waiting."/>
    <n v="3393"/>
    <n v="104"/>
    <n v="79"/>
    <n v="30025"/>
    <n v="21593"/>
    <n v="165"/>
    <s v="#MusicForEveryone,#NowPlaying"/>
    <x v="0"/>
    <n v="0.1191007493755204"/>
    <d v="2025-01-10T00:00:00"/>
    <d v="2025-02-10T00:00:00"/>
    <x v="0"/>
  </r>
  <r>
    <s v="SP297"/>
    <s v="Twitter"/>
    <d v="2024-11-16T00:00:00"/>
    <s v="Text"/>
    <s v="Explore the latest podcasts now."/>
    <n v="2901"/>
    <n v="108"/>
    <n v="86"/>
    <n v="51777"/>
    <n v="23773"/>
    <n v="160"/>
    <s v="#SoundtrackOfLife"/>
    <x v="1"/>
    <n v="5.9775576027966085E-2"/>
    <d v="2025-03-01T00:00:00"/>
    <d v="2025-03-31T00:00:00"/>
    <x v="0"/>
  </r>
  <r>
    <s v="SP298"/>
    <s v="Twitter"/>
    <d v="2025-06-30T00:00:00"/>
    <s v="Text"/>
    <s v="What's your vibe today? #SpotifyHits"/>
    <n v="2275"/>
    <n v="285"/>
    <n v="125"/>
    <n v="43970"/>
    <n v="74761"/>
    <n v="83"/>
    <s v="#NowPlaying"/>
    <x v="0"/>
    <n v="6.1064362065044349E-2"/>
    <d v="2025-01-10T00:00:00"/>
    <d v="2025-02-10T00:00:00"/>
    <x v="0"/>
  </r>
  <r>
    <s v="SP299"/>
    <s v="Twitter"/>
    <d v="2024-01-12T00:00:00"/>
    <s v="Story"/>
    <s v="Wrapped is here! Relive your top tracks 🎧"/>
    <n v="2227"/>
    <n v="494"/>
    <n v="161"/>
    <n v="51651"/>
    <n v="68074"/>
    <n v="240"/>
    <s v="#DiscoverWeekly,#MusicForEveryone"/>
    <x v="0"/>
    <n v="5.5797564422760453E-2"/>
    <d v="2025-01-10T00:00:00"/>
    <d v="2025-02-10T00:00:00"/>
    <x v="0"/>
  </r>
  <r>
    <s v="SP300"/>
    <s v="Instagram"/>
    <d v="2024-02-07T00:00:00"/>
    <s v="Text"/>
    <s v="Music that moves you-only on Spotify."/>
    <n v="1883"/>
    <n v="432"/>
    <n v="397"/>
    <n v="28759"/>
    <n v="18691"/>
    <n v="270"/>
    <s v="#SoundtrackOfLife,#NowPlaying"/>
    <x v="0"/>
    <n v="9.4300914496331587E-2"/>
    <d v="2025-01-10T00:00:00"/>
    <d v="2025-02-10T00:00:00"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d v="2024-06-03T00:00:00"/>
    <s v="Instagram"/>
    <n v="1402"/>
    <n v="68"/>
    <n v="124562"/>
    <n v="9.92"/>
    <n v="23125"/>
    <n v="1.0709526179733788"/>
    <x v="0"/>
    <x v="0"/>
  </r>
  <r>
    <d v="2024-06-03T00:00:00"/>
    <s v="Twitter"/>
    <n v="995"/>
    <n v="86"/>
    <n v="227958"/>
    <n v="8.0500000000000007"/>
    <n v="22788"/>
    <n v="0.39875766588582107"/>
    <x v="0"/>
    <x v="0"/>
  </r>
  <r>
    <d v="2024-06-03T00:00:00"/>
    <s v="YouTube"/>
    <n v="1472"/>
    <n v="296"/>
    <n v="370242"/>
    <n v="7.72"/>
    <n v="7810"/>
    <n v="0.31763009058939828"/>
    <x v="0"/>
    <x v="0"/>
  </r>
  <r>
    <d v="2024-06-10T00:00:00"/>
    <s v="Instagram"/>
    <n v="1018"/>
    <n v="90"/>
    <n v="92474"/>
    <n v="9.4"/>
    <n v="11966"/>
    <n v="1.0035253152237384"/>
    <x v="0"/>
    <x v="0"/>
  </r>
  <r>
    <d v="2024-06-10T00:00:00"/>
    <s v="Twitter"/>
    <n v="1461"/>
    <n v="64"/>
    <n v="328902"/>
    <n v="9.02"/>
    <n v="26298"/>
    <n v="0.42474658104845819"/>
    <x v="0"/>
    <x v="0"/>
  </r>
  <r>
    <d v="2024-06-10T00:00:00"/>
    <s v="YouTube"/>
    <n v="545"/>
    <n v="93"/>
    <n v="391621"/>
    <n v="9.9600000000000009"/>
    <n v="22029"/>
    <n v="0.11541771253329111"/>
    <x v="0"/>
    <x v="0"/>
  </r>
  <r>
    <d v="2024-06-17T00:00:00"/>
    <s v="Instagram"/>
    <n v="881"/>
    <n v="291"/>
    <n v="95885"/>
    <n v="5.29"/>
    <n v="12391"/>
    <n v="0.61532043593888508"/>
    <x v="1"/>
    <x v="1"/>
  </r>
  <r>
    <d v="2024-06-17T00:00:00"/>
    <s v="Twitter"/>
    <n v="1414"/>
    <n v="131"/>
    <n v="245947"/>
    <n v="8.3000000000000007"/>
    <n v="14477"/>
    <n v="0.52165710498603357"/>
    <x v="1"/>
    <x v="1"/>
  </r>
  <r>
    <d v="2024-06-17T00:00:00"/>
    <s v="YouTube"/>
    <n v="1472"/>
    <n v="170"/>
    <n v="250428"/>
    <n v="4.66"/>
    <n v="25040"/>
    <n v="0.51990991422684363"/>
    <x v="1"/>
    <x v="1"/>
  </r>
  <r>
    <d v="2024-06-24T00:00:00"/>
    <s v="Instagram"/>
    <n v="809"/>
    <n v="197"/>
    <n v="87186"/>
    <n v="9.48"/>
    <n v="22619"/>
    <n v="0.70194756038813566"/>
    <x v="1"/>
    <x v="1"/>
  </r>
  <r>
    <d v="2024-06-24T00:00:00"/>
    <s v="Twitter"/>
    <n v="1371"/>
    <n v="250"/>
    <n v="128620"/>
    <n v="7.11"/>
    <n v="12399"/>
    <n v="0.87155963302752304"/>
    <x v="1"/>
    <x v="1"/>
  </r>
  <r>
    <d v="2024-06-24T00:00:00"/>
    <s v="YouTube"/>
    <n v="844"/>
    <n v="144"/>
    <n v="126015"/>
    <n v="9.65"/>
    <n v="22456"/>
    <n v="0.55548942586200056"/>
    <x v="1"/>
    <x v="1"/>
  </r>
  <r>
    <d v="2024-07-01T00:00:00"/>
    <s v="Instagram"/>
    <n v="786"/>
    <n v="72"/>
    <n v="178615"/>
    <n v="5.43"/>
    <n v="19328"/>
    <n v="0.39974246283906723"/>
    <x v="1"/>
    <x v="1"/>
  </r>
  <r>
    <d v="2024-07-01T00:00:00"/>
    <s v="Twitter"/>
    <n v="845"/>
    <n v="250"/>
    <n v="218228"/>
    <n v="4.5199999999999996"/>
    <n v="21107"/>
    <n v="0.27265062228494968"/>
    <x v="1"/>
    <x v="1"/>
  </r>
  <r>
    <d v="2024-07-01T00:00:00"/>
    <s v="YouTube"/>
    <n v="1218"/>
    <n v="101"/>
    <n v="300397"/>
    <n v="4.33"/>
    <n v="12277"/>
    <n v="0.37184126339477425"/>
    <x v="1"/>
    <x v="1"/>
  </r>
  <r>
    <d v="2024-07-08T00:00:00"/>
    <s v="Instagram"/>
    <n v="797"/>
    <n v="130"/>
    <n v="340121"/>
    <n v="8.52"/>
    <n v="11684"/>
    <n v="0.19610667968164272"/>
    <x v="1"/>
    <x v="1"/>
  </r>
  <r>
    <d v="2024-07-08T00:00:00"/>
    <s v="Twitter"/>
    <n v="1471"/>
    <n v="100"/>
    <n v="76866"/>
    <n v="8.5500000000000007"/>
    <n v="14412"/>
    <n v="1.7836234485988602"/>
    <x v="1"/>
    <x v="1"/>
  </r>
  <r>
    <d v="2024-07-08T00:00:00"/>
    <s v="YouTube"/>
    <n v="1253"/>
    <n v="136"/>
    <n v="193131"/>
    <n v="7.99"/>
    <n v="15924"/>
    <n v="0.57836390843520724"/>
    <x v="1"/>
    <x v="1"/>
  </r>
  <r>
    <d v="2024-07-15T00:00:00"/>
    <s v="Instagram"/>
    <n v="616"/>
    <n v="257"/>
    <n v="169665"/>
    <n v="6.31"/>
    <n v="12390"/>
    <n v="0.21159343412017798"/>
    <x v="1"/>
    <x v="1"/>
  </r>
  <r>
    <d v="2024-07-15T00:00:00"/>
    <s v="Twitter"/>
    <n v="1308"/>
    <n v="210"/>
    <n v="263729"/>
    <n v="8.5299999999999994"/>
    <n v="25742"/>
    <n v="0.41633646660018431"/>
    <x v="1"/>
    <x v="1"/>
  </r>
  <r>
    <d v="2024-07-15T00:00:00"/>
    <s v="YouTube"/>
    <n v="981"/>
    <n v="69"/>
    <n v="206921"/>
    <n v="8.42"/>
    <n v="10495"/>
    <n v="0.44074791828765564"/>
    <x v="1"/>
    <x v="1"/>
  </r>
  <r>
    <d v="2024-07-22T00:00:00"/>
    <s v="Instagram"/>
    <n v="866"/>
    <n v="74"/>
    <n v="204121"/>
    <n v="9.34"/>
    <n v="7797"/>
    <n v="0.38800515380583089"/>
    <x v="0"/>
    <x v="0"/>
  </r>
  <r>
    <d v="2024-07-22T00:00:00"/>
    <s v="Twitter"/>
    <n v="547"/>
    <n v="183"/>
    <n v="266350"/>
    <n v="5.65"/>
    <n v="15595"/>
    <n v="0.13666228646517742"/>
    <x v="0"/>
    <x v="0"/>
  </r>
  <r>
    <d v="2024-07-22T00:00:00"/>
    <s v="YouTube"/>
    <n v="1241"/>
    <n v="116"/>
    <n v="380606"/>
    <n v="4.2"/>
    <n v="24617"/>
    <n v="0.29558125725816198"/>
    <x v="0"/>
    <x v="0"/>
  </r>
  <r>
    <d v="2024-07-29T00:00:00"/>
    <s v="Instagram"/>
    <n v="973"/>
    <n v="104"/>
    <n v="376358"/>
    <n v="3.87"/>
    <n v="9847"/>
    <n v="0.23089717768720205"/>
    <x v="0"/>
    <x v="0"/>
  </r>
  <r>
    <d v="2024-07-29T00:00:00"/>
    <s v="Twitter"/>
    <n v="611"/>
    <n v="197"/>
    <n v="79423"/>
    <n v="5.82"/>
    <n v="13644"/>
    <n v="0.52125958475504575"/>
    <x v="0"/>
    <x v="0"/>
  </r>
  <r>
    <d v="2024-07-29T00:00:00"/>
    <s v="YouTube"/>
    <n v="983"/>
    <n v="134"/>
    <n v="352178"/>
    <n v="3.55"/>
    <n v="11421"/>
    <n v="0.24107127645679174"/>
    <x v="0"/>
    <x v="0"/>
  </r>
  <r>
    <d v="2024-08-05T00:00:00"/>
    <s v="Instagram"/>
    <n v="1449"/>
    <n v="96"/>
    <n v="200636"/>
    <n v="9.92"/>
    <n v="15613"/>
    <n v="0.67435554935305719"/>
    <x v="0"/>
    <x v="0"/>
  </r>
  <r>
    <d v="2024-08-05T00:00:00"/>
    <s v="Twitter"/>
    <n v="752"/>
    <n v="170"/>
    <n v="132756"/>
    <n v="8.17"/>
    <n v="23900"/>
    <n v="0.43839826448522107"/>
    <x v="0"/>
    <x v="0"/>
  </r>
  <r>
    <d v="2024-08-05T00:00:00"/>
    <s v="YouTube"/>
    <n v="937"/>
    <n v="179"/>
    <n v="318098"/>
    <n v="5.3"/>
    <n v="5836"/>
    <n v="0.23829134417695177"/>
    <x v="0"/>
    <x v="0"/>
  </r>
  <r>
    <d v="2024-08-12T00:00:00"/>
    <s v="Instagram"/>
    <n v="1060"/>
    <n v="83"/>
    <n v="68724"/>
    <n v="5.98"/>
    <n v="5624"/>
    <n v="1.4216285431581397"/>
    <x v="0"/>
    <x v="0"/>
  </r>
  <r>
    <d v="2024-08-12T00:00:00"/>
    <s v="Twitter"/>
    <n v="1456"/>
    <n v="265"/>
    <n v="115505"/>
    <n v="7.49"/>
    <n v="10311"/>
    <n v="1.0311241937578459"/>
    <x v="0"/>
    <x v="0"/>
  </r>
  <r>
    <d v="2024-08-12T00:00:00"/>
    <s v="YouTube"/>
    <n v="1109"/>
    <n v="205"/>
    <n v="276722"/>
    <n v="9.3800000000000008"/>
    <n v="8274"/>
    <n v="0.32668165162148294"/>
    <x v="0"/>
    <x v="0"/>
  </r>
  <r>
    <d v="2024-08-19T00:00:00"/>
    <s v="Instagram"/>
    <n v="1002"/>
    <n v="93"/>
    <n v="353538"/>
    <n v="5.84"/>
    <n v="6031"/>
    <n v="0.25711521816608118"/>
    <x v="0"/>
    <x v="0"/>
  </r>
  <r>
    <d v="2024-08-19T00:00:00"/>
    <s v="Twitter"/>
    <n v="571"/>
    <n v="189"/>
    <n v="61445"/>
    <n v="5.41"/>
    <n v="27829"/>
    <n v="0.62169419806330861"/>
    <x v="0"/>
    <x v="0"/>
  </r>
  <r>
    <d v="2024-08-19T00:00:00"/>
    <s v="YouTube"/>
    <n v="1240"/>
    <n v="231"/>
    <n v="165035"/>
    <n v="6.05"/>
    <n v="18267"/>
    <n v="0.6113854636895204"/>
    <x v="0"/>
    <x v="0"/>
  </r>
  <r>
    <d v="2024-08-26T00:00:00"/>
    <s v="Instagram"/>
    <n v="1154"/>
    <n v="132"/>
    <n v="194595"/>
    <n v="7.54"/>
    <n v="26624"/>
    <n v="0.52519335029163128"/>
    <x v="0"/>
    <x v="0"/>
  </r>
  <r>
    <d v="2024-08-26T00:00:00"/>
    <s v="Twitter"/>
    <n v="537"/>
    <n v="275"/>
    <n v="236238"/>
    <n v="5.87"/>
    <n v="26644"/>
    <n v="0.11090510417460359"/>
    <x v="0"/>
    <x v="0"/>
  </r>
  <r>
    <d v="2024-08-26T00:00:00"/>
    <s v="YouTube"/>
    <n v="1456"/>
    <n v="290"/>
    <n v="271044"/>
    <n v="7.17"/>
    <n v="13051"/>
    <n v="0.43018845648676968"/>
    <x v="0"/>
    <x v="0"/>
  </r>
  <r>
    <d v="2024-09-02T00:00:00"/>
    <s v="Instagram"/>
    <n v="721"/>
    <n v="206"/>
    <n v="334887"/>
    <n v="6.05"/>
    <n v="14217"/>
    <n v="0.15378321642822804"/>
    <x v="0"/>
    <x v="0"/>
  </r>
  <r>
    <d v="2024-09-02T00:00:00"/>
    <s v="Twitter"/>
    <n v="1098"/>
    <n v="142"/>
    <n v="359150"/>
    <n v="7.51"/>
    <n v="16385"/>
    <n v="0.26618404566337184"/>
    <x v="0"/>
    <x v="0"/>
  </r>
  <r>
    <d v="2024-09-02T00:00:00"/>
    <s v="YouTube"/>
    <n v="1096"/>
    <n v="65"/>
    <n v="358295"/>
    <n v="7.66"/>
    <n v="24548"/>
    <n v="0.28775171297394603"/>
    <x v="0"/>
    <x v="0"/>
  </r>
  <r>
    <d v="2024-09-09T00:00:00"/>
    <s v="Instagram"/>
    <n v="912"/>
    <n v="275"/>
    <n v="368454"/>
    <n v="6.03"/>
    <n v="9195"/>
    <n v="0.1728845391826388"/>
    <x v="0"/>
    <x v="0"/>
  </r>
  <r>
    <d v="2024-09-09T00:00:00"/>
    <s v="Twitter"/>
    <n v="1430"/>
    <n v="162"/>
    <n v="269082"/>
    <n v="3.4"/>
    <n v="18071"/>
    <n v="0.47123181781018425"/>
    <x v="0"/>
    <x v="0"/>
  </r>
  <r>
    <d v="2024-09-09T00:00:00"/>
    <s v="YouTube"/>
    <n v="854"/>
    <n v="129"/>
    <n v="310903"/>
    <n v="7.83"/>
    <n v="16875"/>
    <n v="0.23319170287838972"/>
    <x v="0"/>
    <x v="0"/>
  </r>
  <r>
    <d v="2024-09-16T00:00:00"/>
    <s v="Instagram"/>
    <n v="681"/>
    <n v="210"/>
    <n v="248581"/>
    <n v="8.76"/>
    <n v="9567"/>
    <n v="0.18947546272643526"/>
    <x v="0"/>
    <x v="0"/>
  </r>
  <r>
    <d v="2024-09-16T00:00:00"/>
    <s v="Twitter"/>
    <n v="1373"/>
    <n v="82"/>
    <n v="371015"/>
    <n v="9.52"/>
    <n v="20306"/>
    <n v="0.34796436801746561"/>
    <x v="0"/>
    <x v="0"/>
  </r>
  <r>
    <d v="2024-09-16T00:00:00"/>
    <s v="YouTube"/>
    <n v="685"/>
    <n v="285"/>
    <n v="177452"/>
    <n v="3.36"/>
    <n v="21134"/>
    <n v="0.22541306944976669"/>
    <x v="0"/>
    <x v="0"/>
  </r>
  <r>
    <d v="2024-09-23T00:00:00"/>
    <s v="Instagram"/>
    <n v="1290"/>
    <n v="177"/>
    <n v="80745"/>
    <n v="9.2200000000000006"/>
    <n v="26872"/>
    <n v="1.3784135240572171"/>
    <x v="0"/>
    <x v="0"/>
  </r>
  <r>
    <d v="2024-09-23T00:00:00"/>
    <s v="Twitter"/>
    <n v="1437"/>
    <n v="239"/>
    <n v="362441"/>
    <n v="5.57"/>
    <n v="10253"/>
    <n v="0.33053655629467971"/>
    <x v="0"/>
    <x v="0"/>
  </r>
  <r>
    <d v="2024-09-23T00:00:00"/>
    <s v="YouTube"/>
    <n v="769"/>
    <n v="295"/>
    <n v="344771"/>
    <n v="8.06"/>
    <n v="23963"/>
    <n v="0.13748256088824176"/>
    <x v="0"/>
    <x v="0"/>
  </r>
  <r>
    <d v="2024-09-30T00:00:00"/>
    <s v="Instagram"/>
    <n v="1416"/>
    <n v="284"/>
    <n v="374952"/>
    <n v="3.45"/>
    <n v="11335"/>
    <n v="0.30190531054641656"/>
    <x v="0"/>
    <x v="0"/>
  </r>
  <r>
    <d v="2024-09-30T00:00:00"/>
    <s v="Twitter"/>
    <n v="998"/>
    <n v="154"/>
    <n v="179781"/>
    <n v="9.58"/>
    <n v="12115"/>
    <n v="0.46946006530167261"/>
    <x v="0"/>
    <x v="0"/>
  </r>
  <r>
    <d v="2024-09-30T00:00:00"/>
    <s v="YouTube"/>
    <n v="1421"/>
    <n v="246"/>
    <n v="358581"/>
    <n v="8.8800000000000008"/>
    <n v="24358"/>
    <n v="0.3276804961779905"/>
    <x v="0"/>
    <x v="0"/>
  </r>
  <r>
    <d v="2024-10-07T00:00:00"/>
    <s v="Instagram"/>
    <n v="764"/>
    <n v="205"/>
    <n v="319294"/>
    <n v="6.23"/>
    <n v="12181"/>
    <n v="0.17507375647522347"/>
    <x v="0"/>
    <x v="0"/>
  </r>
  <r>
    <d v="2024-10-07T00:00:00"/>
    <s v="Twitter"/>
    <n v="678"/>
    <n v="124"/>
    <n v="192022"/>
    <n v="8.4499999999999993"/>
    <n v="17729"/>
    <n v="0.28850860838862213"/>
    <x v="0"/>
    <x v="0"/>
  </r>
  <r>
    <d v="2024-10-07T00:00:00"/>
    <s v="YouTube"/>
    <n v="1328"/>
    <n v="103"/>
    <n v="151462"/>
    <n v="8.4"/>
    <n v="10881"/>
    <n v="0.80878372132944243"/>
    <x v="0"/>
    <x v="0"/>
  </r>
  <r>
    <d v="2024-10-14T00:00:00"/>
    <s v="Instagram"/>
    <n v="1161"/>
    <n v="269"/>
    <n v="188193"/>
    <n v="7.34"/>
    <n v="18576"/>
    <n v="0.47398149771776843"/>
    <x v="0"/>
    <x v="0"/>
  </r>
  <r>
    <d v="2024-10-14T00:00:00"/>
    <s v="Twitter"/>
    <n v="588"/>
    <n v="52"/>
    <n v="292040"/>
    <n v="8.14"/>
    <n v="9383"/>
    <n v="0.18353650184906178"/>
    <x v="0"/>
    <x v="0"/>
  </r>
  <r>
    <d v="2024-10-14T00:00:00"/>
    <s v="YouTube"/>
    <n v="1457"/>
    <n v="215"/>
    <n v="325325"/>
    <n v="9.58"/>
    <n v="14178"/>
    <n v="0.38177207407976638"/>
    <x v="0"/>
    <x v="0"/>
  </r>
  <r>
    <d v="2024-10-21T00:00:00"/>
    <s v="Instagram"/>
    <n v="1190"/>
    <n v="242"/>
    <n v="86849"/>
    <n v="8.06"/>
    <n v="21254"/>
    <n v="1.0915497012055406"/>
    <x v="0"/>
    <x v="0"/>
  </r>
  <r>
    <d v="2024-10-21T00:00:00"/>
    <s v="Twitter"/>
    <n v="886"/>
    <n v="124"/>
    <n v="141161"/>
    <n v="8.19"/>
    <n v="14215"/>
    <n v="0.53980915408646857"/>
    <x v="0"/>
    <x v="0"/>
  </r>
  <r>
    <d v="2024-10-21T00:00:00"/>
    <s v="YouTube"/>
    <n v="1237"/>
    <n v="155"/>
    <n v="149916"/>
    <n v="4.4800000000000004"/>
    <n v="16921"/>
    <n v="0.72173750633688194"/>
    <x v="0"/>
    <x v="0"/>
  </r>
  <r>
    <d v="2024-10-28T00:00:00"/>
    <s v="Instagram"/>
    <n v="1435"/>
    <n v="261"/>
    <n v="308533"/>
    <n v="4.5199999999999996"/>
    <n v="25130"/>
    <n v="0.38051035059458793"/>
    <x v="0"/>
    <x v="0"/>
  </r>
  <r>
    <d v="2024-10-28T00:00:00"/>
    <s v="Twitter"/>
    <n v="746"/>
    <n v="282"/>
    <n v="293894"/>
    <n v="5.42"/>
    <n v="25537"/>
    <n v="0.15788005199153438"/>
    <x v="0"/>
    <x v="0"/>
  </r>
  <r>
    <d v="2024-10-28T00:00:00"/>
    <s v="YouTube"/>
    <n v="759"/>
    <n v="216"/>
    <n v="147656"/>
    <n v="4.08"/>
    <n v="24943"/>
    <n v="0.36774665438586984"/>
    <x v="0"/>
    <x v="0"/>
  </r>
  <r>
    <d v="2024-11-04T00:00:00"/>
    <s v="Instagram"/>
    <n v="1437"/>
    <n v="235"/>
    <n v="326791"/>
    <n v="4.0599999999999996"/>
    <n v="14563"/>
    <n v="0.36781918718691764"/>
    <x v="0"/>
    <x v="0"/>
  </r>
  <r>
    <d v="2024-11-04T00:00:00"/>
    <s v="Twitter"/>
    <n v="1463"/>
    <n v="73"/>
    <n v="348877"/>
    <n v="9.91"/>
    <n v="26273"/>
    <n v="0.39842122008616215"/>
    <x v="0"/>
    <x v="0"/>
  </r>
  <r>
    <d v="2024-11-04T00:00:00"/>
    <s v="YouTube"/>
    <n v="1208"/>
    <n v="224"/>
    <n v="122730"/>
    <n v="8.7200000000000006"/>
    <n v="10858"/>
    <n v="0.80175996088975798"/>
    <x v="0"/>
    <x v="0"/>
  </r>
  <r>
    <d v="2024-11-11T00:00:00"/>
    <s v="Instagram"/>
    <n v="1391"/>
    <n v="187"/>
    <n v="306508"/>
    <n v="8.3800000000000008"/>
    <n v="25038"/>
    <n v="0.39281193313061974"/>
    <x v="0"/>
    <x v="0"/>
  </r>
  <r>
    <d v="2024-11-11T00:00:00"/>
    <s v="Twitter"/>
    <n v="655"/>
    <n v="123"/>
    <n v="202472"/>
    <n v="7.56"/>
    <n v="9092"/>
    <n v="0.26275238057607969"/>
    <x v="0"/>
    <x v="0"/>
  </r>
  <r>
    <d v="2024-11-11T00:00:00"/>
    <s v="YouTube"/>
    <n v="1148"/>
    <n v="90"/>
    <n v="227249"/>
    <n v="7.24"/>
    <n v="17662"/>
    <n v="0.46556860536239986"/>
    <x v="0"/>
    <x v="0"/>
  </r>
  <r>
    <d v="2024-11-18T00:00:00"/>
    <s v="Instagram"/>
    <n v="946"/>
    <n v="270"/>
    <n v="246567"/>
    <n v="4.53"/>
    <n v="5924"/>
    <n v="0.27416483146568682"/>
    <x v="0"/>
    <x v="0"/>
  </r>
  <r>
    <d v="2024-11-18T00:00:00"/>
    <s v="Twitter"/>
    <n v="791"/>
    <n v="214"/>
    <n v="114738"/>
    <n v="6.62"/>
    <n v="25347"/>
    <n v="0.5028848332723248"/>
    <x v="0"/>
    <x v="0"/>
  </r>
  <r>
    <d v="2024-11-18T00:00:00"/>
    <s v="YouTube"/>
    <n v="793"/>
    <n v="111"/>
    <n v="333500"/>
    <n v="6.36"/>
    <n v="8910"/>
    <n v="0.2044977511244378"/>
    <x v="0"/>
    <x v="0"/>
  </r>
  <r>
    <d v="2024-11-25T00:00:00"/>
    <s v="Instagram"/>
    <n v="663"/>
    <n v="213"/>
    <n v="352677"/>
    <n v="9"/>
    <n v="20438"/>
    <n v="0.1275955052356689"/>
    <x v="0"/>
    <x v="0"/>
  </r>
  <r>
    <d v="2024-11-25T00:00:00"/>
    <s v="Twitter"/>
    <n v="954"/>
    <n v="271"/>
    <n v="160936"/>
    <n v="8.83"/>
    <n v="8760"/>
    <n v="0.42439230501565839"/>
    <x v="0"/>
    <x v="0"/>
  </r>
  <r>
    <d v="2024-11-25T00:00:00"/>
    <s v="YouTube"/>
    <n v="1313"/>
    <n v="159"/>
    <n v="197183"/>
    <n v="9.7100000000000009"/>
    <n v="6625"/>
    <n v="0.58524314976443204"/>
    <x v="0"/>
    <x v="0"/>
  </r>
  <r>
    <d v="2024-12-02T00:00:00"/>
    <s v="Instagram"/>
    <n v="895"/>
    <n v="87"/>
    <n v="171271"/>
    <n v="6.68"/>
    <n v="23329"/>
    <n v="0.47176696580273364"/>
    <x v="2"/>
    <x v="1"/>
  </r>
  <r>
    <d v="2024-12-02T00:00:00"/>
    <s v="Twitter"/>
    <n v="1027"/>
    <n v="156"/>
    <n v="111293"/>
    <n v="5.51"/>
    <n v="7299"/>
    <n v="0.78261885293774092"/>
    <x v="2"/>
    <x v="1"/>
  </r>
  <r>
    <d v="2024-12-02T00:00:00"/>
    <s v="YouTube"/>
    <n v="990"/>
    <n v="286"/>
    <n v="351493"/>
    <n v="7.97"/>
    <n v="14496"/>
    <n v="0.20028848369668811"/>
    <x v="2"/>
    <x v="1"/>
  </r>
  <r>
    <d v="2024-12-09T00:00:00"/>
    <s v="Instagram"/>
    <n v="875"/>
    <n v="264"/>
    <n v="345631"/>
    <n v="9.18"/>
    <n v="25703"/>
    <n v="0.17677812464738407"/>
    <x v="2"/>
    <x v="1"/>
  </r>
  <r>
    <d v="2024-12-09T00:00:00"/>
    <s v="Twitter"/>
    <n v="599"/>
    <n v="194"/>
    <n v="105622"/>
    <n v="6.44"/>
    <n v="15108"/>
    <n v="0.38344284334702994"/>
    <x v="2"/>
    <x v="1"/>
  </r>
  <r>
    <d v="2024-12-09T00:00:00"/>
    <s v="YouTube"/>
    <n v="630"/>
    <n v="248"/>
    <n v="119054"/>
    <n v="5.0199999999999996"/>
    <n v="18867"/>
    <n v="0.32086280175382598"/>
    <x v="2"/>
    <x v="1"/>
  </r>
  <r>
    <d v="2024-12-16T00:00:00"/>
    <s v="Instagram"/>
    <n v="1350"/>
    <n v="233"/>
    <n v="171670"/>
    <n v="4.53"/>
    <n v="17574"/>
    <n v="0.65066697734024581"/>
    <x v="2"/>
    <x v="1"/>
  </r>
  <r>
    <d v="2024-12-16T00:00:00"/>
    <s v="Twitter"/>
    <n v="632"/>
    <n v="155"/>
    <n v="170432"/>
    <n v="9.17"/>
    <n v="12840"/>
    <n v="0.27987701840030044"/>
    <x v="2"/>
    <x v="1"/>
  </r>
  <r>
    <d v="2024-12-16T00:00:00"/>
    <s v="YouTube"/>
    <n v="1182"/>
    <n v="83"/>
    <n v="140300"/>
    <n v="3.27"/>
    <n v="21079"/>
    <n v="0.78332145402708486"/>
    <x v="2"/>
    <x v="1"/>
  </r>
  <r>
    <d v="2024-12-23T00:00:00"/>
    <s v="Instagram"/>
    <n v="661"/>
    <n v="94"/>
    <n v="116538"/>
    <n v="5.31"/>
    <n v="23486"/>
    <n v="0.48653658034289238"/>
    <x v="2"/>
    <x v="1"/>
  </r>
  <r>
    <d v="2024-12-23T00:00:00"/>
    <s v="Twitter"/>
    <n v="1360"/>
    <n v="227"/>
    <n v="176902"/>
    <n v="6.03"/>
    <n v="5960"/>
    <n v="0.64046760353189902"/>
    <x v="2"/>
    <x v="1"/>
  </r>
  <r>
    <d v="2024-12-23T00:00:00"/>
    <s v="YouTube"/>
    <n v="935"/>
    <n v="85"/>
    <n v="326821"/>
    <n v="8.89"/>
    <n v="13301"/>
    <n v="0.260081206532016"/>
    <x v="2"/>
    <x v="1"/>
  </r>
  <r>
    <d v="2024-12-30T00:00:00"/>
    <s v="Instagram"/>
    <n v="664"/>
    <n v="251"/>
    <n v="240598"/>
    <n v="4.79"/>
    <n v="10563"/>
    <n v="0.17165562473503521"/>
    <x v="2"/>
    <x v="1"/>
  </r>
  <r>
    <d v="2024-12-30T00:00:00"/>
    <s v="Twitter"/>
    <n v="1490"/>
    <n v="103"/>
    <n v="373274"/>
    <n v="4.8"/>
    <n v="19949"/>
    <n v="0.37157691133055076"/>
    <x v="2"/>
    <x v="1"/>
  </r>
  <r>
    <d v="2024-12-30T00:00:00"/>
    <s v="YouTube"/>
    <n v="601"/>
    <n v="64"/>
    <n v="123272"/>
    <n v="4.07"/>
    <n v="14273"/>
    <n v="0.43562203906807706"/>
    <x v="2"/>
    <x v="1"/>
  </r>
  <r>
    <d v="2025-01-06T00:00:00"/>
    <s v="Instagram"/>
    <n v="613"/>
    <n v="170"/>
    <n v="139266"/>
    <n v="6.06"/>
    <n v="9247"/>
    <n v="0.31809630491290047"/>
    <x v="0"/>
    <x v="0"/>
  </r>
  <r>
    <d v="2025-01-06T00:00:00"/>
    <s v="Twitter"/>
    <n v="1340"/>
    <n v="57"/>
    <n v="155927"/>
    <n v="7.79"/>
    <n v="11972"/>
    <n v="0.82282093543773693"/>
    <x v="0"/>
    <x v="0"/>
  </r>
  <r>
    <d v="2025-01-06T00:00:00"/>
    <s v="YouTube"/>
    <n v="953"/>
    <n v="228"/>
    <n v="258398"/>
    <n v="9.0500000000000007"/>
    <n v="13314"/>
    <n v="0.28057492705051895"/>
    <x v="0"/>
    <x v="0"/>
  </r>
  <r>
    <d v="2025-01-13T00:00:00"/>
    <s v="Instagram"/>
    <n v="532"/>
    <n v="65"/>
    <n v="338561"/>
    <n v="3.5"/>
    <n v="14749"/>
    <n v="0.137936738135816"/>
    <x v="3"/>
    <x v="1"/>
  </r>
  <r>
    <d v="2025-01-13T00:00:00"/>
    <s v="Twitter"/>
    <n v="1414"/>
    <n v="60"/>
    <n v="341856"/>
    <n v="8.76"/>
    <n v="6868"/>
    <n v="0.39607320041186933"/>
    <x v="3"/>
    <x v="1"/>
  </r>
  <r>
    <d v="2025-01-13T00:00:00"/>
    <s v="YouTube"/>
    <n v="685"/>
    <n v="165"/>
    <n v="175860"/>
    <n v="6.26"/>
    <n v="6027"/>
    <n v="0.2956897532127829"/>
    <x v="3"/>
    <x v="1"/>
  </r>
  <r>
    <d v="2025-01-20T00:00:00"/>
    <s v="Instagram"/>
    <n v="601"/>
    <n v="159"/>
    <n v="327722"/>
    <n v="3.33"/>
    <n v="25267"/>
    <n v="0.13487040845594742"/>
    <x v="3"/>
    <x v="1"/>
  </r>
  <r>
    <d v="2025-01-20T00:00:00"/>
    <s v="Twitter"/>
    <n v="841"/>
    <n v="295"/>
    <n v="271638"/>
    <n v="9.15"/>
    <n v="5900"/>
    <n v="0.20100280520398472"/>
    <x v="3"/>
    <x v="1"/>
  </r>
  <r>
    <d v="2025-01-20T00:00:00"/>
    <s v="YouTube"/>
    <n v="1105"/>
    <n v="261"/>
    <n v="333851"/>
    <n v="6.03"/>
    <n v="11181"/>
    <n v="0.2528073901231388"/>
    <x v="3"/>
    <x v="1"/>
  </r>
  <r>
    <d v="2025-01-27T00:00:00"/>
    <s v="Instagram"/>
    <n v="566"/>
    <n v="225"/>
    <n v="368984"/>
    <n v="9.82"/>
    <n v="9592"/>
    <n v="9.2415931314094923E-2"/>
    <x v="3"/>
    <x v="1"/>
  </r>
  <r>
    <d v="2025-01-27T00:00:00"/>
    <s v="Twitter"/>
    <n v="1149"/>
    <n v="280"/>
    <n v="167310"/>
    <n v="3.7"/>
    <n v="5291"/>
    <n v="0.51939513477975008"/>
    <x v="3"/>
    <x v="1"/>
  </r>
  <r>
    <d v="2025-01-27T00:00:00"/>
    <s v="YouTube"/>
    <n v="819"/>
    <n v="101"/>
    <n v="194811"/>
    <n v="3.35"/>
    <n v="22244"/>
    <n v="0.36856235017529809"/>
    <x v="3"/>
    <x v="1"/>
  </r>
  <r>
    <d v="2025-02-03T00:00:00"/>
    <s v="Instagram"/>
    <n v="795"/>
    <n v="60"/>
    <n v="314982"/>
    <n v="7.31"/>
    <n v="6824"/>
    <n v="0.23334666742861496"/>
    <x v="3"/>
    <x v="1"/>
  </r>
  <r>
    <d v="2025-02-03T00:00:00"/>
    <s v="Twitter"/>
    <n v="681"/>
    <n v="158"/>
    <n v="75960"/>
    <n v="3.13"/>
    <n v="24112"/>
    <n v="0.6885202738283307"/>
    <x v="3"/>
    <x v="1"/>
  </r>
  <r>
    <d v="2025-02-03T00:00:00"/>
    <s v="YouTube"/>
    <n v="534"/>
    <n v="112"/>
    <n v="360759"/>
    <n v="4.8899999999999997"/>
    <n v="25478"/>
    <n v="0.11697559866836309"/>
    <x v="3"/>
    <x v="1"/>
  </r>
  <r>
    <d v="2025-02-10T00:00:00"/>
    <s v="Instagram"/>
    <n v="1066"/>
    <n v="151"/>
    <n v="297090"/>
    <n v="8.6300000000000008"/>
    <n v="11235"/>
    <n v="0.30798747854185599"/>
    <x v="3"/>
    <x v="1"/>
  </r>
  <r>
    <d v="2025-02-10T00:00:00"/>
    <s v="Twitter"/>
    <n v="1270"/>
    <n v="162"/>
    <n v="92040"/>
    <n v="8.0299999999999994"/>
    <n v="6120"/>
    <n v="1.2038244241634073"/>
    <x v="3"/>
    <x v="1"/>
  </r>
  <r>
    <d v="2025-02-10T00:00:00"/>
    <s v="YouTube"/>
    <n v="536"/>
    <n v="198"/>
    <n v="174610"/>
    <n v="7.85"/>
    <n v="20572"/>
    <n v="0.19357425118836263"/>
    <x v="3"/>
    <x v="1"/>
  </r>
  <r>
    <d v="2025-02-17T00:00:00"/>
    <s v="Instagram"/>
    <n v="819"/>
    <n v="95"/>
    <n v="177376"/>
    <n v="6.12"/>
    <n v="14975"/>
    <n v="0.40817246978170663"/>
    <x v="0"/>
    <x v="0"/>
  </r>
  <r>
    <d v="2025-02-17T00:00:00"/>
    <s v="Twitter"/>
    <n v="681"/>
    <n v="218"/>
    <n v="198882"/>
    <n v="7.16"/>
    <n v="22234"/>
    <n v="0.23280135960016493"/>
    <x v="0"/>
    <x v="0"/>
  </r>
  <r>
    <d v="2025-02-17T00:00:00"/>
    <s v="YouTube"/>
    <n v="646"/>
    <n v="290"/>
    <n v="336383"/>
    <n v="7.04"/>
    <n v="6532"/>
    <n v="0.10583174536168594"/>
    <x v="0"/>
    <x v="0"/>
  </r>
  <r>
    <d v="2025-02-24T00:00:00"/>
    <s v="Instagram"/>
    <n v="645"/>
    <n v="267"/>
    <n v="346890"/>
    <n v="3.71"/>
    <n v="24858"/>
    <n v="0.10896826083196401"/>
    <x v="0"/>
    <x v="0"/>
  </r>
  <r>
    <d v="2025-02-24T00:00:00"/>
    <s v="Twitter"/>
    <n v="886"/>
    <n v="250"/>
    <n v="168170"/>
    <n v="4.12"/>
    <n v="13883"/>
    <n v="0.37818873758696553"/>
    <x v="0"/>
    <x v="0"/>
  </r>
  <r>
    <d v="2025-02-24T00:00:00"/>
    <s v="YouTube"/>
    <n v="978"/>
    <n v="279"/>
    <n v="368872"/>
    <n v="6.82"/>
    <n v="18654"/>
    <n v="0.18949662755644234"/>
    <x v="0"/>
    <x v="0"/>
  </r>
  <r>
    <d v="2025-03-03T00:00:00"/>
    <s v="Instagram"/>
    <n v="1444"/>
    <n v="165"/>
    <n v="116436"/>
    <n v="8.2200000000000006"/>
    <n v="25234"/>
    <n v="1.0984575217286749"/>
    <x v="4"/>
    <x v="1"/>
  </r>
  <r>
    <d v="2025-03-03T00:00:00"/>
    <s v="Twitter"/>
    <n v="1234"/>
    <n v="228"/>
    <n v="127502"/>
    <n v="7.71"/>
    <n v="6772"/>
    <n v="0.78900723125911754"/>
    <x v="4"/>
    <x v="1"/>
  </r>
  <r>
    <d v="2025-03-03T00:00:00"/>
    <s v="YouTube"/>
    <n v="665"/>
    <n v="187"/>
    <n v="274567"/>
    <n v="7.39"/>
    <n v="22428"/>
    <n v="0.17409229805475532"/>
    <x v="4"/>
    <x v="1"/>
  </r>
  <r>
    <d v="2025-03-10T00:00:00"/>
    <s v="Instagram"/>
    <n v="631"/>
    <n v="86"/>
    <n v="295090"/>
    <n v="7.89"/>
    <n v="11911"/>
    <n v="0.18468941678809855"/>
    <x v="4"/>
    <x v="1"/>
  </r>
  <r>
    <d v="2025-03-10T00:00:00"/>
    <s v="Twitter"/>
    <n v="1159"/>
    <n v="154"/>
    <n v="194994"/>
    <n v="6.39"/>
    <n v="21900"/>
    <n v="0.51540047386073418"/>
    <x v="4"/>
    <x v="1"/>
  </r>
  <r>
    <d v="2025-03-10T00:00:00"/>
    <s v="YouTube"/>
    <n v="950"/>
    <n v="185"/>
    <n v="340750"/>
    <n v="6.77"/>
    <n v="25542"/>
    <n v="0.22450476889214968"/>
    <x v="4"/>
    <x v="1"/>
  </r>
  <r>
    <d v="2025-03-17T00:00:00"/>
    <s v="Instagram"/>
    <n v="693"/>
    <n v="129"/>
    <n v="296031"/>
    <n v="3.41"/>
    <n v="7140"/>
    <n v="0.19052058737091723"/>
    <x v="4"/>
    <x v="1"/>
  </r>
  <r>
    <d v="2025-03-17T00:00:00"/>
    <s v="Twitter"/>
    <n v="576"/>
    <n v="80"/>
    <n v="345688"/>
    <n v="4.1100000000000003"/>
    <n v="20474"/>
    <n v="0.14348198375413668"/>
    <x v="4"/>
    <x v="1"/>
  </r>
  <r>
    <d v="2025-03-17T00:00:00"/>
    <s v="YouTube"/>
    <n v="1274"/>
    <n v="146"/>
    <n v="263488"/>
    <n v="9.58"/>
    <n v="8698"/>
    <n v="0.42810298761233906"/>
    <x v="4"/>
    <x v="1"/>
  </r>
  <r>
    <d v="2025-03-24T00:00:00"/>
    <s v="Instagram"/>
    <n v="818"/>
    <n v="253"/>
    <n v="184911"/>
    <n v="3.39"/>
    <n v="10402"/>
    <n v="0.30555240088474994"/>
    <x v="4"/>
    <x v="1"/>
  </r>
  <r>
    <d v="2025-03-24T00:00:00"/>
    <s v="Twitter"/>
    <n v="975"/>
    <n v="162"/>
    <n v="124497"/>
    <n v="9.58"/>
    <n v="26618"/>
    <n v="0.65302778380201931"/>
    <x v="4"/>
    <x v="1"/>
  </r>
  <r>
    <d v="2025-03-24T00:00:00"/>
    <s v="YouTube"/>
    <n v="1398"/>
    <n v="97"/>
    <n v="397607"/>
    <n v="5.09"/>
    <n v="7975"/>
    <n v="0.32720751898231165"/>
    <x v="4"/>
    <x v="1"/>
  </r>
  <r>
    <d v="2025-03-31T00:00:00"/>
    <s v="Instagram"/>
    <n v="591"/>
    <n v="155"/>
    <n v="138521"/>
    <n v="7.85"/>
    <n v="19054"/>
    <n v="0.31475371965261584"/>
    <x v="4"/>
    <x v="1"/>
  </r>
  <r>
    <d v="2025-03-31T00:00:00"/>
    <s v="Twitter"/>
    <n v="1232"/>
    <n v="254"/>
    <n v="107718"/>
    <n v="9.7100000000000009"/>
    <n v="13740"/>
    <n v="0.90792625187990861"/>
    <x v="4"/>
    <x v="1"/>
  </r>
  <r>
    <d v="2025-03-31T00:00:00"/>
    <s v="YouTube"/>
    <n v="1425"/>
    <n v="58"/>
    <n v="202234"/>
    <n v="6.67"/>
    <n v="18442"/>
    <n v="0.67594964249334932"/>
    <x v="4"/>
    <x v="1"/>
  </r>
  <r>
    <d v="2025-04-07T00:00:00"/>
    <s v="Instagram"/>
    <n v="1417"/>
    <n v="80"/>
    <n v="340987"/>
    <n v="6.13"/>
    <n v="10104"/>
    <n v="0.3920970594186875"/>
    <x v="0"/>
    <x v="0"/>
  </r>
  <r>
    <d v="2025-04-07T00:00:00"/>
    <s v="Twitter"/>
    <n v="1222"/>
    <n v="208"/>
    <n v="340098"/>
    <n v="7.34"/>
    <n v="21771"/>
    <n v="0.29814935695005557"/>
    <x v="0"/>
    <x v="0"/>
  </r>
  <r>
    <d v="2025-04-07T00:00:00"/>
    <s v="YouTube"/>
    <n v="1071"/>
    <n v="131"/>
    <n v="254727"/>
    <n v="6.87"/>
    <n v="22191"/>
    <n v="0.36902252215116577"/>
    <x v="0"/>
    <x v="0"/>
  </r>
  <r>
    <d v="2025-04-14T00:00:00"/>
    <s v="Instagram"/>
    <n v="772"/>
    <n v="82"/>
    <n v="345659"/>
    <n v="3.52"/>
    <n v="27753"/>
    <n v="0.19961869935398757"/>
    <x v="0"/>
    <x v="0"/>
  </r>
  <r>
    <d v="2025-04-14T00:00:00"/>
    <s v="Twitter"/>
    <n v="1472"/>
    <n v="137"/>
    <n v="213950"/>
    <n v="6.96"/>
    <n v="23736"/>
    <n v="0.62397756485160083"/>
    <x v="0"/>
    <x v="0"/>
  </r>
  <r>
    <d v="2025-04-14T00:00:00"/>
    <s v="YouTube"/>
    <n v="1472"/>
    <n v="281"/>
    <n v="258115"/>
    <n v="7.23"/>
    <n v="27393"/>
    <n v="0.46142223427541984"/>
    <x v="0"/>
    <x v="0"/>
  </r>
  <r>
    <d v="2025-04-21T00:00:00"/>
    <s v="Instagram"/>
    <n v="585"/>
    <n v="232"/>
    <n v="321258"/>
    <n v="7.42"/>
    <n v="10343"/>
    <n v="0.10988053215795404"/>
    <x v="0"/>
    <x v="0"/>
  </r>
  <r>
    <d v="2025-04-21T00:00:00"/>
    <s v="Twitter"/>
    <n v="747"/>
    <n v="261"/>
    <n v="338650"/>
    <n v="7.73"/>
    <n v="25259"/>
    <n v="0.14351099955706481"/>
    <x v="0"/>
    <x v="0"/>
  </r>
  <r>
    <d v="2025-04-21T00:00:00"/>
    <s v="YouTube"/>
    <n v="1113"/>
    <n v="224"/>
    <n v="272989"/>
    <n v="5.13"/>
    <n v="24827"/>
    <n v="0.32565414723670183"/>
    <x v="0"/>
    <x v="0"/>
  </r>
  <r>
    <d v="2025-04-28T00:00:00"/>
    <s v="Instagram"/>
    <n v="1100"/>
    <n v="117"/>
    <n v="260204"/>
    <n v="4.4000000000000004"/>
    <n v="11908"/>
    <n v="0.37778051067623863"/>
    <x v="0"/>
    <x v="0"/>
  </r>
  <r>
    <d v="2025-04-28T00:00:00"/>
    <s v="Twitter"/>
    <n v="751"/>
    <n v="170"/>
    <n v="283278"/>
    <n v="3.49"/>
    <n v="11005"/>
    <n v="0.20509887813384731"/>
    <x v="0"/>
    <x v="0"/>
  </r>
  <r>
    <d v="2025-04-28T00:00:00"/>
    <s v="YouTube"/>
    <n v="864"/>
    <n v="50"/>
    <n v="277445"/>
    <n v="3.57"/>
    <n v="26333"/>
    <n v="0.29339148299662998"/>
    <x v="0"/>
    <x v="0"/>
  </r>
  <r>
    <d v="2025-05-05T00:00:00"/>
    <s v="Instagram"/>
    <n v="1146"/>
    <n v="227"/>
    <n v="353781"/>
    <n v="6.41"/>
    <n v="5495"/>
    <n v="0.25976522198761381"/>
    <x v="0"/>
    <x v="0"/>
  </r>
  <r>
    <d v="2025-05-05T00:00:00"/>
    <s v="Twitter"/>
    <n v="883"/>
    <n v="207"/>
    <n v="265019"/>
    <n v="6.04"/>
    <n v="15655"/>
    <n v="0.25507605115104953"/>
    <x v="0"/>
    <x v="0"/>
  </r>
  <r>
    <d v="2025-05-05T00:00:00"/>
    <s v="YouTube"/>
    <n v="622"/>
    <n v="163"/>
    <n v="231925"/>
    <n v="9.18"/>
    <n v="13763"/>
    <n v="0.19790880672631239"/>
    <x v="0"/>
    <x v="0"/>
  </r>
  <r>
    <d v="2025-05-12T00:00:00"/>
    <s v="Instagram"/>
    <n v="837"/>
    <n v="261"/>
    <n v="366149"/>
    <n v="6.54"/>
    <n v="26073"/>
    <n v="0.15731300645365684"/>
    <x v="0"/>
    <x v="0"/>
  </r>
  <r>
    <d v="2025-05-12T00:00:00"/>
    <s v="Twitter"/>
    <n v="544"/>
    <n v="97"/>
    <n v="168375"/>
    <n v="8.66"/>
    <n v="12774"/>
    <n v="0.26547884187082404"/>
    <x v="0"/>
    <x v="0"/>
  </r>
  <r>
    <d v="2025-05-12T00:00:00"/>
    <s v="YouTube"/>
    <n v="624"/>
    <n v="247"/>
    <n v="252763"/>
    <n v="3.89"/>
    <n v="19000"/>
    <n v="0.1491515767734993"/>
    <x v="0"/>
    <x v="0"/>
  </r>
  <r>
    <d v="2025-05-19T00:00:00"/>
    <s v="Instagram"/>
    <n v="1073"/>
    <n v="141"/>
    <n v="118393"/>
    <n v="7.95"/>
    <n v="14051"/>
    <n v="0.78720870321725112"/>
    <x v="0"/>
    <x v="0"/>
  </r>
  <r>
    <d v="2025-05-19T00:00:00"/>
    <s v="Twitter"/>
    <n v="1430"/>
    <n v="74"/>
    <n v="327012"/>
    <n v="6.66"/>
    <n v="27782"/>
    <n v="0.41466368206671317"/>
    <x v="0"/>
    <x v="0"/>
  </r>
  <r>
    <d v="2025-05-19T00:00:00"/>
    <s v="YouTube"/>
    <n v="1358"/>
    <n v="77"/>
    <n v="169688"/>
    <n v="5.25"/>
    <n v="7859"/>
    <n v="0.75491490264485406"/>
    <x v="0"/>
    <x v="0"/>
  </r>
  <r>
    <d v="2025-05-26T00:00:00"/>
    <s v="Instagram"/>
    <n v="1242"/>
    <n v="201"/>
    <n v="271935"/>
    <n v="5.07"/>
    <n v="15773"/>
    <n v="0.3828120690606211"/>
    <x v="0"/>
    <x v="0"/>
  </r>
  <r>
    <d v="2025-05-26T00:00:00"/>
    <s v="Twitter"/>
    <n v="1389"/>
    <n v="205"/>
    <n v="315981"/>
    <n v="7.62"/>
    <n v="20595"/>
    <n v="0.37470607409939205"/>
    <x v="0"/>
    <x v="0"/>
  </r>
  <r>
    <d v="2025-05-26T00:00:00"/>
    <s v="YouTube"/>
    <n v="826"/>
    <n v="142"/>
    <n v="341016"/>
    <n v="7.44"/>
    <n v="12031"/>
    <n v="0.20057709902174681"/>
    <x v="0"/>
    <x v="0"/>
  </r>
  <r>
    <d v="2025-06-02T00:00:00"/>
    <s v="Instagram"/>
    <n v="618"/>
    <n v="264"/>
    <n v="285164"/>
    <n v="4.8600000000000003"/>
    <n v="15128"/>
    <n v="0.12413909189098205"/>
    <x v="0"/>
    <x v="0"/>
  </r>
  <r>
    <d v="2025-06-02T00:00:00"/>
    <s v="Twitter"/>
    <n v="1419"/>
    <n v="293"/>
    <n v="116632"/>
    <n v="6.93"/>
    <n v="11826"/>
    <n v="0.96542972769051372"/>
    <x v="0"/>
    <x v="0"/>
  </r>
  <r>
    <d v="2025-06-02T00:00:00"/>
    <s v="YouTube"/>
    <n v="637"/>
    <n v="68"/>
    <n v="115694"/>
    <n v="9.99"/>
    <n v="12562"/>
    <n v="0.49181461441388491"/>
    <x v="0"/>
    <x v="0"/>
  </r>
  <r>
    <d v="2025-06-09T00:00:00"/>
    <s v="Instagram"/>
    <n v="917"/>
    <n v="187"/>
    <n v="64444"/>
    <n v="5.22"/>
    <n v="13013"/>
    <n v="1.1327664328719507"/>
    <x v="0"/>
    <x v="0"/>
  </r>
  <r>
    <d v="2025-06-09T00:00:00"/>
    <s v="Twitter"/>
    <n v="810"/>
    <n v="232"/>
    <n v="362559"/>
    <n v="5.17"/>
    <n v="12937"/>
    <n v="0.15942232850377458"/>
    <x v="0"/>
    <x v="0"/>
  </r>
  <r>
    <d v="2025-06-09T00:00:00"/>
    <s v="YouTube"/>
    <n v="1183"/>
    <n v="248"/>
    <n v="226881"/>
    <n v="5.17"/>
    <n v="14534"/>
    <n v="0.41211031333606601"/>
    <x v="0"/>
    <x v="0"/>
  </r>
  <r>
    <d v="2025-06-16T00:00:00"/>
    <s v="Instagram"/>
    <n v="765"/>
    <n v="67"/>
    <n v="283537"/>
    <n v="6.18"/>
    <n v="8182"/>
    <n v="0.24617598408673294"/>
    <x v="0"/>
    <x v="0"/>
  </r>
  <r>
    <d v="2025-06-16T00:00:00"/>
    <s v="Twitter"/>
    <n v="540"/>
    <n v="215"/>
    <n v="62837"/>
    <n v="5.3"/>
    <n v="10615"/>
    <n v="0.5172111972245651"/>
    <x v="0"/>
    <x v="0"/>
  </r>
  <r>
    <d v="2025-06-16T00:00:00"/>
    <s v="YouTube"/>
    <n v="1145"/>
    <n v="151"/>
    <n v="182759"/>
    <n v="5.99"/>
    <n v="20109"/>
    <n v="0.5438856636335283"/>
    <x v="0"/>
    <x v="0"/>
  </r>
  <r>
    <d v="2025-06-23T00:00:00"/>
    <s v="Instagram"/>
    <n v="564"/>
    <n v="244"/>
    <n v="279405"/>
    <n v="8.43"/>
    <n v="26024"/>
    <n v="0.11452908859898712"/>
    <x v="0"/>
    <x v="0"/>
  </r>
  <r>
    <d v="2025-06-23T00:00:00"/>
    <s v="Twitter"/>
    <n v="668"/>
    <n v="124"/>
    <n v="257485"/>
    <n v="7.55"/>
    <n v="26730"/>
    <n v="0.21127444317144686"/>
    <x v="0"/>
    <x v="0"/>
  </r>
  <r>
    <d v="2025-06-23T00:00:00"/>
    <s v="YouTube"/>
    <n v="761"/>
    <n v="241"/>
    <n v="154977"/>
    <n v="5.63"/>
    <n v="10563"/>
    <n v="0.33553365983339462"/>
    <x v="0"/>
    <x v="0"/>
  </r>
  <r>
    <d v="2025-06-30T00:00:00"/>
    <s v="Instagram"/>
    <n v="593"/>
    <n v="108"/>
    <n v="216500"/>
    <n v="4.71"/>
    <n v="27575"/>
    <n v="0.22401847575057734"/>
    <x v="0"/>
    <x v="0"/>
  </r>
  <r>
    <d v="2025-06-30T00:00:00"/>
    <s v="Twitter"/>
    <n v="1349"/>
    <n v="115"/>
    <n v="102102"/>
    <n v="5.28"/>
    <n v="14479"/>
    <n v="1.208595326242385"/>
    <x v="0"/>
    <x v="0"/>
  </r>
  <r>
    <d v="2025-06-30T00:00:00"/>
    <s v="YouTube"/>
    <n v="693"/>
    <n v="97"/>
    <n v="92025"/>
    <n v="5.95"/>
    <n v="15915"/>
    <n v="0.64765009508285798"/>
    <x v="0"/>
    <x v="0"/>
  </r>
  <r>
    <d v="2025-07-07T00:00:00"/>
    <s v="Instagram"/>
    <n v="974"/>
    <n v="143"/>
    <n v="247965"/>
    <n v="9.98"/>
    <n v="12767"/>
    <n v="0.3351279414433489"/>
    <x v="0"/>
    <x v="0"/>
  </r>
  <r>
    <d v="2025-07-07T00:00:00"/>
    <s v="Twitter"/>
    <n v="1155"/>
    <n v="122"/>
    <n v="387352"/>
    <n v="9.93"/>
    <n v="12170"/>
    <n v="0.26668250067122412"/>
    <x v="0"/>
    <x v="0"/>
  </r>
  <r>
    <d v="2025-07-07T00:00:00"/>
    <s v="YouTube"/>
    <n v="1051"/>
    <n v="246"/>
    <n v="253985"/>
    <n v="9.08"/>
    <n v="7245"/>
    <n v="0.31694785125105812"/>
    <x v="0"/>
    <x v="0"/>
  </r>
  <r>
    <d v="2025-07-14T00:00:00"/>
    <s v="Instagram"/>
    <n v="1457"/>
    <n v="183"/>
    <n v="129640"/>
    <n v="7.98"/>
    <n v="12985"/>
    <n v="0.98272138228941686"/>
    <x v="0"/>
    <x v="0"/>
  </r>
  <r>
    <d v="2025-07-14T00:00:00"/>
    <s v="Twitter"/>
    <n v="670"/>
    <n v="242"/>
    <n v="281913"/>
    <n v="9.6199999999999992"/>
    <n v="16377"/>
    <n v="0.15181988769584942"/>
    <x v="0"/>
    <x v="0"/>
  </r>
  <r>
    <d v="2025-07-14T00:00:00"/>
    <s v="YouTube"/>
    <n v="1111"/>
    <n v="159"/>
    <n v="360770"/>
    <n v="8.7100000000000009"/>
    <n v="11453"/>
    <n v="0.26388003437092888"/>
    <x v="0"/>
    <x v="0"/>
  </r>
  <r>
    <d v="2025-07-21T00:00:00"/>
    <s v="Instagram"/>
    <n v="1197"/>
    <n v="246"/>
    <n v="127273"/>
    <n v="6.69"/>
    <n v="12323"/>
    <n v="0.74721268454424739"/>
    <x v="0"/>
    <x v="0"/>
  </r>
  <r>
    <d v="2025-07-21T00:00:00"/>
    <s v="Twitter"/>
    <n v="754"/>
    <n v="150"/>
    <n v="189622"/>
    <n v="4.25"/>
    <n v="11911"/>
    <n v="0.31852844079273501"/>
    <x v="0"/>
    <x v="0"/>
  </r>
  <r>
    <d v="2025-07-21T00:00:00"/>
    <s v="YouTube"/>
    <n v="1246"/>
    <n v="107"/>
    <n v="350949"/>
    <n v="4.9800000000000004"/>
    <n v="27809"/>
    <n v="0.32454858113287116"/>
    <x v="0"/>
    <x v="0"/>
  </r>
  <r>
    <d v="2025-07-28T00:00:00"/>
    <s v="Instagram"/>
    <n v="780"/>
    <n v="213"/>
    <n v="121431"/>
    <n v="4.97"/>
    <n v="21464"/>
    <n v="0.46693183783383158"/>
    <x v="0"/>
    <x v="0"/>
  </r>
  <r>
    <d v="2025-07-28T00:00:00"/>
    <s v="Twitter"/>
    <n v="1425"/>
    <n v="143"/>
    <n v="116742"/>
    <n v="3.71"/>
    <n v="27126"/>
    <n v="1.0981480529715097"/>
    <x v="0"/>
    <x v="0"/>
  </r>
  <r>
    <d v="2025-07-28T00:00:00"/>
    <s v="YouTube"/>
    <n v="1490"/>
    <n v="103"/>
    <n v="81184"/>
    <n v="7.79"/>
    <n v="10681"/>
    <n v="1.7084647221127316"/>
    <x v="0"/>
    <x v="0"/>
  </r>
  <r>
    <d v="2025-08-04T00:00:00"/>
    <s v="Instagram"/>
    <n v="949"/>
    <n v="282"/>
    <n v="87126"/>
    <n v="4.96"/>
    <n v="5413"/>
    <n v="0.76555792759910934"/>
    <x v="0"/>
    <x v="0"/>
  </r>
  <r>
    <d v="2025-08-04T00:00:00"/>
    <s v="Twitter"/>
    <n v="640"/>
    <n v="141"/>
    <n v="267546"/>
    <n v="8.58"/>
    <n v="25058"/>
    <n v="0.18650998332996943"/>
    <x v="0"/>
    <x v="0"/>
  </r>
  <r>
    <d v="2025-08-04T00:00:00"/>
    <s v="YouTube"/>
    <n v="616"/>
    <n v="93"/>
    <n v="133082"/>
    <n v="8.51"/>
    <n v="18303"/>
    <n v="0.39299078763469142"/>
    <x v="0"/>
    <x v="0"/>
  </r>
  <r>
    <d v="2025-08-11T00:00:00"/>
    <s v="Instagram"/>
    <n v="1080"/>
    <n v="184"/>
    <n v="340557"/>
    <n v="5.41"/>
    <n v="5526"/>
    <n v="0.26309839468870116"/>
    <x v="0"/>
    <x v="0"/>
  </r>
  <r>
    <d v="2025-08-11T00:00:00"/>
    <s v="Twitter"/>
    <n v="938"/>
    <n v="236"/>
    <n v="116472"/>
    <n v="8.7200000000000006"/>
    <n v="17460"/>
    <n v="0.60271996703070263"/>
    <x v="0"/>
    <x v="0"/>
  </r>
  <r>
    <d v="2025-08-11T00:00:00"/>
    <s v="YouTube"/>
    <n v="1007"/>
    <n v="258"/>
    <n v="113412"/>
    <n v="7.71"/>
    <n v="14475"/>
    <n v="0.6604239410291679"/>
    <x v="0"/>
    <x v="0"/>
  </r>
  <r>
    <d v="2025-08-18T00:00:00"/>
    <s v="Instagram"/>
    <n v="541"/>
    <n v="208"/>
    <n v="157547"/>
    <n v="8.35"/>
    <n v="20162"/>
    <n v="0.2113654972801767"/>
    <x v="0"/>
    <x v="0"/>
  </r>
  <r>
    <d v="2025-08-18T00:00:00"/>
    <s v="Twitter"/>
    <n v="745"/>
    <n v="98"/>
    <n v="354816"/>
    <n v="4.03"/>
    <n v="17103"/>
    <n v="0.18234803391053389"/>
    <x v="0"/>
    <x v="0"/>
  </r>
  <r>
    <d v="2025-08-18T00:00:00"/>
    <s v="YouTube"/>
    <n v="936"/>
    <n v="97"/>
    <n v="151799"/>
    <n v="9.3699999999999992"/>
    <n v="15461"/>
    <n v="0.55270456327116779"/>
    <x v="0"/>
    <x v="0"/>
  </r>
  <r>
    <d v="2025-08-25T00:00:00"/>
    <s v="Instagram"/>
    <n v="1183"/>
    <n v="223"/>
    <n v="143811"/>
    <n v="6.07"/>
    <n v="22103"/>
    <n v="0.66754281661347181"/>
    <x v="0"/>
    <x v="0"/>
  </r>
  <r>
    <d v="2025-08-25T00:00:00"/>
    <s v="Twitter"/>
    <n v="1413"/>
    <n v="245"/>
    <n v="296450"/>
    <n v="6.52"/>
    <n v="11625"/>
    <n v="0.39399561477483558"/>
    <x v="0"/>
    <x v="0"/>
  </r>
  <r>
    <d v="2025-08-25T00:00:00"/>
    <s v="YouTube"/>
    <n v="791"/>
    <n v="273"/>
    <n v="144049"/>
    <n v="3.08"/>
    <n v="5281"/>
    <n v="0.35959985838152297"/>
    <x v="0"/>
    <x v="0"/>
  </r>
  <r>
    <d v="2025-09-01T00:00:00"/>
    <s v="Instagram"/>
    <n v="1052"/>
    <n v="180"/>
    <n v="272534"/>
    <n v="5.34"/>
    <n v="13424"/>
    <n v="0.31996007837554213"/>
    <x v="0"/>
    <x v="0"/>
  </r>
  <r>
    <d v="2025-09-01T00:00:00"/>
    <s v="Twitter"/>
    <n v="572"/>
    <n v="270"/>
    <n v="82265"/>
    <n v="3.65"/>
    <n v="13140"/>
    <n v="0.36710630280192064"/>
    <x v="0"/>
    <x v="0"/>
  </r>
  <r>
    <d v="2025-09-01T00:00:00"/>
    <s v="YouTube"/>
    <n v="503"/>
    <n v="253"/>
    <n v="313562"/>
    <n v="4.18"/>
    <n v="19538"/>
    <n v="7.9729048800556188E-2"/>
    <x v="0"/>
    <x v="0"/>
  </r>
  <r>
    <d v="2025-09-08T00:00:00"/>
    <s v="Instagram"/>
    <n v="1017"/>
    <n v="197"/>
    <n v="89918"/>
    <n v="3.91"/>
    <n v="7881"/>
    <n v="0.91194199159233968"/>
    <x v="0"/>
    <x v="0"/>
  </r>
  <r>
    <d v="2025-09-08T00:00:00"/>
    <s v="Twitter"/>
    <n v="860"/>
    <n v="244"/>
    <n v="348686"/>
    <n v="5.12"/>
    <n v="11418"/>
    <n v="0.17666324429429342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1CC128-C860-4C51-83A9-4CA20B2A754A}" name="PivotTable1" cacheId="0" applyNumberFormats="0" applyBorderFormats="0" applyFontFormats="0" applyPatternFormats="0" applyAlignmentFormats="0" applyWidthHeightFormats="1" dataCaption="Values" updatedVersion="8" minRefreshableVersion="3" useAutoFormatting="1" colGrandTotals="0" itemPrintTitles="1" createdVersion="8" indent="0" outline="1" outlineData="1" multipleFieldFilters="0" chartFormat="22" rowHeaderCaption="Campaigns">
  <location ref="A4:G9" firstHeaderRow="0" firstDataRow="1" firstDataCol="1"/>
  <pivotFields count="14">
    <pivotField showAll="0"/>
    <pivotField showAll="0"/>
    <pivotField numFmtId="14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Total Impressions" fld="8" baseField="0" baseItem="0"/>
    <dataField name="Average Impressions" fld="8" subtotal="average" baseField="12" baseItem="0" numFmtId="2"/>
    <dataField name="Total Likes" fld="5" baseField="0" baseItem="0"/>
    <dataField name="Average Likes" fld="5" subtotal="average" baseField="12" baseItem="0" numFmtId="2"/>
    <dataField name="Total Clicks" fld="10" baseField="0" baseItem="0"/>
    <dataField name="Average Clicks" fld="10" subtotal="average" baseField="12" baseItem="0" numFmtId="2"/>
  </dataFields>
  <formats count="14">
    <format dxfId="35">
      <pivotArea field="12" type="button" dataOnly="0" labelOnly="1" outline="0" axis="axisRow" fieldPosition="0"/>
    </format>
    <format dxfId="3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3">
      <pivotArea grandRow="1" outline="0" collapsedLevelsAreSubtotals="1" fieldPosition="0"/>
    </format>
    <format dxfId="32">
      <pivotArea dataOnly="0" labelOnly="1" grandRow="1" outline="0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2" type="button" dataOnly="0" labelOnly="1" outline="0" axis="axisRow" fieldPosition="0"/>
    </format>
    <format dxfId="28">
      <pivotArea dataOnly="0" labelOnly="1" fieldPosition="0">
        <references count="1">
          <reference field="12" count="0"/>
        </references>
      </pivotArea>
    </format>
    <format dxfId="27">
      <pivotArea dataOnly="0" labelOnly="1" grandRow="1" outline="0" fieldPosition="0"/>
    </format>
    <format dxfId="2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5">
      <pivotArea field="12" type="button" dataOnly="0" labelOnly="1" outline="0" axis="axisRow" fieldPosition="0"/>
    </format>
    <format dxfId="24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23">
      <pivotArea grandRow="1" outline="0" collapsedLevelsAreSubtotals="1" fieldPosition="0"/>
    </format>
    <format dxfId="22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F38EC-8DE3-4124-9AAC-2113CC51D3C5}" name="PivotTable2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4" rowHeaderCaption="Campaign">
  <location ref="I4:J16" firstHeaderRow="1" firstDataRow="1" firstDataCol="1"/>
  <pivotFields count="17">
    <pivotField showAll="0" defaultSubtotal="0"/>
    <pivotField showAll="0" defaultSubtotal="0"/>
    <pivotField numFmtId="14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axis="axisRow" showAll="0" defaultSubtotal="0">
      <items count="4">
        <item x="0"/>
        <item x="1"/>
        <item x="3"/>
        <item x="2"/>
      </items>
    </pivotField>
    <pivotField dataField="1" showAll="0" defaultSubtotal="0"/>
    <pivotField numFmtId="14" showAll="0" defaultSubtotal="0"/>
    <pivotField showAll="0" defaultSubtotal="0"/>
    <pivotField axis="axisRow" showAll="0" defaultSubtotal="0">
      <items count="2">
        <item x="0"/>
        <item x="1"/>
      </items>
    </pivotField>
  </pivotFields>
  <rowFields count="2">
    <field x="12"/>
    <field x="16"/>
  </rowFields>
  <rowItems count="12">
    <i>
      <x/>
    </i>
    <i r="1">
      <x/>
    </i>
    <i r="1">
      <x v="1"/>
    </i>
    <i>
      <x v="1"/>
    </i>
    <i r="1">
      <x/>
    </i>
    <i r="1">
      <x v="1"/>
    </i>
    <i>
      <x v="2"/>
    </i>
    <i r="1">
      <x/>
    </i>
    <i r="1">
      <x v="1"/>
    </i>
    <i>
      <x v="3"/>
    </i>
    <i r="1">
      <x/>
    </i>
    <i r="1">
      <x v="1"/>
    </i>
  </rowItems>
  <colItems count="1">
    <i/>
  </colItems>
  <dataFields count="1">
    <dataField name="Average of Engagement Rate" fld="13" subtotal="average" baseField="12" baseItem="0" numFmtId="10"/>
  </dataFields>
  <formats count="75">
    <format dxfId="110">
      <pivotArea collapsedLevelsAreSubtotals="1" fieldPosition="0">
        <references count="2">
          <reference field="12" count="1" selected="0">
            <x v="0"/>
          </reference>
          <reference field="16" count="0"/>
        </references>
      </pivotArea>
    </format>
    <format dxfId="109">
      <pivotArea collapsedLevelsAreSubtotals="1" fieldPosition="0">
        <references count="1">
          <reference field="12" count="1">
            <x v="1"/>
          </reference>
        </references>
      </pivotArea>
    </format>
    <format dxfId="108">
      <pivotArea collapsedLevelsAreSubtotals="1" fieldPosition="0">
        <references count="2">
          <reference field="12" count="1" selected="0">
            <x v="1"/>
          </reference>
          <reference field="16" count="0"/>
        </references>
      </pivotArea>
    </format>
    <format dxfId="107">
      <pivotArea collapsedLevelsAreSubtotals="1" fieldPosition="0">
        <references count="1">
          <reference field="12" count="1">
            <x v="2"/>
          </reference>
        </references>
      </pivotArea>
    </format>
    <format dxfId="106">
      <pivotArea collapsedLevelsAreSubtotals="1" fieldPosition="0">
        <references count="2">
          <reference field="12" count="1" selected="0">
            <x v="2"/>
          </reference>
          <reference field="16" count="0"/>
        </references>
      </pivotArea>
    </format>
    <format dxfId="105">
      <pivotArea collapsedLevelsAreSubtotals="1" fieldPosition="0">
        <references count="1">
          <reference field="12" count="1">
            <x v="3"/>
          </reference>
        </references>
      </pivotArea>
    </format>
    <format dxfId="104">
      <pivotArea collapsedLevelsAreSubtotals="1" fieldPosition="0">
        <references count="2">
          <reference field="12" count="1" selected="0">
            <x v="3"/>
          </reference>
          <reference field="16" count="0"/>
        </references>
      </pivotArea>
    </format>
    <format dxfId="103">
      <pivotArea field="12" type="button" dataOnly="0" labelOnly="1" outline="0" axis="axisRow" fieldPosition="0"/>
    </format>
    <format dxfId="102">
      <pivotArea dataOnly="0" labelOnly="1" outline="0" axis="axisValues" fieldPosition="0"/>
    </format>
    <format dxfId="101">
      <pivotArea type="all" dataOnly="0" outline="0" fieldPosition="0"/>
    </format>
    <format dxfId="100">
      <pivotArea outline="0" collapsedLevelsAreSubtotals="1" fieldPosition="0"/>
    </format>
    <format dxfId="99">
      <pivotArea field="12" type="button" dataOnly="0" labelOnly="1" outline="0" axis="axisRow" fieldPosition="0"/>
    </format>
    <format dxfId="98">
      <pivotArea dataOnly="0" labelOnly="1" outline="0" axis="axisValues" fieldPosition="0"/>
    </format>
    <format dxfId="97">
      <pivotArea dataOnly="0" labelOnly="1" fieldPosition="0">
        <references count="1">
          <reference field="12" count="0"/>
        </references>
      </pivotArea>
    </format>
    <format dxfId="96">
      <pivotArea dataOnly="0" labelOnly="1" fieldPosition="0">
        <references count="2">
          <reference field="12" count="1" selected="0">
            <x v="0"/>
          </reference>
          <reference field="16" count="0"/>
        </references>
      </pivotArea>
    </format>
    <format dxfId="95">
      <pivotArea dataOnly="0" labelOnly="1" fieldPosition="0">
        <references count="2">
          <reference field="12" count="1" selected="0">
            <x v="1"/>
          </reference>
          <reference field="16" count="0"/>
        </references>
      </pivotArea>
    </format>
    <format dxfId="94">
      <pivotArea dataOnly="0" labelOnly="1" fieldPosition="0">
        <references count="2">
          <reference field="12" count="1" selected="0">
            <x v="2"/>
          </reference>
          <reference field="16" count="0"/>
        </references>
      </pivotArea>
    </format>
    <format dxfId="93">
      <pivotArea dataOnly="0" labelOnly="1" fieldPosition="0">
        <references count="2">
          <reference field="12" count="1" selected="0">
            <x v="3"/>
          </reference>
          <reference field="16" count="0"/>
        </references>
      </pivotArea>
    </format>
    <format dxfId="92">
      <pivotArea collapsedLevelsAreSubtotals="1" fieldPosition="0">
        <references count="2">
          <reference field="12" count="1" selected="0">
            <x v="3"/>
          </reference>
          <reference field="16" count="1">
            <x v="1"/>
          </reference>
        </references>
      </pivotArea>
    </format>
    <format dxfId="91">
      <pivotArea dataOnly="0" labelOnly="1" fieldPosition="0">
        <references count="2">
          <reference field="12" count="1" selected="0">
            <x v="3"/>
          </reference>
          <reference field="16" count="1">
            <x v="1"/>
          </reference>
        </references>
      </pivotArea>
    </format>
    <format dxfId="90">
      <pivotArea collapsedLevelsAreSubtotals="1" fieldPosition="0">
        <references count="1">
          <reference field="12" count="1">
            <x v="0"/>
          </reference>
        </references>
      </pivotArea>
    </format>
    <format dxfId="89">
      <pivotArea collapsedLevelsAreSubtotals="1" fieldPosition="0">
        <references count="1">
          <reference field="12" count="1">
            <x v="1"/>
          </reference>
        </references>
      </pivotArea>
    </format>
    <format dxfId="88">
      <pivotArea collapsedLevelsAreSubtotals="1" fieldPosition="0">
        <references count="1">
          <reference field="12" count="1">
            <x v="1"/>
          </reference>
        </references>
      </pivotArea>
    </format>
    <format dxfId="87">
      <pivotArea field="12" type="button" dataOnly="0" labelOnly="1" outline="0" axis="axisRow" fieldPosition="0"/>
    </format>
    <format dxfId="86">
      <pivotArea dataOnly="0" labelOnly="1" outline="0" axis="axisValues" fieldPosition="0"/>
    </format>
    <format dxfId="85">
      <pivotArea field="12" type="button" dataOnly="0" labelOnly="1" outline="0" axis="axisRow" fieldPosition="0"/>
    </format>
    <format dxfId="84">
      <pivotArea dataOnly="0" labelOnly="1" outline="0" axis="axisValues" fieldPosition="0"/>
    </format>
    <format dxfId="83">
      <pivotArea field="12" type="button" dataOnly="0" labelOnly="1" outline="0" axis="axisRow" fieldPosition="0"/>
    </format>
    <format dxfId="82">
      <pivotArea dataOnly="0" labelOnly="1" outline="0" axis="axisValues" fieldPosition="0"/>
    </format>
    <format dxfId="81">
      <pivotArea collapsedLevelsAreSubtotals="1" fieldPosition="0">
        <references count="2">
          <reference field="12" count="1" selected="0">
            <x v="0"/>
          </reference>
          <reference field="16" count="1">
            <x v="0"/>
          </reference>
        </references>
      </pivotArea>
    </format>
    <format dxfId="80">
      <pivotArea collapsedLevelsAreSubtotals="1" fieldPosition="0">
        <references count="2">
          <reference field="12" count="1" selected="0">
            <x v="1"/>
          </reference>
          <reference field="16" count="1">
            <x v="0"/>
          </reference>
        </references>
      </pivotArea>
    </format>
    <format dxfId="79">
      <pivotArea collapsedLevelsAreSubtotals="1" fieldPosition="0">
        <references count="2">
          <reference field="12" count="1" selected="0">
            <x v="2"/>
          </reference>
          <reference field="16" count="1">
            <x v="0"/>
          </reference>
        </references>
      </pivotArea>
    </format>
    <format dxfId="78">
      <pivotArea collapsedLevelsAreSubtotals="1" fieldPosition="0">
        <references count="2">
          <reference field="12" count="1" selected="0">
            <x v="3"/>
          </reference>
          <reference field="16" count="1">
            <x v="0"/>
          </reference>
        </references>
      </pivotArea>
    </format>
    <format dxfId="77">
      <pivotArea collapsedLevelsAreSubtotals="1" fieldPosition="0">
        <references count="2">
          <reference field="12" count="1" selected="0">
            <x v="0"/>
          </reference>
          <reference field="16" count="1">
            <x v="0"/>
          </reference>
        </references>
      </pivotArea>
    </format>
    <format dxfId="76">
      <pivotArea collapsedLevelsAreSubtotals="1" fieldPosition="0">
        <references count="2">
          <reference field="12" count="1" selected="0">
            <x v="0"/>
          </reference>
          <reference field="16" count="1">
            <x v="1"/>
          </reference>
        </references>
      </pivotArea>
    </format>
    <format dxfId="75">
      <pivotArea collapsedLevelsAreSubtotals="1" fieldPosition="0">
        <references count="2">
          <reference field="12" count="1" selected="0">
            <x v="1"/>
          </reference>
          <reference field="16" count="1">
            <x v="0"/>
          </reference>
        </references>
      </pivotArea>
    </format>
    <format dxfId="74">
      <pivotArea collapsedLevelsAreSubtotals="1" fieldPosition="0">
        <references count="2">
          <reference field="12" count="1" selected="0">
            <x v="1"/>
          </reference>
          <reference field="16" count="1">
            <x v="1"/>
          </reference>
        </references>
      </pivotArea>
    </format>
    <format dxfId="73">
      <pivotArea collapsedLevelsAreSubtotals="1" fieldPosition="0">
        <references count="2">
          <reference field="12" count="1" selected="0">
            <x v="2"/>
          </reference>
          <reference field="16" count="1">
            <x v="0"/>
          </reference>
        </references>
      </pivotArea>
    </format>
    <format dxfId="72">
      <pivotArea collapsedLevelsAreSubtotals="1" fieldPosition="0">
        <references count="2">
          <reference field="12" count="1" selected="0">
            <x v="2"/>
          </reference>
          <reference field="16" count="1">
            <x v="1"/>
          </reference>
        </references>
      </pivotArea>
    </format>
    <format dxfId="71">
      <pivotArea collapsedLevelsAreSubtotals="1" fieldPosition="0">
        <references count="2">
          <reference field="12" count="1" selected="0">
            <x v="3"/>
          </reference>
          <reference field="16" count="1">
            <x v="0"/>
          </reference>
        </references>
      </pivotArea>
    </format>
    <format dxfId="70">
      <pivotArea collapsedLevelsAreSubtotals="1" fieldPosition="0">
        <references count="2">
          <reference field="12" count="1" selected="0">
            <x v="3"/>
          </reference>
          <reference field="16" count="1">
            <x v="1"/>
          </reference>
        </references>
      </pivotArea>
    </format>
    <format dxfId="69">
      <pivotArea dataOnly="0" labelOnly="1" fieldPosition="0">
        <references count="2">
          <reference field="12" count="1" selected="0">
            <x v="0"/>
          </reference>
          <reference field="16" count="1">
            <x v="0"/>
          </reference>
        </references>
      </pivotArea>
    </format>
    <format dxfId="68">
      <pivotArea dataOnly="0" labelOnly="1" fieldPosition="0">
        <references count="2">
          <reference field="12" count="1" selected="0">
            <x v="1"/>
          </reference>
          <reference field="16" count="1">
            <x v="0"/>
          </reference>
        </references>
      </pivotArea>
    </format>
    <format dxfId="67">
      <pivotArea dataOnly="0" labelOnly="1" fieldPosition="0">
        <references count="2">
          <reference field="12" count="1" selected="0">
            <x v="2"/>
          </reference>
          <reference field="16" count="1">
            <x v="0"/>
          </reference>
        </references>
      </pivotArea>
    </format>
    <format dxfId="66">
      <pivotArea dataOnly="0" labelOnly="1" fieldPosition="0">
        <references count="2">
          <reference field="12" count="1" selected="0">
            <x v="3"/>
          </reference>
          <reference field="16" count="1">
            <x v="0"/>
          </reference>
        </references>
      </pivotArea>
    </format>
    <format dxfId="65">
      <pivotArea collapsedLevelsAreSubtotals="1" fieldPosition="0">
        <references count="1">
          <reference field="12" count="1">
            <x v="2"/>
          </reference>
        </references>
      </pivotArea>
    </format>
    <format dxfId="64">
      <pivotArea collapsedLevelsAreSubtotals="1" fieldPosition="0">
        <references count="1">
          <reference field="12" count="1">
            <x v="3"/>
          </reference>
        </references>
      </pivotArea>
    </format>
    <format dxfId="63">
      <pivotArea collapsedLevelsAreSubtotals="1" fieldPosition="0">
        <references count="2">
          <reference field="12" count="1" selected="0">
            <x v="2"/>
          </reference>
          <reference field="16" count="1">
            <x v="0"/>
          </reference>
        </references>
      </pivotArea>
    </format>
    <format dxfId="62">
      <pivotArea dataOnly="0" labelOnly="1" fieldPosition="0">
        <references count="2">
          <reference field="12" count="1" selected="0">
            <x v="2"/>
          </reference>
          <reference field="16" count="1">
            <x v="0"/>
          </reference>
        </references>
      </pivotArea>
    </format>
    <format dxfId="61">
      <pivotArea collapsedLevelsAreSubtotals="1" fieldPosition="0">
        <references count="2">
          <reference field="12" count="1" selected="0">
            <x v="3"/>
          </reference>
          <reference field="16" count="1">
            <x v="0"/>
          </reference>
        </references>
      </pivotArea>
    </format>
    <format dxfId="60">
      <pivotArea dataOnly="0" labelOnly="1" fieldPosition="0">
        <references count="2">
          <reference field="12" count="1" selected="0">
            <x v="3"/>
          </reference>
          <reference field="16" count="1">
            <x v="0"/>
          </reference>
        </references>
      </pivotArea>
    </format>
    <format dxfId="59">
      <pivotArea dataOnly="0" labelOnly="1" fieldPosition="0">
        <references count="1">
          <reference field="12" count="1">
            <x v="3"/>
          </reference>
        </references>
      </pivotArea>
    </format>
    <format dxfId="58">
      <pivotArea dataOnly="0" labelOnly="1" fieldPosition="0">
        <references count="1">
          <reference field="12" count="1">
            <x v="3"/>
          </reference>
        </references>
      </pivotArea>
    </format>
    <format dxfId="57">
      <pivotArea dataOnly="0" labelOnly="1" fieldPosition="0">
        <references count="1">
          <reference field="12" count="1">
            <x v="3"/>
          </reference>
        </references>
      </pivotArea>
    </format>
    <format dxfId="56">
      <pivotArea dataOnly="0" labelOnly="1" fieldPosition="0">
        <references count="1">
          <reference field="12" count="1">
            <x v="0"/>
          </reference>
        </references>
      </pivotArea>
    </format>
    <format dxfId="55">
      <pivotArea dataOnly="0" labelOnly="1" fieldPosition="0">
        <references count="1">
          <reference field="12" count="1">
            <x v="1"/>
          </reference>
        </references>
      </pivotArea>
    </format>
    <format dxfId="54">
      <pivotArea dataOnly="0" labelOnly="1" fieldPosition="0">
        <references count="1">
          <reference field="12" count="1">
            <x v="2"/>
          </reference>
        </references>
      </pivotArea>
    </format>
    <format dxfId="53">
      <pivotArea dataOnly="0" labelOnly="1" fieldPosition="0">
        <references count="1">
          <reference field="12" count="1">
            <x v="0"/>
          </reference>
        </references>
      </pivotArea>
    </format>
    <format dxfId="52">
      <pivotArea dataOnly="0" labelOnly="1" fieldPosition="0">
        <references count="1">
          <reference field="12" count="1">
            <x v="1"/>
          </reference>
        </references>
      </pivotArea>
    </format>
    <format dxfId="51">
      <pivotArea dataOnly="0" labelOnly="1" fieldPosition="0">
        <references count="1">
          <reference field="12" count="1">
            <x v="2"/>
          </reference>
        </references>
      </pivotArea>
    </format>
    <format dxfId="50">
      <pivotArea dataOnly="0" labelOnly="1" fieldPosition="0">
        <references count="1">
          <reference field="12" count="1">
            <x v="1"/>
          </reference>
        </references>
      </pivotArea>
    </format>
    <format dxfId="49">
      <pivotArea dataOnly="0" labelOnly="1" fieldPosition="0">
        <references count="1">
          <reference field="12" count="1">
            <x v="2"/>
          </reference>
        </references>
      </pivotArea>
    </format>
    <format dxfId="48">
      <pivotArea collapsedLevelsAreSubtotals="1" fieldPosition="0">
        <references count="1">
          <reference field="12" count="1">
            <x v="0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2" type="button" dataOnly="0" labelOnly="1" outline="0" axis="axisRow" fieldPosition="0"/>
    </format>
    <format dxfId="44">
      <pivotArea dataOnly="0" labelOnly="1" fieldPosition="0">
        <references count="1">
          <reference field="12" count="0"/>
        </references>
      </pivotArea>
    </format>
    <format dxfId="43">
      <pivotArea dataOnly="0" labelOnly="1" fieldPosition="0">
        <references count="2">
          <reference field="12" count="1" selected="0">
            <x v="0"/>
          </reference>
          <reference field="16" count="0"/>
        </references>
      </pivotArea>
    </format>
    <format dxfId="42">
      <pivotArea dataOnly="0" labelOnly="1" fieldPosition="0">
        <references count="2">
          <reference field="12" count="1" selected="0">
            <x v="1"/>
          </reference>
          <reference field="16" count="0"/>
        </references>
      </pivotArea>
    </format>
    <format dxfId="41">
      <pivotArea dataOnly="0" labelOnly="1" fieldPosition="0">
        <references count="2">
          <reference field="12" count="1" selected="0">
            <x v="2"/>
          </reference>
          <reference field="16" count="0"/>
        </references>
      </pivotArea>
    </format>
    <format dxfId="40">
      <pivotArea dataOnly="0" labelOnly="1" fieldPosition="0">
        <references count="2">
          <reference field="12" count="1" selected="0">
            <x v="3"/>
          </reference>
          <reference field="16" count="0"/>
        </references>
      </pivotArea>
    </format>
    <format dxfId="39">
      <pivotArea dataOnly="0" labelOnly="1" outline="0" axis="axisValues" fieldPosition="0"/>
    </format>
    <format dxfId="38">
      <pivotArea outline="0" fieldPosition="0">
        <references count="1">
          <reference field="4294967294" count="1">
            <x v="0"/>
          </reference>
        </references>
      </pivotArea>
    </format>
    <format dxfId="37">
      <pivotArea field="12" type="button" dataOnly="0" labelOnly="1" outline="0" axis="axisRow" fieldPosition="0"/>
    </format>
    <format dxfId="36">
      <pivotArea dataOnly="0" labelOnly="1" outline="0" axis="axisValues" fieldPosition="0"/>
    </format>
  </formats>
  <chartFormats count="18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0"/>
          </reference>
        </references>
      </pivotArea>
    </chartFormat>
    <chartFormat chart="6" format="2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1"/>
          </reference>
        </references>
      </pivotArea>
    </chartFormat>
    <chartFormat chart="6" format="3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0"/>
          </reference>
        </references>
      </pivotArea>
    </chartFormat>
    <chartFormat chart="6" format="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6" count="1" selected="0">
            <x v="0"/>
          </reference>
        </references>
      </pivotArea>
    </chartFormat>
    <chartFormat chart="6" format="5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6" count="1" selected="0">
            <x v="0"/>
          </reference>
        </references>
      </pivotArea>
    </chartFormat>
    <chartFormat chart="6" format="6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1"/>
          </reference>
        </references>
      </pivotArea>
    </chartFormat>
    <chartFormat chart="6" format="7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6" count="1" selected="0">
            <x v="1"/>
          </reference>
        </references>
      </pivotArea>
    </chartFormat>
    <chartFormat chart="6" format="8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6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0"/>
          </reference>
        </references>
      </pivotArea>
    </chartFormat>
    <chartFormat chart="11" format="11">
      <pivotArea type="data" outline="0" fieldPosition="0">
        <references count="3">
          <reference field="4294967294" count="1" selected="0">
            <x v="0"/>
          </reference>
          <reference field="12" count="1" selected="0">
            <x v="0"/>
          </reference>
          <reference field="16" count="1" selected="0">
            <x v="1"/>
          </reference>
        </references>
      </pivotArea>
    </chartFormat>
    <chartFormat chart="11" format="12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0"/>
          </reference>
        </references>
      </pivotArea>
    </chartFormat>
    <chartFormat chart="11" format="13">
      <pivotArea type="data" outline="0" fieldPosition="0">
        <references count="3">
          <reference field="4294967294" count="1" selected="0">
            <x v="0"/>
          </reference>
          <reference field="12" count="1" selected="0">
            <x v="1"/>
          </reference>
          <reference field="16" count="1" selected="0">
            <x v="1"/>
          </reference>
        </references>
      </pivotArea>
    </chartFormat>
    <chartFormat chart="11" format="14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6" count="1" selected="0">
            <x v="0"/>
          </reference>
        </references>
      </pivotArea>
    </chartFormat>
    <chartFormat chart="11" format="15">
      <pivotArea type="data" outline="0" fieldPosition="0">
        <references count="3">
          <reference field="4294967294" count="1" selected="0">
            <x v="0"/>
          </reference>
          <reference field="12" count="1" selected="0">
            <x v="2"/>
          </reference>
          <reference field="16" count="1" selected="0">
            <x v="1"/>
          </reference>
        </references>
      </pivotArea>
    </chartFormat>
    <chartFormat chart="11" format="16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6" count="1" selected="0">
            <x v="0"/>
          </reference>
        </references>
      </pivotArea>
    </chartFormat>
    <chartFormat chart="11" format="17">
      <pivotArea type="data" outline="0" fieldPosition="0">
        <references count="3">
          <reference field="4294967294" count="1" selected="0">
            <x v="0"/>
          </reference>
          <reference field="12" count="1" selected="0">
            <x v="3"/>
          </reference>
          <reference field="16" count="1" selected="0">
            <x v="1"/>
          </reference>
        </references>
      </pivotArea>
    </chartFormat>
  </chartFormats>
  <pivotTableStyleInfo name="PivotStyleLight21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DE2989-88A3-45C3-9D0D-B528CE902496}" name="PivotTable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1" rowHeaderCaption="Campaign">
  <location ref="M4:O8" firstHeaderRow="0" firstDataRow="1" firstDataCol="1" rowPageCount="1" colPageCount="1"/>
  <pivotFields count="10">
    <pivotField numFmtId="14" showAll="0"/>
    <pivotField showAll="0"/>
    <pivotField showAll="0"/>
    <pivotField showAll="0"/>
    <pivotField showAll="0"/>
    <pivotField dataField="1" showAll="0"/>
    <pivotField dataField="1" showAll="0"/>
    <pivotField numFmtId="2" showAll="0"/>
    <pivotField axis="axisRow" showAll="0">
      <items count="6">
        <item x="3"/>
        <item x="4"/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1">
    <field x="8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pageFields count="1">
    <pageField fld="9" item="0" hier="-1"/>
  </pageFields>
  <dataFields count="2">
    <dataField name="Average Engagement_Rate" fld="5" subtotal="average" baseField="8" baseItem="0" numFmtId="2"/>
    <dataField name="Average Ad_Spend" fld="6" subtotal="average" baseField="8" baseItem="0" numFmtId="2"/>
  </dataFields>
  <formats count="16">
    <format dxfId="124">
      <pivotArea field="8" type="button" dataOnly="0" labelOnly="1" outline="0" axis="axisRow" fieldPosition="0"/>
    </format>
    <format dxfId="12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2">
      <pivotArea field="8" type="button" dataOnly="0" labelOnly="1" outline="0" axis="axisRow" fieldPosition="0"/>
    </format>
    <format dxfId="121">
      <pivotArea grandRow="1" outline="0" collapsedLevelsAreSubtotals="1" fieldPosition="0"/>
    </format>
    <format dxfId="120">
      <pivotArea dataOnly="0" labelOnly="1" grandRow="1" outline="0" fieldPosition="0"/>
    </format>
    <format dxfId="119">
      <pivotArea type="all" dataOnly="0" outline="0" fieldPosition="0"/>
    </format>
    <format dxfId="118">
      <pivotArea outline="0" collapsedLevelsAreSubtotals="1" fieldPosition="0"/>
    </format>
    <format dxfId="117">
      <pivotArea field="8" type="button" dataOnly="0" labelOnly="1" outline="0" axis="axisRow" fieldPosition="0"/>
    </format>
    <format dxfId="116">
      <pivotArea dataOnly="0" labelOnly="1" fieldPosition="0">
        <references count="1">
          <reference field="8" count="4">
            <x v="0"/>
            <x v="1"/>
            <x v="2"/>
            <x v="3"/>
          </reference>
        </references>
      </pivotArea>
    </format>
    <format dxfId="115">
      <pivotArea dataOnly="0" labelOnly="1" grandRow="1" outline="0" fieldPosition="0"/>
    </format>
    <format dxfId="114">
      <pivotArea outline="0" fieldPosition="0">
        <references count="1">
          <reference field="4294967294" count="1">
            <x v="0"/>
          </reference>
        </references>
      </pivotArea>
    </format>
    <format dxfId="113">
      <pivotArea outline="0" fieldPosition="0">
        <references count="1">
          <reference field="4294967294" count="1">
            <x v="1"/>
          </reference>
        </references>
      </pivotArea>
    </format>
    <format dxfId="112">
      <pivotArea field="8" type="button" dataOnly="0" labelOnly="1" outline="0" axis="axisRow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5">
      <pivotArea field="9" type="button" dataOnly="0" labelOnly="1" outline="0" axis="axisPage" fieldPosition="0"/>
    </format>
    <format dxfId="4">
      <pivotArea dataOnly="0" labelOnly="1" outline="0" fieldPosition="0">
        <references count="1">
          <reference field="9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ADA02-7454-4DD1-97D7-D2AB4F7B1475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Campaign">
  <location ref="R4:S9" firstHeaderRow="1" firstDataRow="1" firstDataCol="1" rowPageCount="1" colPageCount="1"/>
  <pivotFields count="13">
    <pivotField numFmtId="14" showAll="0">
      <items count="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axis="axisRow" showAll="0" sortType="descending">
      <items count="6">
        <item x="3"/>
        <item x="4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showAll="0">
      <items count="3">
        <item x="1"/>
        <item x="0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5">
    <i>
      <x v="2"/>
    </i>
    <i>
      <x v="1"/>
    </i>
    <i>
      <x v="3"/>
    </i>
    <i>
      <x/>
    </i>
    <i t="grand">
      <x/>
    </i>
  </rowItems>
  <colItems count="1">
    <i/>
  </colItems>
  <pageFields count="1">
    <pageField fld="9" item="0" hier="-1"/>
  </pageFields>
  <dataFields count="1">
    <dataField name="Sum of Net follower growth" fld="7" baseField="0" baseItem="0"/>
  </dataFields>
  <formats count="17">
    <format dxfId="139">
      <pivotArea field="8" type="button" dataOnly="0" labelOnly="1" outline="0" axis="axisRow" fieldPosition="0"/>
    </format>
    <format dxfId="138">
      <pivotArea dataOnly="0" labelOnly="1" outline="0" axis="axisValues" fieldPosition="0"/>
    </format>
    <format dxfId="137">
      <pivotArea grandRow="1" outline="0" collapsedLevelsAreSubtotals="1" fieldPosition="0"/>
    </format>
    <format dxfId="136">
      <pivotArea dataOnly="0" labelOnly="1" grandRow="1" outline="0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8" type="button" dataOnly="0" labelOnly="1" outline="0" axis="axisRow" fieldPosition="0"/>
    </format>
    <format dxfId="132">
      <pivotArea dataOnly="0" labelOnly="1" fieldPosition="0">
        <references count="1">
          <reference field="8" count="4">
            <x v="0"/>
            <x v="1"/>
            <x v="2"/>
            <x v="3"/>
          </reference>
        </references>
      </pivotArea>
    </format>
    <format dxfId="131">
      <pivotArea dataOnly="0" labelOnly="1" grandRow="1" outline="0" fieldPosition="0"/>
    </format>
    <format dxfId="130">
      <pivotArea dataOnly="0" labelOnly="1" outline="0" axis="axisValues" fieldPosition="0"/>
    </format>
    <format dxfId="129">
      <pivotArea dataOnly="0" labelOnly="1" outline="0" axis="axisValues" fieldPosition="0"/>
    </format>
    <format dxfId="128">
      <pivotArea field="8" type="button" dataOnly="0" labelOnly="1" outline="0" axis="axisRow" fieldPosition="0"/>
    </format>
    <format dxfId="127">
      <pivotArea dataOnly="0" labelOnly="1" outline="0" axis="axisValues" fieldPosition="0"/>
    </format>
    <format dxfId="126">
      <pivotArea grandRow="1" outline="0" collapsedLevelsAreSubtotals="1" fieldPosition="0"/>
    </format>
    <format dxfId="125">
      <pivotArea dataOnly="0" labelOnly="1" grandRow="1" outline="0" fieldPosition="0"/>
    </format>
    <format dxfId="3">
      <pivotArea field="9" type="button" dataOnly="0" labelOnly="1" outline="0" axis="axisPage" fieldPosition="0"/>
    </format>
    <format dxfId="2">
      <pivotArea dataOnly="0" labelOnly="1" outline="0" fieldPosition="0">
        <references count="1">
          <reference field="9" count="1">
            <x v="0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18DB9793-41DB-4254-AFF7-11527DD61571}" autoFormatId="16" applyNumberFormats="0" applyBorderFormats="0" applyFontFormats="0" applyPatternFormats="0" applyAlignmentFormats="0" applyWidthHeightFormats="0">
  <queryTableRefresh nextId="18" unboundColumnsRight="4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" tableColumnId="12"/>
      <queryTableField id="13" name="Campaign_Name" tableColumnId="13"/>
      <queryTableField id="14" dataBound="0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A69887B-8F13-48C0-B2D1-6A2954DE0684}" autoFormatId="16" applyNumberFormats="0" applyBorderFormats="0" applyFontFormats="0" applyPatternFormats="0" applyAlignmentFormats="0" applyWidthHeightFormats="0">
  <queryTableRefresh nextId="13" unboundColumnsRight="3">
    <queryTableFields count="10">
      <queryTableField id="1" name="Week_Start_Date" tableColumnId="1"/>
      <queryTableField id="2" name="Platform" tableColumnId="2"/>
      <queryTableField id="3" name="New_Followers" tableColumnId="3"/>
      <queryTableField id="4" name="Unfollows" tableColumnId="4"/>
      <queryTableField id="5" name="Total_Followers" tableColumnId="5"/>
      <queryTableField id="6" name="Engagement_Rate" tableColumnId="6"/>
      <queryTableField id="7" name="Ad_Spend" tableColumnId="7"/>
      <queryTableField id="12" dataBound="0" tableColumnId="11"/>
      <queryTableField id="10" dataBound="0" tableColumnId="8"/>
      <queryTableField id="11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ECC203-8F78-4609-AE92-C917C2051AD8}" name="Posts__2" displayName="Posts__2" ref="A1:Q301" tableType="queryTable" totalsRowShown="0">
  <autoFilter ref="A1:Q301" xr:uid="{9CA85776-EDB0-4F04-8E61-2BD2D3F21066}"/>
  <tableColumns count="17">
    <tableColumn id="1" xr3:uid="{76BAD3B3-FEF0-4852-9F13-CD62F03092C1}" uniqueName="1" name="Post ID" queryTableFieldId="1" dataDxfId="21"/>
    <tableColumn id="2" xr3:uid="{6487A46E-29FD-495C-9A02-41BBF9C060C2}" uniqueName="2" name="Platform" queryTableFieldId="2" dataDxfId="20"/>
    <tableColumn id="3" xr3:uid="{4E8DCEF9-5793-4C92-9458-2F3DF23FA579}" uniqueName="3" name="Date" queryTableFieldId="3" dataDxfId="19"/>
    <tableColumn id="4" xr3:uid="{6F567C11-1C09-448D-91C4-7A0F02BE5938}" uniqueName="4" name="Content Type" queryTableFieldId="4" dataDxfId="18"/>
    <tableColumn id="5" xr3:uid="{0BD23672-AD9C-4090-95DA-B58B56088D75}" uniqueName="5" name="Post Text" queryTableFieldId="5" dataDxfId="17"/>
    <tableColumn id="6" xr3:uid="{EE0D4B81-2DA7-4CBE-8A9F-402A0CC97DB2}" uniqueName="6" name="Likes" queryTableFieldId="6"/>
    <tableColumn id="7" xr3:uid="{AE052464-5CBB-4C6A-AE48-03E1FCD17627}" uniqueName="7" name="Shares" queryTableFieldId="7"/>
    <tableColumn id="8" xr3:uid="{02F96400-D3DD-4A51-91E1-351788FF7234}" uniqueName="8" name="Comments" queryTableFieldId="8"/>
    <tableColumn id="9" xr3:uid="{EFA4225D-B0AA-4A43-9DAE-8ECADFF689DF}" uniqueName="9" name="Impressions" queryTableFieldId="9"/>
    <tableColumn id="10" xr3:uid="{B7A8A725-04D2-4F6D-ABA9-99DE652D1B96}" uniqueName="10" name="Reach" queryTableFieldId="10"/>
    <tableColumn id="11" xr3:uid="{FA2D5DE9-962D-49B8-9E3C-C4291309973C}" uniqueName="11" name="Clicks" queryTableFieldId="11"/>
    <tableColumn id="12" xr3:uid="{B7E82B28-A107-4A53-8646-F3B7E68B0175}" uniqueName="12" name="Hashtags Used" queryTableFieldId="12" dataDxfId="16"/>
    <tableColumn id="13" xr3:uid="{D3E04DFD-F42E-4110-A325-AF9C46D9F8B8}" uniqueName="13" name="Campaign_Name" queryTableFieldId="13" dataDxfId="15"/>
    <tableColumn id="14" xr3:uid="{F4297E55-F338-48FB-AAA4-6811315EA555}" uniqueName="14" name="Engagement Rate" queryTableFieldId="14" dataDxfId="14">
      <calculatedColumnFormula>(  Posts__2[[#This Row],[Likes]]+Posts__2[[#This Row],[Comments]]+Posts__2[[#This Row],[Shares]] ) / Posts__2[[#This Row],[Impressions]]</calculatedColumnFormula>
    </tableColumn>
    <tableColumn id="15" xr3:uid="{77A5C72B-52EC-472F-B489-6FCCB97F2699}" uniqueName="15" name="Campaign start date" queryTableFieldId="15" dataDxfId="13">
      <calculatedColumnFormula>_xlfn.XLOOKUP(Posts__2[[#This Row],[Campaign_Name]],'Campaign Metadata'!A:A,'Campaign Metadata'!B:B)</calculatedColumnFormula>
    </tableColumn>
    <tableColumn id="16" xr3:uid="{77D236FE-DB8F-4171-B86F-83AA04D1AE93}" uniqueName="16" name="Campaign end date" queryTableFieldId="16" dataDxfId="12">
      <calculatedColumnFormula>_xlfn.XLOOKUP(Posts__2[[#This Row],[Campaign_Name]],'Campaign Metadata'!A:A,'Campaign Metadata'!C:C)</calculatedColumnFormula>
    </tableColumn>
    <tableColumn id="17" xr3:uid="{65837777-82B7-4054-9E6A-658A19BD1F80}" uniqueName="17" name="Campaign status" queryTableFieldId="17" dataDxfId="11">
      <calculatedColumnFormula>IF(AND(Posts__2[[#This Row],[Date]]&gt;=Posts__2[[#This Row],[Campaign start date]],Posts__2[[#This Row],[Date]]&lt;=Posts__2[[#This Row],[Campaign end date]]),"During","Before")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88440D4-5069-465F-A48D-C1AE6C46511E}" name="Engagement_Summary68" displayName="Engagement_Summary68" ref="A1:J201" tableType="queryTable" totalsRowShown="0">
  <autoFilter ref="A1:J201" xr:uid="{03962E43-3208-4A69-BA0D-5F0BD528EF2D}"/>
  <tableColumns count="10">
    <tableColumn id="1" xr3:uid="{2B813D28-4CD2-4CE0-87D5-5E13D51E5AA5}" uniqueName="1" name="Week_Start_Date" queryTableFieldId="1" dataDxfId="10"/>
    <tableColumn id="2" xr3:uid="{CFA2D238-5268-442F-AC25-AFAA17F6141B}" uniqueName="2" name="Platform" queryTableFieldId="2" dataDxfId="9"/>
    <tableColumn id="3" xr3:uid="{1770D843-2C83-4C9E-B6BD-D87E55EB4A7E}" uniqueName="3" name="New_Followers" queryTableFieldId="3"/>
    <tableColumn id="4" xr3:uid="{6388DA08-17A2-4C3B-943F-4B04EEE69221}" uniqueName="4" name="Unfollows" queryTableFieldId="4"/>
    <tableColumn id="5" xr3:uid="{DB321C71-55D4-494A-B291-0A070C7D0F99}" uniqueName="5" name="Total_Followers" queryTableFieldId="5"/>
    <tableColumn id="6" xr3:uid="{3F2D24DF-82E1-4065-B230-78AF654D1CD6}" uniqueName="6" name="Engagement_Rate" queryTableFieldId="6"/>
    <tableColumn id="7" xr3:uid="{338D3651-5566-4A3D-AAF2-6BB9B311B15D}" uniqueName="7" name="Ad_Spend" queryTableFieldId="7"/>
    <tableColumn id="11" xr3:uid="{BF36202F-B2D4-48BD-9FD1-E7231A7BFB7E}" uniqueName="11" name="Net follower growth" queryTableFieldId="12" dataDxfId="8">
      <calculatedColumnFormula>Engagement_Summary68[[#This Row],[New_Followers]]-Engagement_Summary68[[#This Row],[Unfollows]]</calculatedColumnFormula>
    </tableColumn>
    <tableColumn id="8" xr3:uid="{C4E070BD-A551-4778-A006-3FCBE19EEAA7}" uniqueName="8" name="Campaign name" queryTableFieldId="10" dataDxfId="7"/>
    <tableColumn id="10" xr3:uid="{8803C02A-A5C4-4FA1-A1FF-D48C33852A4D}" uniqueName="10" name="Campaign status" queryTableFieldId="11" dataDxfId="6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0C7C6-F1DD-4021-BD3D-4F5CF214AED7}">
  <dimension ref="A1:S16"/>
  <sheetViews>
    <sheetView tabSelected="1" zoomScaleNormal="100" workbookViewId="0">
      <selection activeCell="O1" sqref="O1:P2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18.5546875" bestFit="1" customWidth="1"/>
    <col min="4" max="4" width="9.77734375" bestFit="1" customWidth="1"/>
    <col min="5" max="5" width="12.44140625" bestFit="1" customWidth="1"/>
    <col min="6" max="6" width="10.33203125" bestFit="1" customWidth="1"/>
    <col min="7" max="7" width="13.109375" bestFit="1" customWidth="1"/>
    <col min="9" max="9" width="14.77734375" bestFit="1" customWidth="1"/>
    <col min="10" max="10" width="25.77734375" bestFit="1" customWidth="1"/>
    <col min="11" max="11" width="20.109375" bestFit="1" customWidth="1"/>
    <col min="12" max="12" width="16.33203125" customWidth="1"/>
    <col min="13" max="13" width="14.44140625" bestFit="1" customWidth="1"/>
    <col min="14" max="14" width="24" bestFit="1" customWidth="1"/>
    <col min="15" max="15" width="17.21875" bestFit="1" customWidth="1"/>
    <col min="16" max="16" width="12" bestFit="1" customWidth="1"/>
    <col min="17" max="17" width="12.77734375" customWidth="1"/>
    <col min="18" max="18" width="14.44140625" bestFit="1" customWidth="1"/>
    <col min="19" max="19" width="26.77734375" customWidth="1"/>
    <col min="20" max="20" width="12" bestFit="1" customWidth="1"/>
    <col min="21" max="21" width="10.33203125" bestFit="1" customWidth="1"/>
    <col min="22" max="23" width="12" bestFit="1" customWidth="1"/>
    <col min="24" max="25" width="10.33203125" bestFit="1" customWidth="1"/>
    <col min="26" max="34" width="12" bestFit="1" customWidth="1"/>
    <col min="35" max="36" width="10.33203125" bestFit="1" customWidth="1"/>
    <col min="37" max="40" width="12" bestFit="1" customWidth="1"/>
    <col min="41" max="41" width="10.33203125" bestFit="1" customWidth="1"/>
    <col min="42" max="42" width="12" bestFit="1" customWidth="1"/>
    <col min="43" max="43" width="10.33203125" bestFit="1" customWidth="1"/>
    <col min="44" max="46" width="12" bestFit="1" customWidth="1"/>
    <col min="47" max="47" width="10.33203125" bestFit="1" customWidth="1"/>
    <col min="48" max="48" width="12" bestFit="1" customWidth="1"/>
    <col min="49" max="49" width="10.33203125" bestFit="1" customWidth="1"/>
    <col min="50" max="50" width="12" bestFit="1" customWidth="1"/>
    <col min="51" max="51" width="10.33203125" bestFit="1" customWidth="1"/>
    <col min="52" max="58" width="12" bestFit="1" customWidth="1"/>
    <col min="59" max="59" width="10.33203125" bestFit="1" customWidth="1"/>
    <col min="60" max="61" width="12" bestFit="1" customWidth="1"/>
    <col min="62" max="64" width="10.33203125" bestFit="1" customWidth="1"/>
    <col min="65" max="67" width="12" bestFit="1" customWidth="1"/>
    <col min="68" max="70" width="10.33203125" bestFit="1" customWidth="1"/>
    <col min="71" max="73" width="12" bestFit="1" customWidth="1"/>
    <col min="74" max="74" width="10.33203125" bestFit="1" customWidth="1"/>
    <col min="75" max="75" width="12" bestFit="1" customWidth="1"/>
    <col min="76" max="76" width="10.33203125" bestFit="1" customWidth="1"/>
    <col min="77" max="77" width="12" bestFit="1" customWidth="1"/>
    <col min="78" max="80" width="10.33203125" bestFit="1" customWidth="1"/>
    <col min="81" max="81" width="12" bestFit="1" customWidth="1"/>
    <col min="82" max="82" width="10.33203125" bestFit="1" customWidth="1"/>
    <col min="83" max="83" width="12" bestFit="1" customWidth="1"/>
    <col min="84" max="84" width="10.33203125" bestFit="1" customWidth="1"/>
    <col min="85" max="85" width="12" bestFit="1" customWidth="1"/>
  </cols>
  <sheetData>
    <row r="1" spans="1:19" ht="28.2" customHeight="1" x14ac:dyDescent="0.3">
      <c r="C1" s="31" t="s">
        <v>393</v>
      </c>
      <c r="D1" s="32"/>
      <c r="E1" s="32"/>
      <c r="F1" s="32"/>
      <c r="G1" s="32"/>
      <c r="H1" s="32"/>
      <c r="I1" s="32"/>
    </row>
    <row r="2" spans="1:19" x14ac:dyDescent="0.3">
      <c r="M2" s="36" t="s">
        <v>0</v>
      </c>
      <c r="N2" s="36" t="s">
        <v>1</v>
      </c>
      <c r="R2" s="37" t="s">
        <v>0</v>
      </c>
      <c r="S2" s="37" t="s">
        <v>1</v>
      </c>
    </row>
    <row r="3" spans="1:19" x14ac:dyDescent="0.3">
      <c r="A3" s="33" t="s">
        <v>2</v>
      </c>
      <c r="B3" s="33"/>
      <c r="C3" s="33"/>
      <c r="D3" s="33"/>
      <c r="E3" s="33"/>
      <c r="F3" s="33"/>
      <c r="G3" s="33"/>
      <c r="I3" s="34" t="s">
        <v>26</v>
      </c>
      <c r="J3" s="34"/>
      <c r="K3" s="34"/>
      <c r="M3" s="34" t="s">
        <v>3</v>
      </c>
      <c r="N3" s="34"/>
      <c r="O3" s="34"/>
      <c r="P3" s="34"/>
      <c r="Q3" s="2"/>
      <c r="R3" s="34" t="s">
        <v>4</v>
      </c>
      <c r="S3" s="35"/>
    </row>
    <row r="4" spans="1:19" x14ac:dyDescent="0.3">
      <c r="A4" s="20" t="s">
        <v>5</v>
      </c>
      <c r="B4" s="20" t="s">
        <v>6</v>
      </c>
      <c r="C4" s="20" t="s">
        <v>7</v>
      </c>
      <c r="D4" s="20" t="s">
        <v>8</v>
      </c>
      <c r="E4" s="20" t="s">
        <v>9</v>
      </c>
      <c r="F4" s="20" t="s">
        <v>10</v>
      </c>
      <c r="G4" s="20" t="s">
        <v>11</v>
      </c>
      <c r="I4" s="20" t="s">
        <v>12</v>
      </c>
      <c r="J4" s="20" t="s">
        <v>13</v>
      </c>
      <c r="K4" s="23" t="s">
        <v>14</v>
      </c>
      <c r="L4" s="3"/>
      <c r="M4" s="20" t="s">
        <v>12</v>
      </c>
      <c r="N4" s="20" t="s">
        <v>15</v>
      </c>
      <c r="O4" s="20" t="s">
        <v>16</v>
      </c>
      <c r="P4" s="23" t="s">
        <v>17</v>
      </c>
      <c r="Q4" s="4"/>
      <c r="R4" s="20" t="s">
        <v>12</v>
      </c>
      <c r="S4" s="24" t="s">
        <v>18</v>
      </c>
    </row>
    <row r="5" spans="1:19" x14ac:dyDescent="0.3">
      <c r="A5" s="5" t="s">
        <v>19</v>
      </c>
      <c r="B5" s="1">
        <v>6331868</v>
      </c>
      <c r="C5" s="6">
        <v>41116.025974025972</v>
      </c>
      <c r="D5" s="1">
        <v>471034</v>
      </c>
      <c r="E5" s="6">
        <v>3058.6623376623374</v>
      </c>
      <c r="F5" s="1">
        <v>28708</v>
      </c>
      <c r="G5" s="6">
        <v>186.41558441558442</v>
      </c>
      <c r="I5" s="7" t="s">
        <v>19</v>
      </c>
      <c r="J5" s="8"/>
      <c r="K5" s="6">
        <f>((GETPIVOTDATA("Engagement Rate",$I$4,"Campaign_Name","ChillVibes","Campaign status","During")-GETPIVOTDATA("Engagement Rate",$I$4,"Campaign_Name","ChillVibes","Campaign status","Before")) / GETPIVOTDATA("Engagement Rate",$I$4,"Campaign_Name","ChillVibes","Campaign status","Before")) * 100</f>
        <v>28.705719467248787</v>
      </c>
      <c r="L5" s="9"/>
      <c r="M5" s="5" t="s">
        <v>19</v>
      </c>
      <c r="N5" s="6">
        <v>6.2493333333333352</v>
      </c>
      <c r="O5" s="6">
        <v>13430.666666666666</v>
      </c>
      <c r="P5" s="10">
        <f>( GETPIVOTDATA("Average Engagement_Rate",$M$4,"Campaign name","ChillVibes") / GETPIVOTDATA("Average Ad_Spend",$M$4,"Campaign name","ChillVibes") ) * 100</f>
        <v>4.6530328601211174E-2</v>
      </c>
      <c r="Q5" s="11"/>
      <c r="R5" s="5" t="s">
        <v>20</v>
      </c>
      <c r="S5" s="1">
        <v>13558</v>
      </c>
    </row>
    <row r="6" spans="1:19" x14ac:dyDescent="0.3">
      <c r="A6" s="5" t="s">
        <v>21</v>
      </c>
      <c r="B6" s="1">
        <v>4039305</v>
      </c>
      <c r="C6" s="6">
        <v>42971.329787234041</v>
      </c>
      <c r="D6" s="1">
        <v>274455</v>
      </c>
      <c r="E6" s="6">
        <v>2919.7340425531916</v>
      </c>
      <c r="F6" s="1">
        <v>18717</v>
      </c>
      <c r="G6" s="6">
        <v>199.11702127659575</v>
      </c>
      <c r="I6" s="12" t="s">
        <v>22</v>
      </c>
      <c r="J6" s="8">
        <v>9.3905541607170212E-2</v>
      </c>
      <c r="K6" s="6"/>
      <c r="L6" s="9"/>
      <c r="M6" s="5" t="s">
        <v>23</v>
      </c>
      <c r="N6" s="6">
        <v>6.9173333333333327</v>
      </c>
      <c r="O6" s="6">
        <v>16422</v>
      </c>
      <c r="P6" s="10">
        <f>(GETPIVOTDATA("Average Engagement_Rate",$M$4,"Campaign name","IndieWaves") / GETPIVOTDATA("Average Ad_Spend",$M$4,"Campaign name","IndieWaves")) * 100</f>
        <v>4.212235618885235E-2</v>
      </c>
      <c r="Q6" s="11"/>
      <c r="R6" s="5" t="s">
        <v>23</v>
      </c>
      <c r="S6" s="1">
        <v>12726</v>
      </c>
    </row>
    <row r="7" spans="1:19" x14ac:dyDescent="0.3">
      <c r="A7" s="5" t="s">
        <v>20</v>
      </c>
      <c r="B7" s="1">
        <v>1233853</v>
      </c>
      <c r="C7" s="6">
        <v>42546.65517241379</v>
      </c>
      <c r="D7" s="1">
        <v>89871</v>
      </c>
      <c r="E7" s="6">
        <v>3099</v>
      </c>
      <c r="F7" s="1">
        <v>5557</v>
      </c>
      <c r="G7" s="6">
        <v>191.62068965517241</v>
      </c>
      <c r="I7" s="12" t="s">
        <v>1</v>
      </c>
      <c r="J7" s="8">
        <v>0.12086180294512508</v>
      </c>
      <c r="K7" s="1"/>
      <c r="L7" s="9"/>
      <c r="M7" s="5" t="s">
        <v>20</v>
      </c>
      <c r="N7" s="6">
        <v>7.1393333333333322</v>
      </c>
      <c r="O7" s="6">
        <v>16849.400000000001</v>
      </c>
      <c r="P7" s="10">
        <f>( GETPIVOTDATA("Average Engagement_Rate",$M$4,"Campaign name","SummerBeats") / GETPIVOTDATA("Average Ad_Spend",$M$4,"Campaign name","SummerBeats")) * 100</f>
        <v>4.237143953691723E-2</v>
      </c>
      <c r="Q7" s="11"/>
      <c r="R7" s="5" t="s">
        <v>24</v>
      </c>
      <c r="S7" s="1">
        <v>11361</v>
      </c>
    </row>
    <row r="8" spans="1:19" x14ac:dyDescent="0.3">
      <c r="A8" s="5" t="s">
        <v>24</v>
      </c>
      <c r="B8" s="1">
        <v>865406</v>
      </c>
      <c r="C8" s="6">
        <v>37626.34782608696</v>
      </c>
      <c r="D8" s="1">
        <v>61815</v>
      </c>
      <c r="E8" s="6">
        <v>2687.608695652174</v>
      </c>
      <c r="F8" s="1">
        <v>4614</v>
      </c>
      <c r="G8" s="6">
        <v>200.60869565217391</v>
      </c>
      <c r="I8" s="7" t="s">
        <v>21</v>
      </c>
      <c r="J8" s="13"/>
      <c r="K8" s="6">
        <f>((GETPIVOTDATA("Engagement Rate",$I$4,"Campaign_Name","IndieWave","Campaign status","During")-GETPIVOTDATA("Engagement Rate",$I$4,"Campaign_Name","IndieWave","Campaign status","Before")) / GETPIVOTDATA("Engagement Rate",$I$4,"Campaign_Name","IndieWave","Campaign status","Before")) * 100</f>
        <v>28.290476019525645</v>
      </c>
      <c r="L8" s="9"/>
      <c r="M8" s="5" t="s">
        <v>24</v>
      </c>
      <c r="N8" s="6">
        <v>6.110666666666666</v>
      </c>
      <c r="O8" s="6">
        <v>16255.133333333333</v>
      </c>
      <c r="P8" s="10">
        <f>(GETPIVOTDATA("Average Engagement_Rate",$M$4,"Campaign name","Wrapped2024") / GETPIVOTDATA("Average Ad_Spend",$M$4,"Campaign name","Wrapped2024")) * 100</f>
        <v>3.7592227275896437E-2</v>
      </c>
      <c r="Q8" s="11"/>
      <c r="R8" s="5" t="s">
        <v>19</v>
      </c>
      <c r="S8" s="1">
        <v>10142</v>
      </c>
    </row>
    <row r="9" spans="1:19" x14ac:dyDescent="0.3">
      <c r="A9" s="21" t="s">
        <v>25</v>
      </c>
      <c r="B9" s="20">
        <v>12470432</v>
      </c>
      <c r="C9" s="22">
        <v>41568.106666666667</v>
      </c>
      <c r="D9" s="20">
        <v>897175</v>
      </c>
      <c r="E9" s="22">
        <v>2990.5833333333335</v>
      </c>
      <c r="F9" s="20">
        <v>57596</v>
      </c>
      <c r="G9" s="22">
        <v>191.98666666666668</v>
      </c>
      <c r="I9" s="12" t="s">
        <v>22</v>
      </c>
      <c r="J9" s="8">
        <v>8.6490217706148384E-2</v>
      </c>
      <c r="K9" s="1"/>
      <c r="R9" s="21" t="s">
        <v>25</v>
      </c>
      <c r="S9" s="20">
        <v>47787</v>
      </c>
    </row>
    <row r="10" spans="1:19" x14ac:dyDescent="0.3">
      <c r="I10" s="12" t="s">
        <v>1</v>
      </c>
      <c r="J10" s="8">
        <v>0.11095871200554182</v>
      </c>
      <c r="K10" s="1"/>
    </row>
    <row r="11" spans="1:19" x14ac:dyDescent="0.3">
      <c r="I11" s="7" t="s">
        <v>20</v>
      </c>
      <c r="J11" s="13"/>
      <c r="K11" s="6">
        <f>((GETPIVOTDATA("Engagement Rate",$I$4,"Campaign_Name","SummerBeats","Campaign status","During")-GETPIVOTDATA("Engagement Rate",$I$4,"Campaign_Name","SummerBeats","Campaign status","Before")) / GETPIVOTDATA("Engagement Rate",$I$4,"Campaign_Name","SummerBeats","Campaign status","Before")) * 100</f>
        <v>-13.617199689826464</v>
      </c>
    </row>
    <row r="12" spans="1:19" x14ac:dyDescent="0.3">
      <c r="I12" s="12" t="s">
        <v>22</v>
      </c>
      <c r="J12" s="8">
        <v>9.0961113010810765E-2</v>
      </c>
      <c r="K12" s="1"/>
    </row>
    <row r="13" spans="1:19" x14ac:dyDescent="0.3">
      <c r="I13" s="12" t="s">
        <v>1</v>
      </c>
      <c r="J13" s="8">
        <v>7.8574756612039942E-2</v>
      </c>
      <c r="K13" s="1"/>
    </row>
    <row r="14" spans="1:19" x14ac:dyDescent="0.3">
      <c r="I14" s="7" t="s">
        <v>24</v>
      </c>
      <c r="J14" s="13"/>
      <c r="K14" s="6">
        <f>((GETPIVOTDATA("Engagement Rate",$I$4,"Campaign_Name","Wrapped2024","Campaign Status","During")-GETPIVOTDATA("Engagement Rate",$I$4,"Campaign_Name","Wrapped2024","Campaign Status","Before")) / GETPIVOTDATA("Engagement Rate",$I$4,"Campaign_Name","Wrapped2024","Campaign Status","Before") ) * 100</f>
        <v>0.10990207457978401</v>
      </c>
    </row>
    <row r="15" spans="1:19" x14ac:dyDescent="0.3">
      <c r="I15" s="12" t="s">
        <v>22</v>
      </c>
      <c r="J15" s="8">
        <v>9.5499996878411195E-2</v>
      </c>
      <c r="K15" s="1"/>
    </row>
    <row r="16" spans="1:19" x14ac:dyDescent="0.3">
      <c r="I16" s="12" t="s">
        <v>1</v>
      </c>
      <c r="J16" s="8">
        <v>9.5604953356204198E-2</v>
      </c>
      <c r="K16" s="1"/>
    </row>
  </sheetData>
  <mergeCells count="5">
    <mergeCell ref="C1:I1"/>
    <mergeCell ref="A3:G3"/>
    <mergeCell ref="I3:K3"/>
    <mergeCell ref="M3:P3"/>
    <mergeCell ref="R3:S3"/>
  </mergeCells>
  <pageMargins left="0.7" right="0.7" top="0.75" bottom="0.75" header="0.3" footer="0.3"/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20C57-FF52-4167-87BC-0617E612DA7E}">
  <dimension ref="A1:Q301"/>
  <sheetViews>
    <sheetView topLeftCell="F1" workbookViewId="0">
      <selection activeCell="Q2" sqref="Q2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6.77734375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32" bestFit="1" customWidth="1"/>
    <col min="13" max="13" width="17.77734375" bestFit="1" customWidth="1"/>
    <col min="14" max="14" width="17.88671875" customWidth="1"/>
    <col min="15" max="15" width="20.33203125" style="14" bestFit="1" customWidth="1"/>
    <col min="16" max="16" width="19.77734375" style="14" bestFit="1" customWidth="1"/>
    <col min="17" max="17" width="17.21875" bestFit="1" customWidth="1"/>
    <col min="19" max="19" width="14.77734375" bestFit="1" customWidth="1"/>
    <col min="20" max="20" width="25.77734375" bestFit="1" customWidth="1"/>
    <col min="21" max="21" width="15.77734375" bestFit="1" customWidth="1"/>
    <col min="22" max="22" width="17.6640625" bestFit="1" customWidth="1"/>
    <col min="23" max="23" width="21.88671875" bestFit="1" customWidth="1"/>
    <col min="24" max="24" width="12.109375" bestFit="1" customWidth="1"/>
    <col min="25" max="25" width="16.33203125" bestFit="1" customWidth="1"/>
  </cols>
  <sheetData>
    <row r="1" spans="1:17" x14ac:dyDescent="0.3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  <c r="M1" t="s">
        <v>39</v>
      </c>
      <c r="N1" t="s">
        <v>40</v>
      </c>
      <c r="O1" s="14" t="s">
        <v>392</v>
      </c>
      <c r="P1" s="14" t="s">
        <v>391</v>
      </c>
      <c r="Q1" t="s">
        <v>0</v>
      </c>
    </row>
    <row r="2" spans="1:17" x14ac:dyDescent="0.3">
      <c r="A2" t="s">
        <v>41</v>
      </c>
      <c r="B2" t="s">
        <v>42</v>
      </c>
      <c r="C2" s="14">
        <v>45781</v>
      </c>
      <c r="D2" t="s">
        <v>43</v>
      </c>
      <c r="E2" t="s">
        <v>44</v>
      </c>
      <c r="F2">
        <v>2414</v>
      </c>
      <c r="G2">
        <v>245</v>
      </c>
      <c r="H2">
        <v>137</v>
      </c>
      <c r="I2">
        <v>21181</v>
      </c>
      <c r="J2">
        <v>45292</v>
      </c>
      <c r="K2">
        <v>133</v>
      </c>
      <c r="L2" t="s">
        <v>45</v>
      </c>
      <c r="M2" t="s">
        <v>19</v>
      </c>
      <c r="N2">
        <f>(  Posts__2[[#This Row],[Likes]]+Posts__2[[#This Row],[Comments]]+Posts__2[[#This Row],[Shares]] ) / Posts__2[[#This Row],[Impressions]]</f>
        <v>0.13200509890939993</v>
      </c>
      <c r="O2" s="14">
        <f>_xlfn.XLOOKUP(Posts__2[[#This Row],[Campaign_Name]],'Campaign Metadata'!A:A,'Campaign Metadata'!B:B)</f>
        <v>45667</v>
      </c>
      <c r="P2" s="14">
        <f>_xlfn.XLOOKUP(Posts__2[[#This Row],[Campaign_Name]],'Campaign Metadata'!A:A,'Campaign Metadata'!C:C)</f>
        <v>45698</v>
      </c>
      <c r="Q2" t="str">
        <f>IF(AND(Posts__2[[#This Row],[Date]]&gt;=Posts__2[[#This Row],[Campaign start date]],Posts__2[[#This Row],[Date]]&lt;=Posts__2[[#This Row],[Campaign end date]]),"During","Before")</f>
        <v>Before</v>
      </c>
    </row>
    <row r="3" spans="1:17" x14ac:dyDescent="0.3">
      <c r="A3" t="s">
        <v>46</v>
      </c>
      <c r="B3" t="s">
        <v>42</v>
      </c>
      <c r="C3" s="14">
        <v>45689</v>
      </c>
      <c r="D3" t="s">
        <v>43</v>
      </c>
      <c r="E3" t="s">
        <v>47</v>
      </c>
      <c r="F3">
        <v>1934</v>
      </c>
      <c r="G3">
        <v>210</v>
      </c>
      <c r="H3">
        <v>393</v>
      </c>
      <c r="I3">
        <v>29129</v>
      </c>
      <c r="J3">
        <v>73287</v>
      </c>
      <c r="K3">
        <v>273</v>
      </c>
      <c r="L3" t="s">
        <v>48</v>
      </c>
      <c r="M3" t="s">
        <v>21</v>
      </c>
      <c r="N3">
        <f>(  Posts__2[[#This Row],[Likes]]+Posts__2[[#This Row],[Comments]]+Posts__2[[#This Row],[Shares]] ) / Posts__2[[#This Row],[Impressions]]</f>
        <v>8.7095334546328396E-2</v>
      </c>
      <c r="O3" s="14">
        <f>_xlfn.XLOOKUP(Posts__2[[#This Row],[Campaign_Name]],'Campaign Metadata'!A:A,'Campaign Metadata'!B:B)</f>
        <v>45717</v>
      </c>
      <c r="P3" s="14">
        <f>_xlfn.XLOOKUP(Posts__2[[#This Row],[Campaign_Name]],'Campaign Metadata'!A:A,'Campaign Metadata'!C:C)</f>
        <v>45747</v>
      </c>
      <c r="Q3" t="str">
        <f>IF(AND(Posts__2[[#This Row],[Date]]&gt;=Posts__2[[#This Row],[Campaign start date]],Posts__2[[#This Row],[Date]]&lt;=Posts__2[[#This Row],[Campaign end date]]),"During","Before")</f>
        <v>Before</v>
      </c>
    </row>
    <row r="4" spans="1:17" x14ac:dyDescent="0.3">
      <c r="A4" t="s">
        <v>49</v>
      </c>
      <c r="B4" t="s">
        <v>50</v>
      </c>
      <c r="C4" s="14">
        <v>45629</v>
      </c>
      <c r="D4" t="s">
        <v>51</v>
      </c>
      <c r="E4" t="s">
        <v>52</v>
      </c>
      <c r="F4">
        <v>3092</v>
      </c>
      <c r="G4">
        <v>177</v>
      </c>
      <c r="H4">
        <v>81</v>
      </c>
      <c r="I4">
        <v>47533</v>
      </c>
      <c r="J4">
        <v>29220</v>
      </c>
      <c r="K4">
        <v>121</v>
      </c>
      <c r="L4" t="s">
        <v>53</v>
      </c>
      <c r="M4" t="s">
        <v>19</v>
      </c>
      <c r="N4">
        <f>(  Posts__2[[#This Row],[Likes]]+Posts__2[[#This Row],[Comments]]+Posts__2[[#This Row],[Shares]] ) / Posts__2[[#This Row],[Impressions]]</f>
        <v>7.0477352576105018E-2</v>
      </c>
      <c r="O4" s="14">
        <f>_xlfn.XLOOKUP(Posts__2[[#This Row],[Campaign_Name]],'Campaign Metadata'!A:A,'Campaign Metadata'!B:B)</f>
        <v>45667</v>
      </c>
      <c r="P4" s="14">
        <f>_xlfn.XLOOKUP(Posts__2[[#This Row],[Campaign_Name]],'Campaign Metadata'!A:A,'Campaign Metadata'!C:C)</f>
        <v>45698</v>
      </c>
      <c r="Q4" t="str">
        <f>IF(AND(Posts__2[[#This Row],[Date]]&gt;=Posts__2[[#This Row],[Campaign start date]],Posts__2[[#This Row],[Date]]&lt;=Posts__2[[#This Row],[Campaign end date]]),"During","Before")</f>
        <v>Before</v>
      </c>
    </row>
    <row r="5" spans="1:17" x14ac:dyDescent="0.3">
      <c r="A5" t="s">
        <v>54</v>
      </c>
      <c r="B5" t="s">
        <v>42</v>
      </c>
      <c r="C5" s="14">
        <v>45629</v>
      </c>
      <c r="D5" t="s">
        <v>43</v>
      </c>
      <c r="E5" t="s">
        <v>55</v>
      </c>
      <c r="F5">
        <v>3173</v>
      </c>
      <c r="G5">
        <v>229</v>
      </c>
      <c r="H5">
        <v>197</v>
      </c>
      <c r="I5">
        <v>29604</v>
      </c>
      <c r="J5">
        <v>21809</v>
      </c>
      <c r="K5">
        <v>272</v>
      </c>
      <c r="L5" t="s">
        <v>45</v>
      </c>
      <c r="M5" t="s">
        <v>19</v>
      </c>
      <c r="N5">
        <f>(  Posts__2[[#This Row],[Likes]]+Posts__2[[#This Row],[Comments]]+Posts__2[[#This Row],[Shares]] ) / Posts__2[[#This Row],[Impressions]]</f>
        <v>0.1215714092690177</v>
      </c>
      <c r="O5" s="14">
        <f>_xlfn.XLOOKUP(Posts__2[[#This Row],[Campaign_Name]],'Campaign Metadata'!A:A,'Campaign Metadata'!B:B)</f>
        <v>45667</v>
      </c>
      <c r="P5" s="14">
        <f>_xlfn.XLOOKUP(Posts__2[[#This Row],[Campaign_Name]],'Campaign Metadata'!A:A,'Campaign Metadata'!C:C)</f>
        <v>45698</v>
      </c>
      <c r="Q5" t="str">
        <f>IF(AND(Posts__2[[#This Row],[Date]]&gt;=Posts__2[[#This Row],[Campaign start date]],Posts__2[[#This Row],[Date]]&lt;=Posts__2[[#This Row],[Campaign end date]]),"During","Before")</f>
        <v>Before</v>
      </c>
    </row>
    <row r="6" spans="1:17" x14ac:dyDescent="0.3">
      <c r="A6" t="s">
        <v>56</v>
      </c>
      <c r="B6" t="s">
        <v>57</v>
      </c>
      <c r="C6" s="14">
        <v>45388</v>
      </c>
      <c r="D6" t="s">
        <v>43</v>
      </c>
      <c r="E6" t="s">
        <v>58</v>
      </c>
      <c r="F6">
        <v>2748</v>
      </c>
      <c r="G6">
        <v>145</v>
      </c>
      <c r="H6">
        <v>315</v>
      </c>
      <c r="I6">
        <v>24401</v>
      </c>
      <c r="J6">
        <v>61182</v>
      </c>
      <c r="K6">
        <v>200</v>
      </c>
      <c r="L6" t="s">
        <v>59</v>
      </c>
      <c r="M6" t="s">
        <v>21</v>
      </c>
      <c r="N6">
        <f>(  Posts__2[[#This Row],[Likes]]+Posts__2[[#This Row],[Comments]]+Posts__2[[#This Row],[Shares]] ) / Posts__2[[#This Row],[Impressions]]</f>
        <v>0.1314700217204213</v>
      </c>
      <c r="O6" s="14">
        <f>_xlfn.XLOOKUP(Posts__2[[#This Row],[Campaign_Name]],'Campaign Metadata'!A:A,'Campaign Metadata'!B:B)</f>
        <v>45717</v>
      </c>
      <c r="P6" s="14">
        <f>_xlfn.XLOOKUP(Posts__2[[#This Row],[Campaign_Name]],'Campaign Metadata'!A:A,'Campaign Metadata'!C:C)</f>
        <v>45747</v>
      </c>
      <c r="Q6" t="str">
        <f>IF(AND(Posts__2[[#This Row],[Date]]&gt;=Posts__2[[#This Row],[Campaign start date]],Posts__2[[#This Row],[Date]]&lt;=Posts__2[[#This Row],[Campaign end date]]),"During","Before")</f>
        <v>Before</v>
      </c>
    </row>
    <row r="7" spans="1:17" x14ac:dyDescent="0.3">
      <c r="A7" t="s">
        <v>60</v>
      </c>
      <c r="B7" t="s">
        <v>57</v>
      </c>
      <c r="C7" s="14">
        <v>45456</v>
      </c>
      <c r="D7" t="s">
        <v>43</v>
      </c>
      <c r="E7" t="s">
        <v>61</v>
      </c>
      <c r="F7">
        <v>3882</v>
      </c>
      <c r="G7">
        <v>239</v>
      </c>
      <c r="H7">
        <v>275</v>
      </c>
      <c r="I7">
        <v>58748</v>
      </c>
      <c r="J7">
        <v>44646</v>
      </c>
      <c r="K7">
        <v>149</v>
      </c>
      <c r="L7" t="s">
        <v>59</v>
      </c>
      <c r="M7" t="s">
        <v>21</v>
      </c>
      <c r="N7">
        <f>(  Posts__2[[#This Row],[Likes]]+Posts__2[[#This Row],[Comments]]+Posts__2[[#This Row],[Shares]] ) / Posts__2[[#This Row],[Impressions]]</f>
        <v>7.4828079253761837E-2</v>
      </c>
      <c r="O7" s="14">
        <f>_xlfn.XLOOKUP(Posts__2[[#This Row],[Campaign_Name]],'Campaign Metadata'!A:A,'Campaign Metadata'!B:B)</f>
        <v>45717</v>
      </c>
      <c r="P7" s="14">
        <f>_xlfn.XLOOKUP(Posts__2[[#This Row],[Campaign_Name]],'Campaign Metadata'!A:A,'Campaign Metadata'!C:C)</f>
        <v>45747</v>
      </c>
      <c r="Q7" t="str">
        <f>IF(AND(Posts__2[[#This Row],[Date]]&gt;=Posts__2[[#This Row],[Campaign start date]],Posts__2[[#This Row],[Date]]&lt;=Posts__2[[#This Row],[Campaign end date]]),"During","Before")</f>
        <v>Before</v>
      </c>
    </row>
    <row r="8" spans="1:17" x14ac:dyDescent="0.3">
      <c r="A8" t="s">
        <v>62</v>
      </c>
      <c r="B8" t="s">
        <v>50</v>
      </c>
      <c r="C8" s="14">
        <v>45645</v>
      </c>
      <c r="D8" t="s">
        <v>51</v>
      </c>
      <c r="E8" t="s">
        <v>63</v>
      </c>
      <c r="F8">
        <v>4674</v>
      </c>
      <c r="G8">
        <v>409</v>
      </c>
      <c r="H8">
        <v>327</v>
      </c>
      <c r="I8">
        <v>20756</v>
      </c>
      <c r="J8">
        <v>63599</v>
      </c>
      <c r="K8">
        <v>212</v>
      </c>
      <c r="L8" t="s">
        <v>45</v>
      </c>
      <c r="M8" t="s">
        <v>19</v>
      </c>
      <c r="N8">
        <f>(  Posts__2[[#This Row],[Likes]]+Posts__2[[#This Row],[Comments]]+Posts__2[[#This Row],[Shares]] ) / Posts__2[[#This Row],[Impressions]]</f>
        <v>0.26064752360763155</v>
      </c>
      <c r="O8" s="14">
        <f>_xlfn.XLOOKUP(Posts__2[[#This Row],[Campaign_Name]],'Campaign Metadata'!A:A,'Campaign Metadata'!B:B)</f>
        <v>45667</v>
      </c>
      <c r="P8" s="14">
        <f>_xlfn.XLOOKUP(Posts__2[[#This Row],[Campaign_Name]],'Campaign Metadata'!A:A,'Campaign Metadata'!C:C)</f>
        <v>45698</v>
      </c>
      <c r="Q8" t="str">
        <f>IF(AND(Posts__2[[#This Row],[Date]]&gt;=Posts__2[[#This Row],[Campaign start date]],Posts__2[[#This Row],[Date]]&lt;=Posts__2[[#This Row],[Campaign end date]]),"During","Before")</f>
        <v>Before</v>
      </c>
    </row>
    <row r="9" spans="1:17" x14ac:dyDescent="0.3">
      <c r="A9" t="s">
        <v>64</v>
      </c>
      <c r="B9" t="s">
        <v>50</v>
      </c>
      <c r="C9" s="14">
        <v>45421</v>
      </c>
      <c r="D9" t="s">
        <v>51</v>
      </c>
      <c r="E9" t="s">
        <v>55</v>
      </c>
      <c r="F9">
        <v>1428</v>
      </c>
      <c r="G9">
        <v>347</v>
      </c>
      <c r="H9">
        <v>67</v>
      </c>
      <c r="I9">
        <v>21148</v>
      </c>
      <c r="J9">
        <v>19712</v>
      </c>
      <c r="K9">
        <v>120</v>
      </c>
      <c r="L9" t="s">
        <v>65</v>
      </c>
      <c r="M9" t="s">
        <v>19</v>
      </c>
      <c r="N9">
        <f>(  Posts__2[[#This Row],[Likes]]+Posts__2[[#This Row],[Comments]]+Posts__2[[#This Row],[Shares]] ) / Posts__2[[#This Row],[Impressions]]</f>
        <v>8.7100435029317191E-2</v>
      </c>
      <c r="O9" s="14">
        <f>_xlfn.XLOOKUP(Posts__2[[#This Row],[Campaign_Name]],'Campaign Metadata'!A:A,'Campaign Metadata'!B:B)</f>
        <v>45667</v>
      </c>
      <c r="P9" s="14">
        <f>_xlfn.XLOOKUP(Posts__2[[#This Row],[Campaign_Name]],'Campaign Metadata'!A:A,'Campaign Metadata'!C:C)</f>
        <v>45698</v>
      </c>
      <c r="Q9" t="str">
        <f>IF(AND(Posts__2[[#This Row],[Date]]&gt;=Posts__2[[#This Row],[Campaign start date]],Posts__2[[#This Row],[Date]]&lt;=Posts__2[[#This Row],[Campaign end date]]),"During","Before")</f>
        <v>Before</v>
      </c>
    </row>
    <row r="10" spans="1:17" x14ac:dyDescent="0.3">
      <c r="A10" t="s">
        <v>66</v>
      </c>
      <c r="B10" t="s">
        <v>50</v>
      </c>
      <c r="C10" s="14">
        <v>45823</v>
      </c>
      <c r="D10" t="s">
        <v>43</v>
      </c>
      <c r="E10" t="s">
        <v>67</v>
      </c>
      <c r="F10">
        <v>4432</v>
      </c>
      <c r="G10">
        <v>223</v>
      </c>
      <c r="H10">
        <v>299</v>
      </c>
      <c r="I10">
        <v>59016</v>
      </c>
      <c r="J10">
        <v>21742</v>
      </c>
      <c r="K10">
        <v>171</v>
      </c>
      <c r="L10" t="s">
        <v>68</v>
      </c>
      <c r="M10" t="s">
        <v>19</v>
      </c>
      <c r="N10">
        <f>(  Posts__2[[#This Row],[Likes]]+Posts__2[[#This Row],[Comments]]+Posts__2[[#This Row],[Shares]] ) / Posts__2[[#This Row],[Impressions]]</f>
        <v>8.3943337400027115E-2</v>
      </c>
      <c r="O10" s="14">
        <f>_xlfn.XLOOKUP(Posts__2[[#This Row],[Campaign_Name]],'Campaign Metadata'!A:A,'Campaign Metadata'!B:B)</f>
        <v>45667</v>
      </c>
      <c r="P10" s="14">
        <f>_xlfn.XLOOKUP(Posts__2[[#This Row],[Campaign_Name]],'Campaign Metadata'!A:A,'Campaign Metadata'!C:C)</f>
        <v>45698</v>
      </c>
      <c r="Q10" t="str">
        <f>IF(AND(Posts__2[[#This Row],[Date]]&gt;=Posts__2[[#This Row],[Campaign start date]],Posts__2[[#This Row],[Date]]&lt;=Posts__2[[#This Row],[Campaign end date]]),"During","Before")</f>
        <v>Before</v>
      </c>
    </row>
    <row r="11" spans="1:17" x14ac:dyDescent="0.3">
      <c r="A11" t="s">
        <v>69</v>
      </c>
      <c r="B11" t="s">
        <v>50</v>
      </c>
      <c r="C11" s="14">
        <v>45630</v>
      </c>
      <c r="D11" t="s">
        <v>43</v>
      </c>
      <c r="E11" t="s">
        <v>55</v>
      </c>
      <c r="F11">
        <v>2357</v>
      </c>
      <c r="G11">
        <v>274</v>
      </c>
      <c r="H11">
        <v>172</v>
      </c>
      <c r="I11">
        <v>21566</v>
      </c>
      <c r="J11">
        <v>66829</v>
      </c>
      <c r="K11">
        <v>284</v>
      </c>
      <c r="L11" t="s">
        <v>68</v>
      </c>
      <c r="M11" t="s">
        <v>19</v>
      </c>
      <c r="N11">
        <f>(  Posts__2[[#This Row],[Likes]]+Posts__2[[#This Row],[Comments]]+Posts__2[[#This Row],[Shares]] ) / Posts__2[[#This Row],[Impressions]]</f>
        <v>0.12997310581470833</v>
      </c>
      <c r="O11" s="14">
        <f>_xlfn.XLOOKUP(Posts__2[[#This Row],[Campaign_Name]],'Campaign Metadata'!A:A,'Campaign Metadata'!B:B)</f>
        <v>45667</v>
      </c>
      <c r="P11" s="14">
        <f>_xlfn.XLOOKUP(Posts__2[[#This Row],[Campaign_Name]],'Campaign Metadata'!A:A,'Campaign Metadata'!C:C)</f>
        <v>45698</v>
      </c>
      <c r="Q11" t="str">
        <f>IF(AND(Posts__2[[#This Row],[Date]]&gt;=Posts__2[[#This Row],[Campaign start date]],Posts__2[[#This Row],[Date]]&lt;=Posts__2[[#This Row],[Campaign end date]]),"During","Before")</f>
        <v>Before</v>
      </c>
    </row>
    <row r="12" spans="1:17" x14ac:dyDescent="0.3">
      <c r="A12" t="s">
        <v>70</v>
      </c>
      <c r="B12" t="s">
        <v>50</v>
      </c>
      <c r="C12" s="14">
        <v>45357</v>
      </c>
      <c r="D12" t="s">
        <v>43</v>
      </c>
      <c r="E12" t="s">
        <v>44</v>
      </c>
      <c r="F12">
        <v>1971</v>
      </c>
      <c r="G12">
        <v>370</v>
      </c>
      <c r="H12">
        <v>306</v>
      </c>
      <c r="I12">
        <v>31316</v>
      </c>
      <c r="J12">
        <v>27897</v>
      </c>
      <c r="K12">
        <v>88</v>
      </c>
      <c r="L12" t="s">
        <v>71</v>
      </c>
      <c r="M12" t="s">
        <v>21</v>
      </c>
      <c r="N12">
        <f>(  Posts__2[[#This Row],[Likes]]+Posts__2[[#This Row],[Comments]]+Posts__2[[#This Row],[Shares]] ) / Posts__2[[#This Row],[Impressions]]</f>
        <v>8.4525482181632389E-2</v>
      </c>
      <c r="O12" s="14">
        <f>_xlfn.XLOOKUP(Posts__2[[#This Row],[Campaign_Name]],'Campaign Metadata'!A:A,'Campaign Metadata'!B:B)</f>
        <v>45717</v>
      </c>
      <c r="P12" s="14">
        <f>_xlfn.XLOOKUP(Posts__2[[#This Row],[Campaign_Name]],'Campaign Metadata'!A:A,'Campaign Metadata'!C:C)</f>
        <v>45747</v>
      </c>
      <c r="Q12" t="str">
        <f>IF(AND(Posts__2[[#This Row],[Date]]&gt;=Posts__2[[#This Row],[Campaign start date]],Posts__2[[#This Row],[Date]]&lt;=Posts__2[[#This Row],[Campaign end date]]),"During","Before")</f>
        <v>Before</v>
      </c>
    </row>
    <row r="13" spans="1:17" x14ac:dyDescent="0.3">
      <c r="A13" t="s">
        <v>72</v>
      </c>
      <c r="B13" t="s">
        <v>42</v>
      </c>
      <c r="C13" s="14">
        <v>45426</v>
      </c>
      <c r="D13" t="s">
        <v>43</v>
      </c>
      <c r="E13" t="s">
        <v>44</v>
      </c>
      <c r="F13">
        <v>1485</v>
      </c>
      <c r="G13">
        <v>353</v>
      </c>
      <c r="H13">
        <v>244</v>
      </c>
      <c r="I13">
        <v>38419</v>
      </c>
      <c r="J13">
        <v>38556</v>
      </c>
      <c r="K13">
        <v>86</v>
      </c>
      <c r="L13" t="s">
        <v>45</v>
      </c>
      <c r="M13" t="s">
        <v>19</v>
      </c>
      <c r="N13">
        <f>(  Posts__2[[#This Row],[Likes]]+Posts__2[[#This Row],[Comments]]+Posts__2[[#This Row],[Shares]] ) / Posts__2[[#This Row],[Impressions]]</f>
        <v>5.4191936281527367E-2</v>
      </c>
      <c r="O13" s="14">
        <f>_xlfn.XLOOKUP(Posts__2[[#This Row],[Campaign_Name]],'Campaign Metadata'!A:A,'Campaign Metadata'!B:B)</f>
        <v>45667</v>
      </c>
      <c r="P13" s="14">
        <f>_xlfn.XLOOKUP(Posts__2[[#This Row],[Campaign_Name]],'Campaign Metadata'!A:A,'Campaign Metadata'!C:C)</f>
        <v>45698</v>
      </c>
      <c r="Q13" t="str">
        <f>IF(AND(Posts__2[[#This Row],[Date]]&gt;=Posts__2[[#This Row],[Campaign start date]],Posts__2[[#This Row],[Date]]&lt;=Posts__2[[#This Row],[Campaign end date]]),"During","Before")</f>
        <v>Before</v>
      </c>
    </row>
    <row r="14" spans="1:17" x14ac:dyDescent="0.3">
      <c r="A14" t="s">
        <v>73</v>
      </c>
      <c r="B14" t="s">
        <v>50</v>
      </c>
      <c r="C14" s="14">
        <v>45826</v>
      </c>
      <c r="D14" t="s">
        <v>51</v>
      </c>
      <c r="E14" t="s">
        <v>44</v>
      </c>
      <c r="F14">
        <v>3956</v>
      </c>
      <c r="G14">
        <v>319</v>
      </c>
      <c r="H14">
        <v>61</v>
      </c>
      <c r="I14">
        <v>58162</v>
      </c>
      <c r="J14">
        <v>28720</v>
      </c>
      <c r="K14">
        <v>213</v>
      </c>
      <c r="L14" t="s">
        <v>53</v>
      </c>
      <c r="M14" t="s">
        <v>19</v>
      </c>
      <c r="N14">
        <f>(  Posts__2[[#This Row],[Likes]]+Posts__2[[#This Row],[Comments]]+Posts__2[[#This Row],[Shares]] ) / Posts__2[[#This Row],[Impressions]]</f>
        <v>7.4550393727863554E-2</v>
      </c>
      <c r="O14" s="14">
        <f>_xlfn.XLOOKUP(Posts__2[[#This Row],[Campaign_Name]],'Campaign Metadata'!A:A,'Campaign Metadata'!B:B)</f>
        <v>45667</v>
      </c>
      <c r="P14" s="14">
        <f>_xlfn.XLOOKUP(Posts__2[[#This Row],[Campaign_Name]],'Campaign Metadata'!A:A,'Campaign Metadata'!C:C)</f>
        <v>45698</v>
      </c>
      <c r="Q14" t="str">
        <f>IF(AND(Posts__2[[#This Row],[Date]]&gt;=Posts__2[[#This Row],[Campaign start date]],Posts__2[[#This Row],[Date]]&lt;=Posts__2[[#This Row],[Campaign end date]]),"During","Before")</f>
        <v>Before</v>
      </c>
    </row>
    <row r="15" spans="1:17" x14ac:dyDescent="0.3">
      <c r="A15" t="s">
        <v>74</v>
      </c>
      <c r="B15" t="s">
        <v>50</v>
      </c>
      <c r="C15" s="14">
        <v>45573</v>
      </c>
      <c r="D15" t="s">
        <v>43</v>
      </c>
      <c r="E15" t="s">
        <v>75</v>
      </c>
      <c r="F15">
        <v>2460</v>
      </c>
      <c r="G15">
        <v>409</v>
      </c>
      <c r="H15">
        <v>253</v>
      </c>
      <c r="I15">
        <v>36702</v>
      </c>
      <c r="J15">
        <v>46122</v>
      </c>
      <c r="K15">
        <v>264</v>
      </c>
      <c r="L15" t="s">
        <v>68</v>
      </c>
      <c r="M15" t="s">
        <v>19</v>
      </c>
      <c r="N15">
        <f>(  Posts__2[[#This Row],[Likes]]+Posts__2[[#This Row],[Comments]]+Posts__2[[#This Row],[Shares]] ) / Posts__2[[#This Row],[Impressions]]</f>
        <v>8.5063484278785892E-2</v>
      </c>
      <c r="O15" s="14">
        <f>_xlfn.XLOOKUP(Posts__2[[#This Row],[Campaign_Name]],'Campaign Metadata'!A:A,'Campaign Metadata'!B:B)</f>
        <v>45667</v>
      </c>
      <c r="P15" s="14">
        <f>_xlfn.XLOOKUP(Posts__2[[#This Row],[Campaign_Name]],'Campaign Metadata'!A:A,'Campaign Metadata'!C:C)</f>
        <v>45698</v>
      </c>
      <c r="Q15" t="str">
        <f>IF(AND(Posts__2[[#This Row],[Date]]&gt;=Posts__2[[#This Row],[Campaign start date]],Posts__2[[#This Row],[Date]]&lt;=Posts__2[[#This Row],[Campaign end date]]),"During","Before")</f>
        <v>Before</v>
      </c>
    </row>
    <row r="16" spans="1:17" x14ac:dyDescent="0.3">
      <c r="A16" t="s">
        <v>76</v>
      </c>
      <c r="B16" t="s">
        <v>50</v>
      </c>
      <c r="C16" s="14">
        <v>45418</v>
      </c>
      <c r="D16" t="s">
        <v>43</v>
      </c>
      <c r="E16" t="s">
        <v>77</v>
      </c>
      <c r="F16">
        <v>3476</v>
      </c>
      <c r="G16">
        <v>355</v>
      </c>
      <c r="H16">
        <v>396</v>
      </c>
      <c r="I16">
        <v>37492</v>
      </c>
      <c r="J16">
        <v>27285</v>
      </c>
      <c r="K16">
        <v>179</v>
      </c>
      <c r="L16" t="s">
        <v>68</v>
      </c>
      <c r="M16" t="s">
        <v>19</v>
      </c>
      <c r="N16">
        <f>(  Posts__2[[#This Row],[Likes]]+Posts__2[[#This Row],[Comments]]+Posts__2[[#This Row],[Shares]] ) / Posts__2[[#This Row],[Impressions]]</f>
        <v>0.11274405206444041</v>
      </c>
      <c r="O16" s="14">
        <f>_xlfn.XLOOKUP(Posts__2[[#This Row],[Campaign_Name]],'Campaign Metadata'!A:A,'Campaign Metadata'!B:B)</f>
        <v>45667</v>
      </c>
      <c r="P16" s="14">
        <f>_xlfn.XLOOKUP(Posts__2[[#This Row],[Campaign_Name]],'Campaign Metadata'!A:A,'Campaign Metadata'!C:C)</f>
        <v>45698</v>
      </c>
      <c r="Q16" t="str">
        <f>IF(AND(Posts__2[[#This Row],[Date]]&gt;=Posts__2[[#This Row],[Campaign start date]],Posts__2[[#This Row],[Date]]&lt;=Posts__2[[#This Row],[Campaign end date]]),"During","Before")</f>
        <v>Before</v>
      </c>
    </row>
    <row r="17" spans="1:17" x14ac:dyDescent="0.3">
      <c r="A17" t="s">
        <v>78</v>
      </c>
      <c r="B17" t="s">
        <v>50</v>
      </c>
      <c r="C17" s="14">
        <v>45655</v>
      </c>
      <c r="D17" t="s">
        <v>51</v>
      </c>
      <c r="E17" t="s">
        <v>52</v>
      </c>
      <c r="F17">
        <v>4049</v>
      </c>
      <c r="G17">
        <v>377</v>
      </c>
      <c r="H17">
        <v>94</v>
      </c>
      <c r="I17">
        <v>48182</v>
      </c>
      <c r="J17">
        <v>42875</v>
      </c>
      <c r="K17">
        <v>172</v>
      </c>
      <c r="L17" t="s">
        <v>53</v>
      </c>
      <c r="M17" t="s">
        <v>19</v>
      </c>
      <c r="N17">
        <f>(  Posts__2[[#This Row],[Likes]]+Posts__2[[#This Row],[Comments]]+Posts__2[[#This Row],[Shares]] ) / Posts__2[[#This Row],[Impressions]]</f>
        <v>9.3810966751068869E-2</v>
      </c>
      <c r="O17" s="14">
        <f>_xlfn.XLOOKUP(Posts__2[[#This Row],[Campaign_Name]],'Campaign Metadata'!A:A,'Campaign Metadata'!B:B)</f>
        <v>45667</v>
      </c>
      <c r="P17" s="14">
        <f>_xlfn.XLOOKUP(Posts__2[[#This Row],[Campaign_Name]],'Campaign Metadata'!A:A,'Campaign Metadata'!C:C)</f>
        <v>45698</v>
      </c>
      <c r="Q17" t="str">
        <f>IF(AND(Posts__2[[#This Row],[Date]]&gt;=Posts__2[[#This Row],[Campaign start date]],Posts__2[[#This Row],[Date]]&lt;=Posts__2[[#This Row],[Campaign end date]]),"During","Before")</f>
        <v>Before</v>
      </c>
    </row>
    <row r="18" spans="1:17" x14ac:dyDescent="0.3">
      <c r="A18" t="s">
        <v>79</v>
      </c>
      <c r="B18" t="s">
        <v>50</v>
      </c>
      <c r="C18" s="14">
        <v>45453</v>
      </c>
      <c r="D18" t="s">
        <v>43</v>
      </c>
      <c r="E18" t="s">
        <v>61</v>
      </c>
      <c r="F18">
        <v>1514</v>
      </c>
      <c r="G18">
        <v>164</v>
      </c>
      <c r="H18">
        <v>275</v>
      </c>
      <c r="I18">
        <v>41364</v>
      </c>
      <c r="J18">
        <v>44389</v>
      </c>
      <c r="K18">
        <v>83</v>
      </c>
      <c r="L18" t="s">
        <v>68</v>
      </c>
      <c r="M18" t="s">
        <v>19</v>
      </c>
      <c r="N18">
        <f>(  Posts__2[[#This Row],[Likes]]+Posts__2[[#This Row],[Comments]]+Posts__2[[#This Row],[Shares]] ) / Posts__2[[#This Row],[Impressions]]</f>
        <v>4.7214969538729328E-2</v>
      </c>
      <c r="O18" s="14">
        <f>_xlfn.XLOOKUP(Posts__2[[#This Row],[Campaign_Name]],'Campaign Metadata'!A:A,'Campaign Metadata'!B:B)</f>
        <v>45667</v>
      </c>
      <c r="P18" s="14">
        <f>_xlfn.XLOOKUP(Posts__2[[#This Row],[Campaign_Name]],'Campaign Metadata'!A:A,'Campaign Metadata'!C:C)</f>
        <v>45698</v>
      </c>
      <c r="Q18" t="str">
        <f>IF(AND(Posts__2[[#This Row],[Date]]&gt;=Posts__2[[#This Row],[Campaign start date]],Posts__2[[#This Row],[Date]]&lt;=Posts__2[[#This Row],[Campaign end date]]),"During","Before")</f>
        <v>Before</v>
      </c>
    </row>
    <row r="19" spans="1:17" x14ac:dyDescent="0.3">
      <c r="A19" t="s">
        <v>80</v>
      </c>
      <c r="B19" t="s">
        <v>42</v>
      </c>
      <c r="C19" s="14">
        <v>45325</v>
      </c>
      <c r="D19" t="s">
        <v>51</v>
      </c>
      <c r="E19" t="s">
        <v>58</v>
      </c>
      <c r="F19">
        <v>4281</v>
      </c>
      <c r="G19">
        <v>101</v>
      </c>
      <c r="H19">
        <v>163</v>
      </c>
      <c r="I19">
        <v>32278</v>
      </c>
      <c r="J19">
        <v>53382</v>
      </c>
      <c r="K19">
        <v>235</v>
      </c>
      <c r="L19" t="s">
        <v>68</v>
      </c>
      <c r="M19" t="s">
        <v>24</v>
      </c>
      <c r="N19">
        <f>(  Posts__2[[#This Row],[Likes]]+Posts__2[[#This Row],[Comments]]+Posts__2[[#This Row],[Shares]] ) / Posts__2[[#This Row],[Impressions]]</f>
        <v>0.1408079806679472</v>
      </c>
      <c r="O19" s="14">
        <f>_xlfn.XLOOKUP(Posts__2[[#This Row],[Campaign_Name]],'Campaign Metadata'!A:A,'Campaign Metadata'!B:B)</f>
        <v>45627</v>
      </c>
      <c r="P19" s="14">
        <f>_xlfn.XLOOKUP(Posts__2[[#This Row],[Campaign_Name]],'Campaign Metadata'!A:A,'Campaign Metadata'!C:C)</f>
        <v>45657</v>
      </c>
      <c r="Q19" t="str">
        <f>IF(AND(Posts__2[[#This Row],[Date]]&gt;=Posts__2[[#This Row],[Campaign start date]],Posts__2[[#This Row],[Date]]&lt;=Posts__2[[#This Row],[Campaign end date]]),"During","Before")</f>
        <v>Before</v>
      </c>
    </row>
    <row r="20" spans="1:17" x14ac:dyDescent="0.3">
      <c r="A20" t="s">
        <v>81</v>
      </c>
      <c r="B20" t="s">
        <v>57</v>
      </c>
      <c r="C20" s="14">
        <v>45458</v>
      </c>
      <c r="D20" t="s">
        <v>82</v>
      </c>
      <c r="E20" t="s">
        <v>63</v>
      </c>
      <c r="F20">
        <v>1751</v>
      </c>
      <c r="G20">
        <v>143</v>
      </c>
      <c r="H20">
        <v>151</v>
      </c>
      <c r="I20">
        <v>31826</v>
      </c>
      <c r="J20">
        <v>47729</v>
      </c>
      <c r="K20">
        <v>95</v>
      </c>
      <c r="L20" t="s">
        <v>83</v>
      </c>
      <c r="M20" t="s">
        <v>20</v>
      </c>
      <c r="N20">
        <f>(  Posts__2[[#This Row],[Likes]]+Posts__2[[#This Row],[Comments]]+Posts__2[[#This Row],[Shares]] ) / Posts__2[[#This Row],[Impressions]]</f>
        <v>6.4255640042732362E-2</v>
      </c>
      <c r="O20" s="14">
        <f>_xlfn.XLOOKUP(Posts__2[[#This Row],[Campaign_Name]],'Campaign Metadata'!A:A,'Campaign Metadata'!B:B)</f>
        <v>45458</v>
      </c>
      <c r="P20" s="14">
        <f>_xlfn.XLOOKUP(Posts__2[[#This Row],[Campaign_Name]],'Campaign Metadata'!A:A,'Campaign Metadata'!C:C)</f>
        <v>45488</v>
      </c>
      <c r="Q20" t="str">
        <f>IF(AND(Posts__2[[#This Row],[Date]]&gt;=Posts__2[[#This Row],[Campaign start date]],Posts__2[[#This Row],[Date]]&lt;=Posts__2[[#This Row],[Campaign end date]]),"During","Before")</f>
        <v>During</v>
      </c>
    </row>
    <row r="21" spans="1:17" x14ac:dyDescent="0.3">
      <c r="A21" t="s">
        <v>84</v>
      </c>
      <c r="B21" t="s">
        <v>42</v>
      </c>
      <c r="C21" s="14">
        <v>45478</v>
      </c>
      <c r="D21" t="s">
        <v>43</v>
      </c>
      <c r="E21" t="s">
        <v>77</v>
      </c>
      <c r="F21">
        <v>3753</v>
      </c>
      <c r="G21">
        <v>411</v>
      </c>
      <c r="H21">
        <v>308</v>
      </c>
      <c r="I21">
        <v>29138</v>
      </c>
      <c r="J21">
        <v>27678</v>
      </c>
      <c r="K21">
        <v>90</v>
      </c>
      <c r="L21" t="s">
        <v>48</v>
      </c>
      <c r="M21" t="s">
        <v>21</v>
      </c>
      <c r="N21">
        <f>(  Posts__2[[#This Row],[Likes]]+Posts__2[[#This Row],[Comments]]+Posts__2[[#This Row],[Shares]] ) / Posts__2[[#This Row],[Impressions]]</f>
        <v>0.15347655981879332</v>
      </c>
      <c r="O21" s="14">
        <f>_xlfn.XLOOKUP(Posts__2[[#This Row],[Campaign_Name]],'Campaign Metadata'!A:A,'Campaign Metadata'!B:B)</f>
        <v>45717</v>
      </c>
      <c r="P21" s="14">
        <f>_xlfn.XLOOKUP(Posts__2[[#This Row],[Campaign_Name]],'Campaign Metadata'!A:A,'Campaign Metadata'!C:C)</f>
        <v>45747</v>
      </c>
      <c r="Q21" t="str">
        <f>IF(AND(Posts__2[[#This Row],[Date]]&gt;=Posts__2[[#This Row],[Campaign start date]],Posts__2[[#This Row],[Date]]&lt;=Posts__2[[#This Row],[Campaign end date]]),"During","Before")</f>
        <v>Before</v>
      </c>
    </row>
    <row r="22" spans="1:17" x14ac:dyDescent="0.3">
      <c r="A22" t="s">
        <v>85</v>
      </c>
      <c r="B22" t="s">
        <v>42</v>
      </c>
      <c r="C22" s="14">
        <v>45603</v>
      </c>
      <c r="D22" t="s">
        <v>51</v>
      </c>
      <c r="E22" t="s">
        <v>55</v>
      </c>
      <c r="F22">
        <v>1678</v>
      </c>
      <c r="G22">
        <v>423</v>
      </c>
      <c r="H22">
        <v>323</v>
      </c>
      <c r="I22">
        <v>55668</v>
      </c>
      <c r="J22">
        <v>37945</v>
      </c>
      <c r="K22">
        <v>230</v>
      </c>
      <c r="L22" t="s">
        <v>68</v>
      </c>
      <c r="M22" t="s">
        <v>24</v>
      </c>
      <c r="N22">
        <f>(  Posts__2[[#This Row],[Likes]]+Posts__2[[#This Row],[Comments]]+Posts__2[[#This Row],[Shares]] ) / Posts__2[[#This Row],[Impressions]]</f>
        <v>4.3543867212761371E-2</v>
      </c>
      <c r="O22" s="14">
        <f>_xlfn.XLOOKUP(Posts__2[[#This Row],[Campaign_Name]],'Campaign Metadata'!A:A,'Campaign Metadata'!B:B)</f>
        <v>45627</v>
      </c>
      <c r="P22" s="14">
        <f>_xlfn.XLOOKUP(Posts__2[[#This Row],[Campaign_Name]],'Campaign Metadata'!A:A,'Campaign Metadata'!C:C)</f>
        <v>45657</v>
      </c>
      <c r="Q22" t="str">
        <f>IF(AND(Posts__2[[#This Row],[Date]]&gt;=Posts__2[[#This Row],[Campaign start date]],Posts__2[[#This Row],[Date]]&lt;=Posts__2[[#This Row],[Campaign end date]]),"During","Before")</f>
        <v>Before</v>
      </c>
    </row>
    <row r="23" spans="1:17" x14ac:dyDescent="0.3">
      <c r="A23" t="s">
        <v>86</v>
      </c>
      <c r="B23" t="s">
        <v>42</v>
      </c>
      <c r="C23" s="14">
        <v>45823</v>
      </c>
      <c r="D23" t="s">
        <v>43</v>
      </c>
      <c r="E23" t="s">
        <v>61</v>
      </c>
      <c r="F23">
        <v>4896</v>
      </c>
      <c r="G23">
        <v>466</v>
      </c>
      <c r="H23">
        <v>233</v>
      </c>
      <c r="I23">
        <v>28621</v>
      </c>
      <c r="J23">
        <v>34270</v>
      </c>
      <c r="K23">
        <v>84</v>
      </c>
      <c r="L23" t="s">
        <v>45</v>
      </c>
      <c r="M23" t="s">
        <v>19</v>
      </c>
      <c r="N23">
        <f>(  Posts__2[[#This Row],[Likes]]+Posts__2[[#This Row],[Comments]]+Posts__2[[#This Row],[Shares]] ) / Posts__2[[#This Row],[Impressions]]</f>
        <v>0.19548583208133888</v>
      </c>
      <c r="O23" s="14">
        <f>_xlfn.XLOOKUP(Posts__2[[#This Row],[Campaign_Name]],'Campaign Metadata'!A:A,'Campaign Metadata'!B:B)</f>
        <v>45667</v>
      </c>
      <c r="P23" s="14">
        <f>_xlfn.XLOOKUP(Posts__2[[#This Row],[Campaign_Name]],'Campaign Metadata'!A:A,'Campaign Metadata'!C:C)</f>
        <v>45698</v>
      </c>
      <c r="Q23" t="str">
        <f>IF(AND(Posts__2[[#This Row],[Date]]&gt;=Posts__2[[#This Row],[Campaign start date]],Posts__2[[#This Row],[Date]]&lt;=Posts__2[[#This Row],[Campaign end date]]),"During","Before")</f>
        <v>Before</v>
      </c>
    </row>
    <row r="24" spans="1:17" x14ac:dyDescent="0.3">
      <c r="A24" t="s">
        <v>87</v>
      </c>
      <c r="B24" t="s">
        <v>57</v>
      </c>
      <c r="C24" s="14">
        <v>45452</v>
      </c>
      <c r="D24" t="s">
        <v>82</v>
      </c>
      <c r="E24" s="15" t="s">
        <v>75</v>
      </c>
      <c r="F24">
        <v>2786</v>
      </c>
      <c r="G24">
        <v>368</v>
      </c>
      <c r="H24">
        <v>208</v>
      </c>
      <c r="I24">
        <v>42000</v>
      </c>
      <c r="J24">
        <v>39967</v>
      </c>
      <c r="K24">
        <v>103</v>
      </c>
      <c r="L24" t="s">
        <v>83</v>
      </c>
      <c r="M24" t="s">
        <v>20</v>
      </c>
      <c r="N24">
        <f>(  Posts__2[[#This Row],[Likes]]+Posts__2[[#This Row],[Comments]]+Posts__2[[#This Row],[Shares]] ) / Posts__2[[#This Row],[Impressions]]</f>
        <v>8.0047619047619048E-2</v>
      </c>
      <c r="O24" s="14">
        <f>_xlfn.XLOOKUP(Posts__2[[#This Row],[Campaign_Name]],'Campaign Metadata'!A:A,'Campaign Metadata'!B:B)</f>
        <v>45458</v>
      </c>
      <c r="P24" s="14">
        <f>_xlfn.XLOOKUP(Posts__2[[#This Row],[Campaign_Name]],'Campaign Metadata'!A:A,'Campaign Metadata'!C:C)</f>
        <v>45488</v>
      </c>
      <c r="Q24" t="str">
        <f>IF(AND(Posts__2[[#This Row],[Date]]&gt;=Posts__2[[#This Row],[Campaign start date]],Posts__2[[#This Row],[Date]]&lt;=Posts__2[[#This Row],[Campaign end date]]),"During","Before")</f>
        <v>Before</v>
      </c>
    </row>
    <row r="25" spans="1:17" x14ac:dyDescent="0.3">
      <c r="A25" t="s">
        <v>88</v>
      </c>
      <c r="B25" t="s">
        <v>50</v>
      </c>
      <c r="C25" s="14">
        <v>45583</v>
      </c>
      <c r="D25" t="s">
        <v>43</v>
      </c>
      <c r="E25" t="s">
        <v>52</v>
      </c>
      <c r="F25">
        <v>2607</v>
      </c>
      <c r="G25">
        <v>379</v>
      </c>
      <c r="H25">
        <v>180</v>
      </c>
      <c r="I25">
        <v>28712</v>
      </c>
      <c r="J25">
        <v>61620</v>
      </c>
      <c r="K25">
        <v>174</v>
      </c>
      <c r="L25" t="s">
        <v>71</v>
      </c>
      <c r="M25" t="s">
        <v>21</v>
      </c>
      <c r="N25">
        <f>(  Posts__2[[#This Row],[Likes]]+Posts__2[[#This Row],[Comments]]+Posts__2[[#This Row],[Shares]] ) / Posts__2[[#This Row],[Impressions]]</f>
        <v>0.11026748397882419</v>
      </c>
      <c r="O25" s="14">
        <f>_xlfn.XLOOKUP(Posts__2[[#This Row],[Campaign_Name]],'Campaign Metadata'!A:A,'Campaign Metadata'!B:B)</f>
        <v>45717</v>
      </c>
      <c r="P25" s="14">
        <f>_xlfn.XLOOKUP(Posts__2[[#This Row],[Campaign_Name]],'Campaign Metadata'!A:A,'Campaign Metadata'!C:C)</f>
        <v>45747</v>
      </c>
      <c r="Q25" t="str">
        <f>IF(AND(Posts__2[[#This Row],[Date]]&gt;=Posts__2[[#This Row],[Campaign start date]],Posts__2[[#This Row],[Date]]&lt;=Posts__2[[#This Row],[Campaign end date]]),"During","Before")</f>
        <v>Before</v>
      </c>
    </row>
    <row r="26" spans="1:17" x14ac:dyDescent="0.3">
      <c r="A26" t="s">
        <v>89</v>
      </c>
      <c r="B26" t="s">
        <v>57</v>
      </c>
      <c r="C26" s="14">
        <v>45575</v>
      </c>
      <c r="D26" t="s">
        <v>82</v>
      </c>
      <c r="E26" t="s">
        <v>75</v>
      </c>
      <c r="F26">
        <v>4013</v>
      </c>
      <c r="G26">
        <v>320</v>
      </c>
      <c r="H26">
        <v>92</v>
      </c>
      <c r="I26">
        <v>54605</v>
      </c>
      <c r="J26">
        <v>60169</v>
      </c>
      <c r="K26">
        <v>232</v>
      </c>
      <c r="L26" t="s">
        <v>83</v>
      </c>
      <c r="M26" t="s">
        <v>20</v>
      </c>
      <c r="N26">
        <f>(  Posts__2[[#This Row],[Likes]]+Posts__2[[#This Row],[Comments]]+Posts__2[[#This Row],[Shares]] ) / Posts__2[[#This Row],[Impressions]]</f>
        <v>8.1036535115831879E-2</v>
      </c>
      <c r="O26" s="14">
        <f>_xlfn.XLOOKUP(Posts__2[[#This Row],[Campaign_Name]],'Campaign Metadata'!A:A,'Campaign Metadata'!B:B)</f>
        <v>45458</v>
      </c>
      <c r="P26" s="14">
        <f>_xlfn.XLOOKUP(Posts__2[[#This Row],[Campaign_Name]],'Campaign Metadata'!A:A,'Campaign Metadata'!C:C)</f>
        <v>45488</v>
      </c>
      <c r="Q26" t="str">
        <f>IF(AND(Posts__2[[#This Row],[Date]]&gt;=Posts__2[[#This Row],[Campaign start date]],Posts__2[[#This Row],[Date]]&lt;=Posts__2[[#This Row],[Campaign end date]]),"During","Before")</f>
        <v>Before</v>
      </c>
    </row>
    <row r="27" spans="1:17" x14ac:dyDescent="0.3">
      <c r="A27" t="s">
        <v>90</v>
      </c>
      <c r="B27" t="s">
        <v>50</v>
      </c>
      <c r="C27" s="14">
        <v>45791</v>
      </c>
      <c r="D27" t="s">
        <v>51</v>
      </c>
      <c r="E27" t="s">
        <v>75</v>
      </c>
      <c r="F27">
        <v>2707</v>
      </c>
      <c r="G27">
        <v>103</v>
      </c>
      <c r="H27">
        <v>51</v>
      </c>
      <c r="I27">
        <v>55302</v>
      </c>
      <c r="J27">
        <v>18801</v>
      </c>
      <c r="K27">
        <v>147</v>
      </c>
      <c r="L27" t="s">
        <v>65</v>
      </c>
      <c r="M27" t="s">
        <v>19</v>
      </c>
      <c r="N27">
        <f>(  Posts__2[[#This Row],[Likes]]+Posts__2[[#This Row],[Comments]]+Posts__2[[#This Row],[Shares]] ) / Posts__2[[#This Row],[Impressions]]</f>
        <v>5.173411449857148E-2</v>
      </c>
      <c r="O27" s="14">
        <f>_xlfn.XLOOKUP(Posts__2[[#This Row],[Campaign_Name]],'Campaign Metadata'!A:A,'Campaign Metadata'!B:B)</f>
        <v>45667</v>
      </c>
      <c r="P27" s="14">
        <f>_xlfn.XLOOKUP(Posts__2[[#This Row],[Campaign_Name]],'Campaign Metadata'!A:A,'Campaign Metadata'!C:C)</f>
        <v>45698</v>
      </c>
      <c r="Q27" t="str">
        <f>IF(AND(Posts__2[[#This Row],[Date]]&gt;=Posts__2[[#This Row],[Campaign start date]],Posts__2[[#This Row],[Date]]&lt;=Posts__2[[#This Row],[Campaign end date]]),"During","Before")</f>
        <v>Before</v>
      </c>
    </row>
    <row r="28" spans="1:17" x14ac:dyDescent="0.3">
      <c r="A28" t="s">
        <v>91</v>
      </c>
      <c r="B28" t="s">
        <v>42</v>
      </c>
      <c r="C28" s="14">
        <v>45625</v>
      </c>
      <c r="D28" t="s">
        <v>43</v>
      </c>
      <c r="E28" t="s">
        <v>61</v>
      </c>
      <c r="F28">
        <v>2824</v>
      </c>
      <c r="G28">
        <v>425</v>
      </c>
      <c r="H28">
        <v>274</v>
      </c>
      <c r="I28">
        <v>31004</v>
      </c>
      <c r="J28">
        <v>53488</v>
      </c>
      <c r="K28">
        <v>268</v>
      </c>
      <c r="L28" t="s">
        <v>45</v>
      </c>
      <c r="M28" t="s">
        <v>19</v>
      </c>
      <c r="N28">
        <f>(  Posts__2[[#This Row],[Likes]]+Posts__2[[#This Row],[Comments]]+Posts__2[[#This Row],[Shares]] ) / Posts__2[[#This Row],[Impressions]]</f>
        <v>0.11363049929041415</v>
      </c>
      <c r="O28" s="14">
        <f>_xlfn.XLOOKUP(Posts__2[[#This Row],[Campaign_Name]],'Campaign Metadata'!A:A,'Campaign Metadata'!B:B)</f>
        <v>45667</v>
      </c>
      <c r="P28" s="14">
        <f>_xlfn.XLOOKUP(Posts__2[[#This Row],[Campaign_Name]],'Campaign Metadata'!A:A,'Campaign Metadata'!C:C)</f>
        <v>45698</v>
      </c>
      <c r="Q28" t="str">
        <f>IF(AND(Posts__2[[#This Row],[Date]]&gt;=Posts__2[[#This Row],[Campaign start date]],Posts__2[[#This Row],[Date]]&lt;=Posts__2[[#This Row],[Campaign end date]]),"During","Before")</f>
        <v>Before</v>
      </c>
    </row>
    <row r="29" spans="1:17" x14ac:dyDescent="0.3">
      <c r="A29" t="s">
        <v>92</v>
      </c>
      <c r="B29" t="s">
        <v>57</v>
      </c>
      <c r="C29" s="14">
        <v>45356</v>
      </c>
      <c r="D29" t="s">
        <v>82</v>
      </c>
      <c r="E29" t="s">
        <v>47</v>
      </c>
      <c r="F29">
        <v>3558</v>
      </c>
      <c r="G29">
        <v>314</v>
      </c>
      <c r="H29">
        <v>199</v>
      </c>
      <c r="I29">
        <v>49612</v>
      </c>
      <c r="J29">
        <v>53929</v>
      </c>
      <c r="K29">
        <v>206</v>
      </c>
      <c r="L29" t="s">
        <v>83</v>
      </c>
      <c r="M29" t="s">
        <v>20</v>
      </c>
      <c r="N29">
        <f>(  Posts__2[[#This Row],[Likes]]+Posts__2[[#This Row],[Comments]]+Posts__2[[#This Row],[Shares]] ) / Posts__2[[#This Row],[Impressions]]</f>
        <v>8.205676046117874E-2</v>
      </c>
      <c r="O29" s="14">
        <f>_xlfn.XLOOKUP(Posts__2[[#This Row],[Campaign_Name]],'Campaign Metadata'!A:A,'Campaign Metadata'!B:B)</f>
        <v>45458</v>
      </c>
      <c r="P29" s="14">
        <f>_xlfn.XLOOKUP(Posts__2[[#This Row],[Campaign_Name]],'Campaign Metadata'!A:A,'Campaign Metadata'!C:C)</f>
        <v>45488</v>
      </c>
      <c r="Q29" t="str">
        <f>IF(AND(Posts__2[[#This Row],[Date]]&gt;=Posts__2[[#This Row],[Campaign start date]],Posts__2[[#This Row],[Date]]&lt;=Posts__2[[#This Row],[Campaign end date]]),"During","Before")</f>
        <v>Before</v>
      </c>
    </row>
    <row r="30" spans="1:17" x14ac:dyDescent="0.3">
      <c r="A30" t="s">
        <v>93</v>
      </c>
      <c r="B30" t="s">
        <v>50</v>
      </c>
      <c r="C30" s="14">
        <v>45734</v>
      </c>
      <c r="D30" t="s">
        <v>51</v>
      </c>
      <c r="E30" t="s">
        <v>47</v>
      </c>
      <c r="F30">
        <v>3418</v>
      </c>
      <c r="G30">
        <v>188</v>
      </c>
      <c r="H30">
        <v>387</v>
      </c>
      <c r="I30">
        <v>57431</v>
      </c>
      <c r="J30">
        <v>36933</v>
      </c>
      <c r="K30">
        <v>202</v>
      </c>
      <c r="L30" t="s">
        <v>53</v>
      </c>
      <c r="M30" t="s">
        <v>19</v>
      </c>
      <c r="N30">
        <f>(  Posts__2[[#This Row],[Likes]]+Posts__2[[#This Row],[Comments]]+Posts__2[[#This Row],[Shares]] ) / Posts__2[[#This Row],[Impressions]]</f>
        <v>6.9526910553533799E-2</v>
      </c>
      <c r="O30" s="14">
        <f>_xlfn.XLOOKUP(Posts__2[[#This Row],[Campaign_Name]],'Campaign Metadata'!A:A,'Campaign Metadata'!B:B)</f>
        <v>45667</v>
      </c>
      <c r="P30" s="14">
        <f>_xlfn.XLOOKUP(Posts__2[[#This Row],[Campaign_Name]],'Campaign Metadata'!A:A,'Campaign Metadata'!C:C)</f>
        <v>45698</v>
      </c>
      <c r="Q30" t="str">
        <f>IF(AND(Posts__2[[#This Row],[Date]]&gt;=Posts__2[[#This Row],[Campaign start date]],Posts__2[[#This Row],[Date]]&lt;=Posts__2[[#This Row],[Campaign end date]]),"During","Before")</f>
        <v>Before</v>
      </c>
    </row>
    <row r="31" spans="1:17" x14ac:dyDescent="0.3">
      <c r="A31" t="s">
        <v>94</v>
      </c>
      <c r="B31" t="s">
        <v>50</v>
      </c>
      <c r="C31" s="14">
        <v>45773</v>
      </c>
      <c r="D31" t="s">
        <v>43</v>
      </c>
      <c r="E31" t="s">
        <v>44</v>
      </c>
      <c r="F31">
        <v>2411</v>
      </c>
      <c r="G31">
        <v>194</v>
      </c>
      <c r="H31">
        <v>168</v>
      </c>
      <c r="I31">
        <v>26665</v>
      </c>
      <c r="J31">
        <v>71699</v>
      </c>
      <c r="K31">
        <v>197</v>
      </c>
      <c r="L31" t="s">
        <v>68</v>
      </c>
      <c r="M31" t="s">
        <v>19</v>
      </c>
      <c r="N31">
        <f>(  Posts__2[[#This Row],[Likes]]+Posts__2[[#This Row],[Comments]]+Posts__2[[#This Row],[Shares]] ) / Posts__2[[#This Row],[Impressions]]</f>
        <v>0.10399399962497656</v>
      </c>
      <c r="O31" s="14">
        <f>_xlfn.XLOOKUP(Posts__2[[#This Row],[Campaign_Name]],'Campaign Metadata'!A:A,'Campaign Metadata'!B:B)</f>
        <v>45667</v>
      </c>
      <c r="P31" s="14">
        <f>_xlfn.XLOOKUP(Posts__2[[#This Row],[Campaign_Name]],'Campaign Metadata'!A:A,'Campaign Metadata'!C:C)</f>
        <v>45698</v>
      </c>
      <c r="Q31" t="str">
        <f>IF(AND(Posts__2[[#This Row],[Date]]&gt;=Posts__2[[#This Row],[Campaign start date]],Posts__2[[#This Row],[Date]]&lt;=Posts__2[[#This Row],[Campaign end date]]),"During","Before")</f>
        <v>Before</v>
      </c>
    </row>
    <row r="32" spans="1:17" x14ac:dyDescent="0.3">
      <c r="A32" t="s">
        <v>95</v>
      </c>
      <c r="B32" t="s">
        <v>42</v>
      </c>
      <c r="C32" s="14">
        <v>45658</v>
      </c>
      <c r="D32" t="s">
        <v>43</v>
      </c>
      <c r="E32" t="s">
        <v>52</v>
      </c>
      <c r="F32">
        <v>4036</v>
      </c>
      <c r="G32">
        <v>112</v>
      </c>
      <c r="H32">
        <v>382</v>
      </c>
      <c r="I32">
        <v>56284</v>
      </c>
      <c r="J32">
        <v>29440</v>
      </c>
      <c r="K32">
        <v>279</v>
      </c>
      <c r="L32" t="s">
        <v>45</v>
      </c>
      <c r="M32" t="s">
        <v>19</v>
      </c>
      <c r="N32">
        <f>(  Posts__2[[#This Row],[Likes]]+Posts__2[[#This Row],[Comments]]+Posts__2[[#This Row],[Shares]] ) / Posts__2[[#This Row],[Impressions]]</f>
        <v>8.0484684812735408E-2</v>
      </c>
      <c r="O32" s="14">
        <f>_xlfn.XLOOKUP(Posts__2[[#This Row],[Campaign_Name]],'Campaign Metadata'!A:A,'Campaign Metadata'!B:B)</f>
        <v>45667</v>
      </c>
      <c r="P32" s="14">
        <f>_xlfn.XLOOKUP(Posts__2[[#This Row],[Campaign_Name]],'Campaign Metadata'!A:A,'Campaign Metadata'!C:C)</f>
        <v>45698</v>
      </c>
      <c r="Q32" t="str">
        <f>IF(AND(Posts__2[[#This Row],[Date]]&gt;=Posts__2[[#This Row],[Campaign start date]],Posts__2[[#This Row],[Date]]&lt;=Posts__2[[#This Row],[Campaign end date]]),"During","Before")</f>
        <v>Before</v>
      </c>
    </row>
    <row r="33" spans="1:17" x14ac:dyDescent="0.3">
      <c r="A33" t="s">
        <v>96</v>
      </c>
      <c r="B33" t="s">
        <v>50</v>
      </c>
      <c r="C33" s="14">
        <v>45419</v>
      </c>
      <c r="D33" t="s">
        <v>51</v>
      </c>
      <c r="E33" t="s">
        <v>47</v>
      </c>
      <c r="F33">
        <v>2776</v>
      </c>
      <c r="G33">
        <v>307</v>
      </c>
      <c r="H33">
        <v>178</v>
      </c>
      <c r="I33">
        <v>43365</v>
      </c>
      <c r="J33">
        <v>48408</v>
      </c>
      <c r="K33">
        <v>138</v>
      </c>
      <c r="L33" t="s">
        <v>45</v>
      </c>
      <c r="M33" t="s">
        <v>19</v>
      </c>
      <c r="N33">
        <f>(  Posts__2[[#This Row],[Likes]]+Posts__2[[#This Row],[Comments]]+Posts__2[[#This Row],[Shares]] ) / Posts__2[[#This Row],[Impressions]]</f>
        <v>7.519889311656866E-2</v>
      </c>
      <c r="O33" s="14">
        <f>_xlfn.XLOOKUP(Posts__2[[#This Row],[Campaign_Name]],'Campaign Metadata'!A:A,'Campaign Metadata'!B:B)</f>
        <v>45667</v>
      </c>
      <c r="P33" s="14">
        <f>_xlfn.XLOOKUP(Posts__2[[#This Row],[Campaign_Name]],'Campaign Metadata'!A:A,'Campaign Metadata'!C:C)</f>
        <v>45698</v>
      </c>
      <c r="Q33" t="str">
        <f>IF(AND(Posts__2[[#This Row],[Date]]&gt;=Posts__2[[#This Row],[Campaign start date]],Posts__2[[#This Row],[Date]]&lt;=Posts__2[[#This Row],[Campaign end date]]),"During","Before")</f>
        <v>Before</v>
      </c>
    </row>
    <row r="34" spans="1:17" x14ac:dyDescent="0.3">
      <c r="A34" t="s">
        <v>97</v>
      </c>
      <c r="B34" t="s">
        <v>50</v>
      </c>
      <c r="C34" s="14">
        <v>45574</v>
      </c>
      <c r="D34" t="s">
        <v>51</v>
      </c>
      <c r="E34" t="s">
        <v>44</v>
      </c>
      <c r="F34">
        <v>4929</v>
      </c>
      <c r="G34">
        <v>182</v>
      </c>
      <c r="H34">
        <v>95</v>
      </c>
      <c r="I34">
        <v>32181</v>
      </c>
      <c r="J34">
        <v>31084</v>
      </c>
      <c r="K34">
        <v>289</v>
      </c>
      <c r="L34" t="s">
        <v>65</v>
      </c>
      <c r="M34" t="s">
        <v>19</v>
      </c>
      <c r="N34">
        <f>(  Posts__2[[#This Row],[Likes]]+Posts__2[[#This Row],[Comments]]+Posts__2[[#This Row],[Shares]] ) / Posts__2[[#This Row],[Impressions]]</f>
        <v>0.16177247444144061</v>
      </c>
      <c r="O34" s="14">
        <f>_xlfn.XLOOKUP(Posts__2[[#This Row],[Campaign_Name]],'Campaign Metadata'!A:A,'Campaign Metadata'!B:B)</f>
        <v>45667</v>
      </c>
      <c r="P34" s="14">
        <f>_xlfn.XLOOKUP(Posts__2[[#This Row],[Campaign_Name]],'Campaign Metadata'!A:A,'Campaign Metadata'!C:C)</f>
        <v>45698</v>
      </c>
      <c r="Q34" t="str">
        <f>IF(AND(Posts__2[[#This Row],[Date]]&gt;=Posts__2[[#This Row],[Campaign start date]],Posts__2[[#This Row],[Date]]&lt;=Posts__2[[#This Row],[Campaign end date]]),"During","Before")</f>
        <v>Before</v>
      </c>
    </row>
    <row r="35" spans="1:17" x14ac:dyDescent="0.3">
      <c r="A35" t="s">
        <v>98</v>
      </c>
      <c r="B35" t="s">
        <v>42</v>
      </c>
      <c r="C35" s="14">
        <v>45666</v>
      </c>
      <c r="D35" t="s">
        <v>43</v>
      </c>
      <c r="E35" t="s">
        <v>52</v>
      </c>
      <c r="F35">
        <v>1015</v>
      </c>
      <c r="G35">
        <v>366</v>
      </c>
      <c r="H35">
        <v>308</v>
      </c>
      <c r="I35">
        <v>38127</v>
      </c>
      <c r="J35">
        <v>63790</v>
      </c>
      <c r="K35">
        <v>287</v>
      </c>
      <c r="L35" t="s">
        <v>45</v>
      </c>
      <c r="M35" t="s">
        <v>19</v>
      </c>
      <c r="N35">
        <f>(  Posts__2[[#This Row],[Likes]]+Posts__2[[#This Row],[Comments]]+Posts__2[[#This Row],[Shares]] ) / Posts__2[[#This Row],[Impressions]]</f>
        <v>4.4299315445747112E-2</v>
      </c>
      <c r="O35" s="14">
        <f>_xlfn.XLOOKUP(Posts__2[[#This Row],[Campaign_Name]],'Campaign Metadata'!A:A,'Campaign Metadata'!B:B)</f>
        <v>45667</v>
      </c>
      <c r="P35" s="14">
        <f>_xlfn.XLOOKUP(Posts__2[[#This Row],[Campaign_Name]],'Campaign Metadata'!A:A,'Campaign Metadata'!C:C)</f>
        <v>45698</v>
      </c>
      <c r="Q35" t="str">
        <f>IF(AND(Posts__2[[#This Row],[Date]]&gt;=Posts__2[[#This Row],[Campaign start date]],Posts__2[[#This Row],[Date]]&lt;=Posts__2[[#This Row],[Campaign end date]]),"During","Before")</f>
        <v>Before</v>
      </c>
    </row>
    <row r="36" spans="1:17" x14ac:dyDescent="0.3">
      <c r="A36" t="s">
        <v>99</v>
      </c>
      <c r="B36" t="s">
        <v>50</v>
      </c>
      <c r="C36" s="14">
        <v>45785</v>
      </c>
      <c r="D36" t="s">
        <v>51</v>
      </c>
      <c r="E36" t="s">
        <v>77</v>
      </c>
      <c r="F36">
        <v>3316</v>
      </c>
      <c r="G36">
        <v>332</v>
      </c>
      <c r="H36">
        <v>268</v>
      </c>
      <c r="I36">
        <v>40095</v>
      </c>
      <c r="J36">
        <v>36913</v>
      </c>
      <c r="K36">
        <v>265</v>
      </c>
      <c r="L36" t="s">
        <v>53</v>
      </c>
      <c r="M36" t="s">
        <v>19</v>
      </c>
      <c r="N36">
        <f>(  Posts__2[[#This Row],[Likes]]+Posts__2[[#This Row],[Comments]]+Posts__2[[#This Row],[Shares]] ) / Posts__2[[#This Row],[Impressions]]</f>
        <v>9.7668038408779148E-2</v>
      </c>
      <c r="O36" s="14">
        <f>_xlfn.XLOOKUP(Posts__2[[#This Row],[Campaign_Name]],'Campaign Metadata'!A:A,'Campaign Metadata'!B:B)</f>
        <v>45667</v>
      </c>
      <c r="P36" s="14">
        <f>_xlfn.XLOOKUP(Posts__2[[#This Row],[Campaign_Name]],'Campaign Metadata'!A:A,'Campaign Metadata'!C:C)</f>
        <v>45698</v>
      </c>
      <c r="Q36" t="str">
        <f>IF(AND(Posts__2[[#This Row],[Date]]&gt;=Posts__2[[#This Row],[Campaign start date]],Posts__2[[#This Row],[Date]]&lt;=Posts__2[[#This Row],[Campaign end date]]),"During","Before")</f>
        <v>Before</v>
      </c>
    </row>
    <row r="37" spans="1:17" x14ac:dyDescent="0.3">
      <c r="A37" t="s">
        <v>100</v>
      </c>
      <c r="B37" t="s">
        <v>42</v>
      </c>
      <c r="C37" s="14">
        <v>45416</v>
      </c>
      <c r="D37" t="s">
        <v>43</v>
      </c>
      <c r="E37" t="s">
        <v>55</v>
      </c>
      <c r="F37">
        <v>2274</v>
      </c>
      <c r="G37">
        <v>243</v>
      </c>
      <c r="H37">
        <v>222</v>
      </c>
      <c r="I37">
        <v>43066</v>
      </c>
      <c r="J37">
        <v>59174</v>
      </c>
      <c r="K37">
        <v>80</v>
      </c>
      <c r="L37" t="s">
        <v>48</v>
      </c>
      <c r="M37" t="s">
        <v>21</v>
      </c>
      <c r="N37">
        <f>(  Posts__2[[#This Row],[Likes]]+Posts__2[[#This Row],[Comments]]+Posts__2[[#This Row],[Shares]] ) / Posts__2[[#This Row],[Impressions]]</f>
        <v>6.3600055728416843E-2</v>
      </c>
      <c r="O37" s="14">
        <f>_xlfn.XLOOKUP(Posts__2[[#This Row],[Campaign_Name]],'Campaign Metadata'!A:A,'Campaign Metadata'!B:B)</f>
        <v>45717</v>
      </c>
      <c r="P37" s="14">
        <f>_xlfn.XLOOKUP(Posts__2[[#This Row],[Campaign_Name]],'Campaign Metadata'!A:A,'Campaign Metadata'!C:C)</f>
        <v>45747</v>
      </c>
      <c r="Q37" t="str">
        <f>IF(AND(Posts__2[[#This Row],[Date]]&gt;=Posts__2[[#This Row],[Campaign start date]],Posts__2[[#This Row],[Date]]&lt;=Posts__2[[#This Row],[Campaign end date]]),"During","Before")</f>
        <v>Before</v>
      </c>
    </row>
    <row r="38" spans="1:17" x14ac:dyDescent="0.3">
      <c r="A38" t="s">
        <v>101</v>
      </c>
      <c r="B38" t="s">
        <v>50</v>
      </c>
      <c r="C38" s="14">
        <v>45804</v>
      </c>
      <c r="D38" t="s">
        <v>51</v>
      </c>
      <c r="E38" t="s">
        <v>47</v>
      </c>
      <c r="F38">
        <v>4095</v>
      </c>
      <c r="G38">
        <v>385</v>
      </c>
      <c r="H38">
        <v>400</v>
      </c>
      <c r="I38">
        <v>45300</v>
      </c>
      <c r="J38">
        <v>31795</v>
      </c>
      <c r="K38">
        <v>80</v>
      </c>
      <c r="L38" t="s">
        <v>53</v>
      </c>
      <c r="M38" t="s">
        <v>19</v>
      </c>
      <c r="N38">
        <f>(  Posts__2[[#This Row],[Likes]]+Posts__2[[#This Row],[Comments]]+Posts__2[[#This Row],[Shares]] ) / Posts__2[[#This Row],[Impressions]]</f>
        <v>0.10772626931567329</v>
      </c>
      <c r="O38" s="14">
        <f>_xlfn.XLOOKUP(Posts__2[[#This Row],[Campaign_Name]],'Campaign Metadata'!A:A,'Campaign Metadata'!B:B)</f>
        <v>45667</v>
      </c>
      <c r="P38" s="14">
        <f>_xlfn.XLOOKUP(Posts__2[[#This Row],[Campaign_Name]],'Campaign Metadata'!A:A,'Campaign Metadata'!C:C)</f>
        <v>45698</v>
      </c>
      <c r="Q38" t="str">
        <f>IF(AND(Posts__2[[#This Row],[Date]]&gt;=Posts__2[[#This Row],[Campaign start date]],Posts__2[[#This Row],[Date]]&lt;=Posts__2[[#This Row],[Campaign end date]]),"During","Before")</f>
        <v>Before</v>
      </c>
    </row>
    <row r="39" spans="1:17" x14ac:dyDescent="0.3">
      <c r="A39" t="s">
        <v>102</v>
      </c>
      <c r="B39" t="s">
        <v>42</v>
      </c>
      <c r="C39" s="14">
        <v>45545</v>
      </c>
      <c r="D39" t="s">
        <v>51</v>
      </c>
      <c r="E39" t="s">
        <v>52</v>
      </c>
      <c r="F39">
        <v>1230</v>
      </c>
      <c r="G39">
        <v>309</v>
      </c>
      <c r="H39">
        <v>207</v>
      </c>
      <c r="I39">
        <v>44629</v>
      </c>
      <c r="J39">
        <v>40699</v>
      </c>
      <c r="K39">
        <v>195</v>
      </c>
      <c r="L39" t="s">
        <v>68</v>
      </c>
      <c r="M39" t="s">
        <v>24</v>
      </c>
      <c r="N39">
        <f>(  Posts__2[[#This Row],[Likes]]+Posts__2[[#This Row],[Comments]]+Posts__2[[#This Row],[Shares]] ) / Posts__2[[#This Row],[Impressions]]</f>
        <v>3.9122543637545096E-2</v>
      </c>
      <c r="O39" s="14">
        <f>_xlfn.XLOOKUP(Posts__2[[#This Row],[Campaign_Name]],'Campaign Metadata'!A:A,'Campaign Metadata'!B:B)</f>
        <v>45627</v>
      </c>
      <c r="P39" s="14">
        <f>_xlfn.XLOOKUP(Posts__2[[#This Row],[Campaign_Name]],'Campaign Metadata'!A:A,'Campaign Metadata'!C:C)</f>
        <v>45657</v>
      </c>
      <c r="Q39" t="str">
        <f>IF(AND(Posts__2[[#This Row],[Date]]&gt;=Posts__2[[#This Row],[Campaign start date]],Posts__2[[#This Row],[Date]]&lt;=Posts__2[[#This Row],[Campaign end date]]),"During","Before")</f>
        <v>Before</v>
      </c>
    </row>
    <row r="40" spans="1:17" x14ac:dyDescent="0.3">
      <c r="A40" t="s">
        <v>103</v>
      </c>
      <c r="B40" t="s">
        <v>42</v>
      </c>
      <c r="C40" s="14">
        <v>45621</v>
      </c>
      <c r="D40" t="s">
        <v>43</v>
      </c>
      <c r="E40" t="s">
        <v>75</v>
      </c>
      <c r="F40">
        <v>1341</v>
      </c>
      <c r="G40">
        <v>472</v>
      </c>
      <c r="H40">
        <v>238</v>
      </c>
      <c r="I40">
        <v>51386</v>
      </c>
      <c r="J40">
        <v>51706</v>
      </c>
      <c r="K40">
        <v>133</v>
      </c>
      <c r="L40" t="s">
        <v>48</v>
      </c>
      <c r="M40" t="s">
        <v>21</v>
      </c>
      <c r="N40">
        <f>(  Posts__2[[#This Row],[Likes]]+Posts__2[[#This Row],[Comments]]+Posts__2[[#This Row],[Shares]] ) / Posts__2[[#This Row],[Impressions]]</f>
        <v>3.9913595142645857E-2</v>
      </c>
      <c r="O40" s="14">
        <f>_xlfn.XLOOKUP(Posts__2[[#This Row],[Campaign_Name]],'Campaign Metadata'!A:A,'Campaign Metadata'!B:B)</f>
        <v>45717</v>
      </c>
      <c r="P40" s="14">
        <f>_xlfn.XLOOKUP(Posts__2[[#This Row],[Campaign_Name]],'Campaign Metadata'!A:A,'Campaign Metadata'!C:C)</f>
        <v>45747</v>
      </c>
      <c r="Q40" t="str">
        <f>IF(AND(Posts__2[[#This Row],[Date]]&gt;=Posts__2[[#This Row],[Campaign start date]],Posts__2[[#This Row],[Date]]&lt;=Posts__2[[#This Row],[Campaign end date]]),"During","Before")</f>
        <v>Before</v>
      </c>
    </row>
    <row r="41" spans="1:17" x14ac:dyDescent="0.3">
      <c r="A41" t="s">
        <v>104</v>
      </c>
      <c r="B41" t="s">
        <v>50</v>
      </c>
      <c r="C41" s="14">
        <v>45818</v>
      </c>
      <c r="D41" t="s">
        <v>43</v>
      </c>
      <c r="E41" t="s">
        <v>47</v>
      </c>
      <c r="F41">
        <v>3615</v>
      </c>
      <c r="G41">
        <v>192</v>
      </c>
      <c r="H41">
        <v>162</v>
      </c>
      <c r="I41">
        <v>27492</v>
      </c>
      <c r="J41">
        <v>35341</v>
      </c>
      <c r="K41">
        <v>125</v>
      </c>
      <c r="L41" t="s">
        <v>68</v>
      </c>
      <c r="M41" t="s">
        <v>19</v>
      </c>
      <c r="N41">
        <f>(  Posts__2[[#This Row],[Likes]]+Posts__2[[#This Row],[Comments]]+Posts__2[[#This Row],[Shares]] ) / Posts__2[[#This Row],[Impressions]]</f>
        <v>0.14436927106067218</v>
      </c>
      <c r="O41" s="14">
        <f>_xlfn.XLOOKUP(Posts__2[[#This Row],[Campaign_Name]],'Campaign Metadata'!A:A,'Campaign Metadata'!B:B)</f>
        <v>45667</v>
      </c>
      <c r="P41" s="14">
        <f>_xlfn.XLOOKUP(Posts__2[[#This Row],[Campaign_Name]],'Campaign Metadata'!A:A,'Campaign Metadata'!C:C)</f>
        <v>45698</v>
      </c>
      <c r="Q41" t="str">
        <f>IF(AND(Posts__2[[#This Row],[Date]]&gt;=Posts__2[[#This Row],[Campaign start date]],Posts__2[[#This Row],[Date]]&lt;=Posts__2[[#This Row],[Campaign end date]]),"During","Before")</f>
        <v>Before</v>
      </c>
    </row>
    <row r="42" spans="1:17" x14ac:dyDescent="0.3">
      <c r="A42" t="s">
        <v>105</v>
      </c>
      <c r="B42" t="s">
        <v>42</v>
      </c>
      <c r="C42" s="14">
        <v>45401</v>
      </c>
      <c r="D42" t="s">
        <v>43</v>
      </c>
      <c r="E42" t="s">
        <v>52</v>
      </c>
      <c r="F42">
        <v>4001</v>
      </c>
      <c r="G42">
        <v>353</v>
      </c>
      <c r="H42">
        <v>129</v>
      </c>
      <c r="I42">
        <v>41265</v>
      </c>
      <c r="J42">
        <v>37279</v>
      </c>
      <c r="K42">
        <v>275</v>
      </c>
      <c r="L42" t="s">
        <v>45</v>
      </c>
      <c r="M42" t="s">
        <v>19</v>
      </c>
      <c r="N42">
        <f>(  Posts__2[[#This Row],[Likes]]+Posts__2[[#This Row],[Comments]]+Posts__2[[#This Row],[Shares]] ) / Posts__2[[#This Row],[Impressions]]</f>
        <v>0.10863928268508422</v>
      </c>
      <c r="O42" s="14">
        <f>_xlfn.XLOOKUP(Posts__2[[#This Row],[Campaign_Name]],'Campaign Metadata'!A:A,'Campaign Metadata'!B:B)</f>
        <v>45667</v>
      </c>
      <c r="P42" s="14">
        <f>_xlfn.XLOOKUP(Posts__2[[#This Row],[Campaign_Name]],'Campaign Metadata'!A:A,'Campaign Metadata'!C:C)</f>
        <v>45698</v>
      </c>
      <c r="Q42" t="str">
        <f>IF(AND(Posts__2[[#This Row],[Date]]&gt;=Posts__2[[#This Row],[Campaign start date]],Posts__2[[#This Row],[Date]]&lt;=Posts__2[[#This Row],[Campaign end date]]),"During","Before")</f>
        <v>Before</v>
      </c>
    </row>
    <row r="43" spans="1:17" x14ac:dyDescent="0.3">
      <c r="A43" t="s">
        <v>106</v>
      </c>
      <c r="B43" t="s">
        <v>42</v>
      </c>
      <c r="C43" s="14">
        <v>45683</v>
      </c>
      <c r="D43" t="s">
        <v>51</v>
      </c>
      <c r="E43" t="s">
        <v>61</v>
      </c>
      <c r="F43">
        <v>3451</v>
      </c>
      <c r="G43">
        <v>363</v>
      </c>
      <c r="H43">
        <v>393</v>
      </c>
      <c r="I43">
        <v>44853</v>
      </c>
      <c r="J43">
        <v>69032</v>
      </c>
      <c r="K43">
        <v>211</v>
      </c>
      <c r="L43" t="s">
        <v>68</v>
      </c>
      <c r="M43" t="s">
        <v>24</v>
      </c>
      <c r="N43">
        <f>(  Posts__2[[#This Row],[Likes]]+Posts__2[[#This Row],[Comments]]+Posts__2[[#This Row],[Shares]] ) / Posts__2[[#This Row],[Impressions]]</f>
        <v>9.379528682585335E-2</v>
      </c>
      <c r="O43" s="14">
        <f>_xlfn.XLOOKUP(Posts__2[[#This Row],[Campaign_Name]],'Campaign Metadata'!A:A,'Campaign Metadata'!B:B)</f>
        <v>45627</v>
      </c>
      <c r="P43" s="14">
        <f>_xlfn.XLOOKUP(Posts__2[[#This Row],[Campaign_Name]],'Campaign Metadata'!A:A,'Campaign Metadata'!C:C)</f>
        <v>45657</v>
      </c>
      <c r="Q43" t="str">
        <f>IF(AND(Posts__2[[#This Row],[Date]]&gt;=Posts__2[[#This Row],[Campaign start date]],Posts__2[[#This Row],[Date]]&lt;=Posts__2[[#This Row],[Campaign end date]]),"During","Before")</f>
        <v>Before</v>
      </c>
    </row>
    <row r="44" spans="1:17" x14ac:dyDescent="0.3">
      <c r="A44" t="s">
        <v>107</v>
      </c>
      <c r="B44" t="s">
        <v>42</v>
      </c>
      <c r="C44" s="14">
        <v>45702</v>
      </c>
      <c r="D44" t="s">
        <v>43</v>
      </c>
      <c r="E44" t="s">
        <v>67</v>
      </c>
      <c r="F44">
        <v>4891</v>
      </c>
      <c r="G44">
        <v>450</v>
      </c>
      <c r="H44">
        <v>387</v>
      </c>
      <c r="I44">
        <v>48746</v>
      </c>
      <c r="J44">
        <v>37312</v>
      </c>
      <c r="K44">
        <v>154</v>
      </c>
      <c r="L44" t="s">
        <v>45</v>
      </c>
      <c r="M44" t="s">
        <v>19</v>
      </c>
      <c r="N44">
        <f>(  Posts__2[[#This Row],[Likes]]+Posts__2[[#This Row],[Comments]]+Posts__2[[#This Row],[Shares]] ) / Posts__2[[#This Row],[Impressions]]</f>
        <v>0.11750707750379519</v>
      </c>
      <c r="O44" s="14">
        <f>_xlfn.XLOOKUP(Posts__2[[#This Row],[Campaign_Name]],'Campaign Metadata'!A:A,'Campaign Metadata'!B:B)</f>
        <v>45667</v>
      </c>
      <c r="P44" s="14">
        <f>_xlfn.XLOOKUP(Posts__2[[#This Row],[Campaign_Name]],'Campaign Metadata'!A:A,'Campaign Metadata'!C:C)</f>
        <v>45698</v>
      </c>
      <c r="Q44" t="str">
        <f>IF(AND(Posts__2[[#This Row],[Date]]&gt;=Posts__2[[#This Row],[Campaign start date]],Posts__2[[#This Row],[Date]]&lt;=Posts__2[[#This Row],[Campaign end date]]),"During","Before")</f>
        <v>Before</v>
      </c>
    </row>
    <row r="45" spans="1:17" x14ac:dyDescent="0.3">
      <c r="A45" t="s">
        <v>108</v>
      </c>
      <c r="B45" t="s">
        <v>42</v>
      </c>
      <c r="C45" s="14">
        <v>45541</v>
      </c>
      <c r="D45" t="s">
        <v>43</v>
      </c>
      <c r="E45" t="s">
        <v>52</v>
      </c>
      <c r="F45">
        <v>1452</v>
      </c>
      <c r="G45">
        <v>281</v>
      </c>
      <c r="H45">
        <v>326</v>
      </c>
      <c r="I45">
        <v>51556</v>
      </c>
      <c r="J45">
        <v>62599</v>
      </c>
      <c r="K45">
        <v>290</v>
      </c>
      <c r="L45" t="s">
        <v>48</v>
      </c>
      <c r="M45" t="s">
        <v>21</v>
      </c>
      <c r="N45">
        <f>(  Posts__2[[#This Row],[Likes]]+Posts__2[[#This Row],[Comments]]+Posts__2[[#This Row],[Shares]] ) / Posts__2[[#This Row],[Impressions]]</f>
        <v>3.9937155714174881E-2</v>
      </c>
      <c r="O45" s="14">
        <f>_xlfn.XLOOKUP(Posts__2[[#This Row],[Campaign_Name]],'Campaign Metadata'!A:A,'Campaign Metadata'!B:B)</f>
        <v>45717</v>
      </c>
      <c r="P45" s="14">
        <f>_xlfn.XLOOKUP(Posts__2[[#This Row],[Campaign_Name]],'Campaign Metadata'!A:A,'Campaign Metadata'!C:C)</f>
        <v>45747</v>
      </c>
      <c r="Q45" t="str">
        <f>IF(AND(Posts__2[[#This Row],[Date]]&gt;=Posts__2[[#This Row],[Campaign start date]],Posts__2[[#This Row],[Date]]&lt;=Posts__2[[#This Row],[Campaign end date]]),"During","Before")</f>
        <v>Before</v>
      </c>
    </row>
    <row r="46" spans="1:17" x14ac:dyDescent="0.3">
      <c r="A46" t="s">
        <v>109</v>
      </c>
      <c r="B46" t="s">
        <v>57</v>
      </c>
      <c r="C46" s="14">
        <v>45487</v>
      </c>
      <c r="D46" t="s">
        <v>43</v>
      </c>
      <c r="E46" t="s">
        <v>77</v>
      </c>
      <c r="F46">
        <v>3806</v>
      </c>
      <c r="G46">
        <v>114</v>
      </c>
      <c r="H46">
        <v>278</v>
      </c>
      <c r="I46">
        <v>36148</v>
      </c>
      <c r="J46">
        <v>24209</v>
      </c>
      <c r="K46">
        <v>201</v>
      </c>
      <c r="L46" t="s">
        <v>59</v>
      </c>
      <c r="M46" t="s">
        <v>21</v>
      </c>
      <c r="N46">
        <f>(  Posts__2[[#This Row],[Likes]]+Posts__2[[#This Row],[Comments]]+Posts__2[[#This Row],[Shares]] ) / Posts__2[[#This Row],[Impressions]]</f>
        <v>0.11613367267898639</v>
      </c>
      <c r="O46" s="14">
        <f>_xlfn.XLOOKUP(Posts__2[[#This Row],[Campaign_Name]],'Campaign Metadata'!A:A,'Campaign Metadata'!B:B)</f>
        <v>45717</v>
      </c>
      <c r="P46" s="14">
        <f>_xlfn.XLOOKUP(Posts__2[[#This Row],[Campaign_Name]],'Campaign Metadata'!A:A,'Campaign Metadata'!C:C)</f>
        <v>45747</v>
      </c>
      <c r="Q46" t="str">
        <f>IF(AND(Posts__2[[#This Row],[Date]]&gt;=Posts__2[[#This Row],[Campaign start date]],Posts__2[[#This Row],[Date]]&lt;=Posts__2[[#This Row],[Campaign end date]]),"During","Before")</f>
        <v>Before</v>
      </c>
    </row>
    <row r="47" spans="1:17" x14ac:dyDescent="0.3">
      <c r="A47" t="s">
        <v>110</v>
      </c>
      <c r="B47" t="s">
        <v>42</v>
      </c>
      <c r="C47" s="14">
        <v>45334</v>
      </c>
      <c r="D47" t="s">
        <v>43</v>
      </c>
      <c r="E47" t="s">
        <v>47</v>
      </c>
      <c r="F47">
        <v>2923</v>
      </c>
      <c r="G47">
        <v>330</v>
      </c>
      <c r="H47">
        <v>250</v>
      </c>
      <c r="I47">
        <v>23993</v>
      </c>
      <c r="J47">
        <v>74590</v>
      </c>
      <c r="K47">
        <v>92</v>
      </c>
      <c r="L47" t="s">
        <v>48</v>
      </c>
      <c r="M47" t="s">
        <v>21</v>
      </c>
      <c r="N47">
        <f>(  Posts__2[[#This Row],[Likes]]+Posts__2[[#This Row],[Comments]]+Posts__2[[#This Row],[Shares]] ) / Posts__2[[#This Row],[Impressions]]</f>
        <v>0.14600091693410577</v>
      </c>
      <c r="O47" s="14">
        <f>_xlfn.XLOOKUP(Posts__2[[#This Row],[Campaign_Name]],'Campaign Metadata'!A:A,'Campaign Metadata'!B:B)</f>
        <v>45717</v>
      </c>
      <c r="P47" s="14">
        <f>_xlfn.XLOOKUP(Posts__2[[#This Row],[Campaign_Name]],'Campaign Metadata'!A:A,'Campaign Metadata'!C:C)</f>
        <v>45747</v>
      </c>
      <c r="Q47" t="str">
        <f>IF(AND(Posts__2[[#This Row],[Date]]&gt;=Posts__2[[#This Row],[Campaign start date]],Posts__2[[#This Row],[Date]]&lt;=Posts__2[[#This Row],[Campaign end date]]),"During","Before")</f>
        <v>Before</v>
      </c>
    </row>
    <row r="48" spans="1:17" x14ac:dyDescent="0.3">
      <c r="A48" t="s">
        <v>111</v>
      </c>
      <c r="B48" t="s">
        <v>57</v>
      </c>
      <c r="C48" s="14">
        <v>45365</v>
      </c>
      <c r="D48" t="s">
        <v>82</v>
      </c>
      <c r="E48" t="s">
        <v>75</v>
      </c>
      <c r="F48">
        <v>3361</v>
      </c>
      <c r="G48">
        <v>188</v>
      </c>
      <c r="H48">
        <v>358</v>
      </c>
      <c r="I48">
        <v>39838</v>
      </c>
      <c r="J48">
        <v>24536</v>
      </c>
      <c r="K48">
        <v>120</v>
      </c>
      <c r="L48" t="s">
        <v>83</v>
      </c>
      <c r="M48" t="s">
        <v>20</v>
      </c>
      <c r="N48">
        <f>(  Posts__2[[#This Row],[Likes]]+Posts__2[[#This Row],[Comments]]+Posts__2[[#This Row],[Shares]] ) / Posts__2[[#This Row],[Impressions]]</f>
        <v>9.8072192379135503E-2</v>
      </c>
      <c r="O48" s="14">
        <f>_xlfn.XLOOKUP(Posts__2[[#This Row],[Campaign_Name]],'Campaign Metadata'!A:A,'Campaign Metadata'!B:B)</f>
        <v>45458</v>
      </c>
      <c r="P48" s="14">
        <f>_xlfn.XLOOKUP(Posts__2[[#This Row],[Campaign_Name]],'Campaign Metadata'!A:A,'Campaign Metadata'!C:C)</f>
        <v>45488</v>
      </c>
      <c r="Q48" t="str">
        <f>IF(AND(Posts__2[[#This Row],[Date]]&gt;=Posts__2[[#This Row],[Campaign start date]],Posts__2[[#This Row],[Date]]&lt;=Posts__2[[#This Row],[Campaign end date]]),"During","Before")</f>
        <v>Before</v>
      </c>
    </row>
    <row r="49" spans="1:17" x14ac:dyDescent="0.3">
      <c r="A49" t="s">
        <v>112</v>
      </c>
      <c r="B49" t="s">
        <v>42</v>
      </c>
      <c r="C49" s="14">
        <v>45693</v>
      </c>
      <c r="D49" t="s">
        <v>51</v>
      </c>
      <c r="E49" t="s">
        <v>58</v>
      </c>
      <c r="F49">
        <v>3074</v>
      </c>
      <c r="G49">
        <v>371</v>
      </c>
      <c r="H49">
        <v>348</v>
      </c>
      <c r="I49">
        <v>24104</v>
      </c>
      <c r="J49">
        <v>57803</v>
      </c>
      <c r="K49">
        <v>213</v>
      </c>
      <c r="L49" t="s">
        <v>68</v>
      </c>
      <c r="M49" t="s">
        <v>24</v>
      </c>
      <c r="N49">
        <f>(  Posts__2[[#This Row],[Likes]]+Posts__2[[#This Row],[Comments]]+Posts__2[[#This Row],[Shares]] ) / Posts__2[[#This Row],[Impressions]]</f>
        <v>0.15735977431131762</v>
      </c>
      <c r="O49" s="14">
        <f>_xlfn.XLOOKUP(Posts__2[[#This Row],[Campaign_Name]],'Campaign Metadata'!A:A,'Campaign Metadata'!B:B)</f>
        <v>45627</v>
      </c>
      <c r="P49" s="14">
        <f>_xlfn.XLOOKUP(Posts__2[[#This Row],[Campaign_Name]],'Campaign Metadata'!A:A,'Campaign Metadata'!C:C)</f>
        <v>45657</v>
      </c>
      <c r="Q49" t="str">
        <f>IF(AND(Posts__2[[#This Row],[Date]]&gt;=Posts__2[[#This Row],[Campaign start date]],Posts__2[[#This Row],[Date]]&lt;=Posts__2[[#This Row],[Campaign end date]]),"During","Before")</f>
        <v>Before</v>
      </c>
    </row>
    <row r="50" spans="1:17" x14ac:dyDescent="0.3">
      <c r="A50" t="s">
        <v>113</v>
      </c>
      <c r="B50" t="s">
        <v>50</v>
      </c>
      <c r="C50" s="14">
        <v>45533</v>
      </c>
      <c r="D50" t="s">
        <v>51</v>
      </c>
      <c r="E50" t="s">
        <v>63</v>
      </c>
      <c r="F50">
        <v>4276</v>
      </c>
      <c r="G50">
        <v>227</v>
      </c>
      <c r="H50">
        <v>223</v>
      </c>
      <c r="I50">
        <v>43443</v>
      </c>
      <c r="J50">
        <v>41005</v>
      </c>
      <c r="K50">
        <v>191</v>
      </c>
      <c r="L50" t="s">
        <v>65</v>
      </c>
      <c r="M50" t="s">
        <v>19</v>
      </c>
      <c r="N50">
        <f>(  Posts__2[[#This Row],[Likes]]+Posts__2[[#This Row],[Comments]]+Posts__2[[#This Row],[Shares]] ) / Posts__2[[#This Row],[Impressions]]</f>
        <v>0.1087862256289851</v>
      </c>
      <c r="O50" s="14">
        <f>_xlfn.XLOOKUP(Posts__2[[#This Row],[Campaign_Name]],'Campaign Metadata'!A:A,'Campaign Metadata'!B:B)</f>
        <v>45667</v>
      </c>
      <c r="P50" s="14">
        <f>_xlfn.XLOOKUP(Posts__2[[#This Row],[Campaign_Name]],'Campaign Metadata'!A:A,'Campaign Metadata'!C:C)</f>
        <v>45698</v>
      </c>
      <c r="Q50" t="str">
        <f>IF(AND(Posts__2[[#This Row],[Date]]&gt;=Posts__2[[#This Row],[Campaign start date]],Posts__2[[#This Row],[Date]]&lt;=Posts__2[[#This Row],[Campaign end date]]),"During","Before")</f>
        <v>Before</v>
      </c>
    </row>
    <row r="51" spans="1:17" x14ac:dyDescent="0.3">
      <c r="A51" t="s">
        <v>114</v>
      </c>
      <c r="B51" t="s">
        <v>50</v>
      </c>
      <c r="C51" s="14">
        <v>45769</v>
      </c>
      <c r="D51" t="s">
        <v>43</v>
      </c>
      <c r="E51" t="s">
        <v>44</v>
      </c>
      <c r="F51">
        <v>4401</v>
      </c>
      <c r="G51">
        <v>421</v>
      </c>
      <c r="H51">
        <v>216</v>
      </c>
      <c r="I51">
        <v>24890</v>
      </c>
      <c r="J51">
        <v>54361</v>
      </c>
      <c r="K51">
        <v>148</v>
      </c>
      <c r="L51" t="s">
        <v>68</v>
      </c>
      <c r="M51" t="s">
        <v>19</v>
      </c>
      <c r="N51">
        <f>(  Posts__2[[#This Row],[Likes]]+Posts__2[[#This Row],[Comments]]+Posts__2[[#This Row],[Shares]] ) / Posts__2[[#This Row],[Impressions]]</f>
        <v>0.20241060666934513</v>
      </c>
      <c r="O51" s="14">
        <f>_xlfn.XLOOKUP(Posts__2[[#This Row],[Campaign_Name]],'Campaign Metadata'!A:A,'Campaign Metadata'!B:B)</f>
        <v>45667</v>
      </c>
      <c r="P51" s="14">
        <f>_xlfn.XLOOKUP(Posts__2[[#This Row],[Campaign_Name]],'Campaign Metadata'!A:A,'Campaign Metadata'!C:C)</f>
        <v>45698</v>
      </c>
      <c r="Q51" t="str">
        <f>IF(AND(Posts__2[[#This Row],[Date]]&gt;=Posts__2[[#This Row],[Campaign start date]],Posts__2[[#This Row],[Date]]&lt;=Posts__2[[#This Row],[Campaign end date]]),"During","Before")</f>
        <v>Before</v>
      </c>
    </row>
    <row r="52" spans="1:17" x14ac:dyDescent="0.3">
      <c r="A52" t="s">
        <v>115</v>
      </c>
      <c r="B52" t="s">
        <v>57</v>
      </c>
      <c r="C52" s="14">
        <v>45425</v>
      </c>
      <c r="D52" t="s">
        <v>82</v>
      </c>
      <c r="E52" t="s">
        <v>47</v>
      </c>
      <c r="F52">
        <v>4161</v>
      </c>
      <c r="G52">
        <v>481</v>
      </c>
      <c r="H52">
        <v>61</v>
      </c>
      <c r="I52">
        <v>45884</v>
      </c>
      <c r="J52">
        <v>48955</v>
      </c>
      <c r="K52">
        <v>215</v>
      </c>
      <c r="L52" t="s">
        <v>83</v>
      </c>
      <c r="M52" t="s">
        <v>20</v>
      </c>
      <c r="N52">
        <f>(  Posts__2[[#This Row],[Likes]]+Posts__2[[#This Row],[Comments]]+Posts__2[[#This Row],[Shares]] ) / Posts__2[[#This Row],[Impressions]]</f>
        <v>0.10249760265016128</v>
      </c>
      <c r="O52" s="14">
        <f>_xlfn.XLOOKUP(Posts__2[[#This Row],[Campaign_Name]],'Campaign Metadata'!A:A,'Campaign Metadata'!B:B)</f>
        <v>45458</v>
      </c>
      <c r="P52" s="14">
        <f>_xlfn.XLOOKUP(Posts__2[[#This Row],[Campaign_Name]],'Campaign Metadata'!A:A,'Campaign Metadata'!C:C)</f>
        <v>45488</v>
      </c>
      <c r="Q52" t="str">
        <f>IF(AND(Posts__2[[#This Row],[Date]]&gt;=Posts__2[[#This Row],[Campaign start date]],Posts__2[[#This Row],[Date]]&lt;=Posts__2[[#This Row],[Campaign end date]]),"During","Before")</f>
        <v>Before</v>
      </c>
    </row>
    <row r="53" spans="1:17" x14ac:dyDescent="0.3">
      <c r="A53" t="s">
        <v>116</v>
      </c>
      <c r="B53" t="s">
        <v>50</v>
      </c>
      <c r="C53" s="14">
        <v>45539</v>
      </c>
      <c r="D53" t="s">
        <v>51</v>
      </c>
      <c r="E53" t="s">
        <v>52</v>
      </c>
      <c r="F53">
        <v>2613</v>
      </c>
      <c r="G53">
        <v>455</v>
      </c>
      <c r="H53">
        <v>228</v>
      </c>
      <c r="I53">
        <v>21645</v>
      </c>
      <c r="J53">
        <v>61334</v>
      </c>
      <c r="K53">
        <v>261</v>
      </c>
      <c r="L53" t="s">
        <v>65</v>
      </c>
      <c r="M53" t="s">
        <v>19</v>
      </c>
      <c r="N53">
        <f>(  Posts__2[[#This Row],[Likes]]+Posts__2[[#This Row],[Comments]]+Posts__2[[#This Row],[Shares]] ) / Posts__2[[#This Row],[Impressions]]</f>
        <v>0.15227535227535227</v>
      </c>
      <c r="O53" s="14">
        <f>_xlfn.XLOOKUP(Posts__2[[#This Row],[Campaign_Name]],'Campaign Metadata'!A:A,'Campaign Metadata'!B:B)</f>
        <v>45667</v>
      </c>
      <c r="P53" s="14">
        <f>_xlfn.XLOOKUP(Posts__2[[#This Row],[Campaign_Name]],'Campaign Metadata'!A:A,'Campaign Metadata'!C:C)</f>
        <v>45698</v>
      </c>
      <c r="Q53" t="str">
        <f>IF(AND(Posts__2[[#This Row],[Date]]&gt;=Posts__2[[#This Row],[Campaign start date]],Posts__2[[#This Row],[Date]]&lt;=Posts__2[[#This Row],[Campaign end date]]),"During","Before")</f>
        <v>Before</v>
      </c>
    </row>
    <row r="54" spans="1:17" x14ac:dyDescent="0.3">
      <c r="A54" t="s">
        <v>117</v>
      </c>
      <c r="B54" t="s">
        <v>50</v>
      </c>
      <c r="C54" s="14">
        <v>45516</v>
      </c>
      <c r="D54" t="s">
        <v>51</v>
      </c>
      <c r="E54" t="s">
        <v>61</v>
      </c>
      <c r="F54">
        <v>2842</v>
      </c>
      <c r="G54">
        <v>213</v>
      </c>
      <c r="H54">
        <v>331</v>
      </c>
      <c r="I54">
        <v>57660</v>
      </c>
      <c r="J54">
        <v>68606</v>
      </c>
      <c r="K54">
        <v>87</v>
      </c>
      <c r="L54" t="s">
        <v>53</v>
      </c>
      <c r="M54" t="s">
        <v>19</v>
      </c>
      <c r="N54">
        <f>(  Posts__2[[#This Row],[Likes]]+Posts__2[[#This Row],[Comments]]+Posts__2[[#This Row],[Shares]] ) / Posts__2[[#This Row],[Impressions]]</f>
        <v>5.8723551855705859E-2</v>
      </c>
      <c r="O54" s="14">
        <f>_xlfn.XLOOKUP(Posts__2[[#This Row],[Campaign_Name]],'Campaign Metadata'!A:A,'Campaign Metadata'!B:B)</f>
        <v>45667</v>
      </c>
      <c r="P54" s="14">
        <f>_xlfn.XLOOKUP(Posts__2[[#This Row],[Campaign_Name]],'Campaign Metadata'!A:A,'Campaign Metadata'!C:C)</f>
        <v>45698</v>
      </c>
      <c r="Q54" t="str">
        <f>IF(AND(Posts__2[[#This Row],[Date]]&gt;=Posts__2[[#This Row],[Campaign start date]],Posts__2[[#This Row],[Date]]&lt;=Posts__2[[#This Row],[Campaign end date]]),"During","Before")</f>
        <v>Before</v>
      </c>
    </row>
    <row r="55" spans="1:17" x14ac:dyDescent="0.3">
      <c r="A55" t="s">
        <v>118</v>
      </c>
      <c r="B55" t="s">
        <v>42</v>
      </c>
      <c r="C55" s="14">
        <v>45722</v>
      </c>
      <c r="D55" t="s">
        <v>43</v>
      </c>
      <c r="E55" t="s">
        <v>63</v>
      </c>
      <c r="F55">
        <v>4851</v>
      </c>
      <c r="G55">
        <v>460</v>
      </c>
      <c r="H55">
        <v>212</v>
      </c>
      <c r="I55">
        <v>58075</v>
      </c>
      <c r="J55">
        <v>59574</v>
      </c>
      <c r="K55">
        <v>239</v>
      </c>
      <c r="L55" t="s">
        <v>48</v>
      </c>
      <c r="M55" t="s">
        <v>21</v>
      </c>
      <c r="N55">
        <f>(  Posts__2[[#This Row],[Likes]]+Posts__2[[#This Row],[Comments]]+Posts__2[[#This Row],[Shares]] ) / Posts__2[[#This Row],[Impressions]]</f>
        <v>9.5101162290142052E-2</v>
      </c>
      <c r="O55" s="14">
        <f>_xlfn.XLOOKUP(Posts__2[[#This Row],[Campaign_Name]],'Campaign Metadata'!A:A,'Campaign Metadata'!B:B)</f>
        <v>45717</v>
      </c>
      <c r="P55" s="14">
        <f>_xlfn.XLOOKUP(Posts__2[[#This Row],[Campaign_Name]],'Campaign Metadata'!A:A,'Campaign Metadata'!C:C)</f>
        <v>45747</v>
      </c>
      <c r="Q55" t="str">
        <f>IF(AND(Posts__2[[#This Row],[Date]]&gt;=Posts__2[[#This Row],[Campaign start date]],Posts__2[[#This Row],[Date]]&lt;=Posts__2[[#This Row],[Campaign end date]]),"During","Before")</f>
        <v>During</v>
      </c>
    </row>
    <row r="56" spans="1:17" x14ac:dyDescent="0.3">
      <c r="A56" t="s">
        <v>119</v>
      </c>
      <c r="B56" t="s">
        <v>50</v>
      </c>
      <c r="C56" s="14">
        <v>45420</v>
      </c>
      <c r="D56" t="s">
        <v>43</v>
      </c>
      <c r="E56" t="s">
        <v>47</v>
      </c>
      <c r="F56">
        <v>1828</v>
      </c>
      <c r="G56">
        <v>450</v>
      </c>
      <c r="H56">
        <v>214</v>
      </c>
      <c r="I56">
        <v>52115</v>
      </c>
      <c r="J56">
        <v>19166</v>
      </c>
      <c r="K56">
        <v>190</v>
      </c>
      <c r="L56" t="s">
        <v>68</v>
      </c>
      <c r="M56" t="s">
        <v>19</v>
      </c>
      <c r="N56">
        <f>(  Posts__2[[#This Row],[Likes]]+Posts__2[[#This Row],[Comments]]+Posts__2[[#This Row],[Shares]] ) / Posts__2[[#This Row],[Impressions]]</f>
        <v>4.781732706514439E-2</v>
      </c>
      <c r="O56" s="14">
        <f>_xlfn.XLOOKUP(Posts__2[[#This Row],[Campaign_Name]],'Campaign Metadata'!A:A,'Campaign Metadata'!B:B)</f>
        <v>45667</v>
      </c>
      <c r="P56" s="14">
        <f>_xlfn.XLOOKUP(Posts__2[[#This Row],[Campaign_Name]],'Campaign Metadata'!A:A,'Campaign Metadata'!C:C)</f>
        <v>45698</v>
      </c>
      <c r="Q56" t="str">
        <f>IF(AND(Posts__2[[#This Row],[Date]]&gt;=Posts__2[[#This Row],[Campaign start date]],Posts__2[[#This Row],[Date]]&lt;=Posts__2[[#This Row],[Campaign end date]]),"During","Before")</f>
        <v>Before</v>
      </c>
    </row>
    <row r="57" spans="1:17" x14ac:dyDescent="0.3">
      <c r="A57" t="s">
        <v>120</v>
      </c>
      <c r="B57" t="s">
        <v>42</v>
      </c>
      <c r="C57" s="14">
        <v>45707</v>
      </c>
      <c r="D57" t="s">
        <v>51</v>
      </c>
      <c r="E57" t="s">
        <v>75</v>
      </c>
      <c r="F57">
        <v>2422</v>
      </c>
      <c r="G57">
        <v>455</v>
      </c>
      <c r="H57">
        <v>376</v>
      </c>
      <c r="I57">
        <v>23428</v>
      </c>
      <c r="J57">
        <v>46775</v>
      </c>
      <c r="K57">
        <v>259</v>
      </c>
      <c r="L57" t="s">
        <v>68</v>
      </c>
      <c r="M57" t="s">
        <v>24</v>
      </c>
      <c r="N57">
        <f>(  Posts__2[[#This Row],[Likes]]+Posts__2[[#This Row],[Comments]]+Posts__2[[#This Row],[Shares]] ) / Posts__2[[#This Row],[Impressions]]</f>
        <v>0.13885094758408742</v>
      </c>
      <c r="O57" s="14">
        <f>_xlfn.XLOOKUP(Posts__2[[#This Row],[Campaign_Name]],'Campaign Metadata'!A:A,'Campaign Metadata'!B:B)</f>
        <v>45627</v>
      </c>
      <c r="P57" s="14">
        <f>_xlfn.XLOOKUP(Posts__2[[#This Row],[Campaign_Name]],'Campaign Metadata'!A:A,'Campaign Metadata'!C:C)</f>
        <v>45657</v>
      </c>
      <c r="Q57" t="str">
        <f>IF(AND(Posts__2[[#This Row],[Date]]&gt;=Posts__2[[#This Row],[Campaign start date]],Posts__2[[#This Row],[Date]]&lt;=Posts__2[[#This Row],[Campaign end date]]),"During","Before")</f>
        <v>Before</v>
      </c>
    </row>
    <row r="58" spans="1:17" x14ac:dyDescent="0.3">
      <c r="A58" t="s">
        <v>121</v>
      </c>
      <c r="B58" t="s">
        <v>42</v>
      </c>
      <c r="C58" s="14">
        <v>45299</v>
      </c>
      <c r="D58" t="s">
        <v>43</v>
      </c>
      <c r="E58" t="s">
        <v>67</v>
      </c>
      <c r="F58">
        <v>2683</v>
      </c>
      <c r="G58">
        <v>405</v>
      </c>
      <c r="H58">
        <v>223</v>
      </c>
      <c r="I58">
        <v>31233</v>
      </c>
      <c r="J58">
        <v>58106</v>
      </c>
      <c r="K58">
        <v>291</v>
      </c>
      <c r="L58" t="s">
        <v>48</v>
      </c>
      <c r="M58" t="s">
        <v>21</v>
      </c>
      <c r="N58">
        <f>(  Posts__2[[#This Row],[Likes]]+Posts__2[[#This Row],[Comments]]+Posts__2[[#This Row],[Shares]] ) / Posts__2[[#This Row],[Impressions]]</f>
        <v>0.10600966926007749</v>
      </c>
      <c r="O58" s="14">
        <f>_xlfn.XLOOKUP(Posts__2[[#This Row],[Campaign_Name]],'Campaign Metadata'!A:A,'Campaign Metadata'!B:B)</f>
        <v>45717</v>
      </c>
      <c r="P58" s="14">
        <f>_xlfn.XLOOKUP(Posts__2[[#This Row],[Campaign_Name]],'Campaign Metadata'!A:A,'Campaign Metadata'!C:C)</f>
        <v>45747</v>
      </c>
      <c r="Q58" t="str">
        <f>IF(AND(Posts__2[[#This Row],[Date]]&gt;=Posts__2[[#This Row],[Campaign start date]],Posts__2[[#This Row],[Date]]&lt;=Posts__2[[#This Row],[Campaign end date]]),"During","Before")</f>
        <v>Before</v>
      </c>
    </row>
    <row r="59" spans="1:17" x14ac:dyDescent="0.3">
      <c r="A59" t="s">
        <v>122</v>
      </c>
      <c r="B59" t="s">
        <v>57</v>
      </c>
      <c r="C59" s="14">
        <v>45490</v>
      </c>
      <c r="D59" t="s">
        <v>43</v>
      </c>
      <c r="E59" t="s">
        <v>67</v>
      </c>
      <c r="F59">
        <v>3135</v>
      </c>
      <c r="G59">
        <v>110</v>
      </c>
      <c r="H59">
        <v>215</v>
      </c>
      <c r="I59">
        <v>39192</v>
      </c>
      <c r="J59">
        <v>24744</v>
      </c>
      <c r="K59">
        <v>177</v>
      </c>
      <c r="L59" t="s">
        <v>59</v>
      </c>
      <c r="M59" t="s">
        <v>21</v>
      </c>
      <c r="N59">
        <f>(  Posts__2[[#This Row],[Likes]]+Posts__2[[#This Row],[Comments]]+Posts__2[[#This Row],[Shares]] ) / Posts__2[[#This Row],[Impressions]]</f>
        <v>8.8283323127168814E-2</v>
      </c>
      <c r="O59" s="14">
        <f>_xlfn.XLOOKUP(Posts__2[[#This Row],[Campaign_Name]],'Campaign Metadata'!A:A,'Campaign Metadata'!B:B)</f>
        <v>45717</v>
      </c>
      <c r="P59" s="14">
        <f>_xlfn.XLOOKUP(Posts__2[[#This Row],[Campaign_Name]],'Campaign Metadata'!A:A,'Campaign Metadata'!C:C)</f>
        <v>45747</v>
      </c>
      <c r="Q59" t="str">
        <f>IF(AND(Posts__2[[#This Row],[Date]]&gt;=Posts__2[[#This Row],[Campaign start date]],Posts__2[[#This Row],[Date]]&lt;=Posts__2[[#This Row],[Campaign end date]]),"During","Before")</f>
        <v>Before</v>
      </c>
    </row>
    <row r="60" spans="1:17" x14ac:dyDescent="0.3">
      <c r="A60" t="s">
        <v>123</v>
      </c>
      <c r="B60" t="s">
        <v>57</v>
      </c>
      <c r="C60" s="14">
        <v>45514</v>
      </c>
      <c r="D60" t="s">
        <v>43</v>
      </c>
      <c r="E60" t="s">
        <v>75</v>
      </c>
      <c r="F60">
        <v>1105</v>
      </c>
      <c r="G60">
        <v>181</v>
      </c>
      <c r="H60">
        <v>55</v>
      </c>
      <c r="I60">
        <v>53581</v>
      </c>
      <c r="J60">
        <v>74048</v>
      </c>
      <c r="K60">
        <v>220</v>
      </c>
      <c r="L60" t="s">
        <v>59</v>
      </c>
      <c r="M60" t="s">
        <v>21</v>
      </c>
      <c r="N60">
        <f>(  Posts__2[[#This Row],[Likes]]+Posts__2[[#This Row],[Comments]]+Posts__2[[#This Row],[Shares]] ) / Posts__2[[#This Row],[Impressions]]</f>
        <v>2.50275284149232E-2</v>
      </c>
      <c r="O60" s="14">
        <f>_xlfn.XLOOKUP(Posts__2[[#This Row],[Campaign_Name]],'Campaign Metadata'!A:A,'Campaign Metadata'!B:B)</f>
        <v>45717</v>
      </c>
      <c r="P60" s="14">
        <f>_xlfn.XLOOKUP(Posts__2[[#This Row],[Campaign_Name]],'Campaign Metadata'!A:A,'Campaign Metadata'!C:C)</f>
        <v>45747</v>
      </c>
      <c r="Q60" t="str">
        <f>IF(AND(Posts__2[[#This Row],[Date]]&gt;=Posts__2[[#This Row],[Campaign start date]],Posts__2[[#This Row],[Date]]&lt;=Posts__2[[#This Row],[Campaign end date]]),"During","Before")</f>
        <v>Before</v>
      </c>
    </row>
    <row r="61" spans="1:17" x14ac:dyDescent="0.3">
      <c r="A61" t="s">
        <v>124</v>
      </c>
      <c r="B61" t="s">
        <v>57</v>
      </c>
      <c r="C61" s="14">
        <v>45398</v>
      </c>
      <c r="D61" t="s">
        <v>43</v>
      </c>
      <c r="E61" t="s">
        <v>44</v>
      </c>
      <c r="F61">
        <v>4674</v>
      </c>
      <c r="G61">
        <v>326</v>
      </c>
      <c r="H61">
        <v>62</v>
      </c>
      <c r="I61">
        <v>45503</v>
      </c>
      <c r="J61">
        <v>46814</v>
      </c>
      <c r="K61">
        <v>116</v>
      </c>
      <c r="L61" t="s">
        <v>59</v>
      </c>
      <c r="M61" t="s">
        <v>21</v>
      </c>
      <c r="N61">
        <f>(  Posts__2[[#This Row],[Likes]]+Posts__2[[#This Row],[Comments]]+Posts__2[[#This Row],[Shares]] ) / Posts__2[[#This Row],[Impressions]]</f>
        <v>0.11124541239039185</v>
      </c>
      <c r="O61" s="14">
        <f>_xlfn.XLOOKUP(Posts__2[[#This Row],[Campaign_Name]],'Campaign Metadata'!A:A,'Campaign Metadata'!B:B)</f>
        <v>45717</v>
      </c>
      <c r="P61" s="14">
        <f>_xlfn.XLOOKUP(Posts__2[[#This Row],[Campaign_Name]],'Campaign Metadata'!A:A,'Campaign Metadata'!C:C)</f>
        <v>45747</v>
      </c>
      <c r="Q61" t="str">
        <f>IF(AND(Posts__2[[#This Row],[Date]]&gt;=Posts__2[[#This Row],[Campaign start date]],Posts__2[[#This Row],[Date]]&lt;=Posts__2[[#This Row],[Campaign end date]]),"During","Before")</f>
        <v>Before</v>
      </c>
    </row>
    <row r="62" spans="1:17" x14ac:dyDescent="0.3">
      <c r="A62" t="s">
        <v>125</v>
      </c>
      <c r="B62" t="s">
        <v>57</v>
      </c>
      <c r="C62" s="14">
        <v>45292</v>
      </c>
      <c r="D62" t="s">
        <v>82</v>
      </c>
      <c r="E62" t="s">
        <v>47</v>
      </c>
      <c r="F62">
        <v>3437</v>
      </c>
      <c r="G62">
        <v>129</v>
      </c>
      <c r="H62">
        <v>359</v>
      </c>
      <c r="I62">
        <v>44558</v>
      </c>
      <c r="J62">
        <v>30854</v>
      </c>
      <c r="K62">
        <v>171</v>
      </c>
      <c r="L62" t="s">
        <v>83</v>
      </c>
      <c r="M62" t="s">
        <v>20</v>
      </c>
      <c r="N62">
        <f>(  Posts__2[[#This Row],[Likes]]+Posts__2[[#This Row],[Comments]]+Posts__2[[#This Row],[Shares]] ) / Posts__2[[#This Row],[Impressions]]</f>
        <v>8.8087436599488311E-2</v>
      </c>
      <c r="O62" s="14">
        <f>_xlfn.XLOOKUP(Posts__2[[#This Row],[Campaign_Name]],'Campaign Metadata'!A:A,'Campaign Metadata'!B:B)</f>
        <v>45458</v>
      </c>
      <c r="P62" s="14">
        <f>_xlfn.XLOOKUP(Posts__2[[#This Row],[Campaign_Name]],'Campaign Metadata'!A:A,'Campaign Metadata'!C:C)</f>
        <v>45488</v>
      </c>
      <c r="Q62" t="str">
        <f>IF(AND(Posts__2[[#This Row],[Date]]&gt;=Posts__2[[#This Row],[Campaign start date]],Posts__2[[#This Row],[Date]]&lt;=Posts__2[[#This Row],[Campaign end date]]),"During","Before")</f>
        <v>Before</v>
      </c>
    </row>
    <row r="63" spans="1:17" x14ac:dyDescent="0.3">
      <c r="A63" t="s">
        <v>126</v>
      </c>
      <c r="B63" t="s">
        <v>50</v>
      </c>
      <c r="C63" s="14">
        <v>45599</v>
      </c>
      <c r="D63" t="s">
        <v>51</v>
      </c>
      <c r="E63" t="s">
        <v>55</v>
      </c>
      <c r="F63">
        <v>1959</v>
      </c>
      <c r="G63">
        <v>316</v>
      </c>
      <c r="H63">
        <v>82</v>
      </c>
      <c r="I63">
        <v>54036</v>
      </c>
      <c r="J63">
        <v>69015</v>
      </c>
      <c r="K63">
        <v>182</v>
      </c>
      <c r="L63" t="s">
        <v>53</v>
      </c>
      <c r="M63" t="s">
        <v>19</v>
      </c>
      <c r="N63">
        <f>(  Posts__2[[#This Row],[Likes]]+Posts__2[[#This Row],[Comments]]+Posts__2[[#This Row],[Shares]] ) / Posts__2[[#This Row],[Impressions]]</f>
        <v>4.3619068768968837E-2</v>
      </c>
      <c r="O63" s="14">
        <f>_xlfn.XLOOKUP(Posts__2[[#This Row],[Campaign_Name]],'Campaign Metadata'!A:A,'Campaign Metadata'!B:B)</f>
        <v>45667</v>
      </c>
      <c r="P63" s="14">
        <f>_xlfn.XLOOKUP(Posts__2[[#This Row],[Campaign_Name]],'Campaign Metadata'!A:A,'Campaign Metadata'!C:C)</f>
        <v>45698</v>
      </c>
      <c r="Q63" t="str">
        <f>IF(AND(Posts__2[[#This Row],[Date]]&gt;=Posts__2[[#This Row],[Campaign start date]],Posts__2[[#This Row],[Date]]&lt;=Posts__2[[#This Row],[Campaign end date]]),"During","Before")</f>
        <v>Before</v>
      </c>
    </row>
    <row r="64" spans="1:17" x14ac:dyDescent="0.3">
      <c r="A64" t="s">
        <v>127</v>
      </c>
      <c r="B64" t="s">
        <v>50</v>
      </c>
      <c r="C64" s="14">
        <v>45480</v>
      </c>
      <c r="D64" t="s">
        <v>43</v>
      </c>
      <c r="E64" t="s">
        <v>52</v>
      </c>
      <c r="F64">
        <v>1035</v>
      </c>
      <c r="G64">
        <v>137</v>
      </c>
      <c r="H64">
        <v>184</v>
      </c>
      <c r="I64">
        <v>37302</v>
      </c>
      <c r="J64">
        <v>68953</v>
      </c>
      <c r="K64">
        <v>237</v>
      </c>
      <c r="L64" t="s">
        <v>71</v>
      </c>
      <c r="M64" t="s">
        <v>21</v>
      </c>
      <c r="N64">
        <f>(  Posts__2[[#This Row],[Likes]]+Posts__2[[#This Row],[Comments]]+Posts__2[[#This Row],[Shares]] ) / Posts__2[[#This Row],[Impressions]]</f>
        <v>3.6351938233874857E-2</v>
      </c>
      <c r="O64" s="14">
        <f>_xlfn.XLOOKUP(Posts__2[[#This Row],[Campaign_Name]],'Campaign Metadata'!A:A,'Campaign Metadata'!B:B)</f>
        <v>45717</v>
      </c>
      <c r="P64" s="14">
        <f>_xlfn.XLOOKUP(Posts__2[[#This Row],[Campaign_Name]],'Campaign Metadata'!A:A,'Campaign Metadata'!C:C)</f>
        <v>45747</v>
      </c>
      <c r="Q64" t="str">
        <f>IF(AND(Posts__2[[#This Row],[Date]]&gt;=Posts__2[[#This Row],[Campaign start date]],Posts__2[[#This Row],[Date]]&lt;=Posts__2[[#This Row],[Campaign end date]]),"During","Before")</f>
        <v>Before</v>
      </c>
    </row>
    <row r="65" spans="1:17" x14ac:dyDescent="0.3">
      <c r="A65" t="s">
        <v>128</v>
      </c>
      <c r="B65" t="s">
        <v>50</v>
      </c>
      <c r="C65" s="14">
        <v>45679</v>
      </c>
      <c r="D65" t="s">
        <v>51</v>
      </c>
      <c r="E65" t="s">
        <v>52</v>
      </c>
      <c r="F65">
        <v>4478</v>
      </c>
      <c r="G65">
        <v>101</v>
      </c>
      <c r="H65">
        <v>121</v>
      </c>
      <c r="I65">
        <v>51035</v>
      </c>
      <c r="J65">
        <v>58207</v>
      </c>
      <c r="K65">
        <v>205</v>
      </c>
      <c r="L65" t="s">
        <v>53</v>
      </c>
      <c r="M65" t="s">
        <v>19</v>
      </c>
      <c r="N65">
        <f>(  Posts__2[[#This Row],[Likes]]+Posts__2[[#This Row],[Comments]]+Posts__2[[#This Row],[Shares]] ) / Posts__2[[#This Row],[Impressions]]</f>
        <v>9.2093661212893113E-2</v>
      </c>
      <c r="O65" s="14">
        <f>_xlfn.XLOOKUP(Posts__2[[#This Row],[Campaign_Name]],'Campaign Metadata'!A:A,'Campaign Metadata'!B:B)</f>
        <v>45667</v>
      </c>
      <c r="P65" s="14">
        <f>_xlfn.XLOOKUP(Posts__2[[#This Row],[Campaign_Name]],'Campaign Metadata'!A:A,'Campaign Metadata'!C:C)</f>
        <v>45698</v>
      </c>
      <c r="Q65" t="str">
        <f>IF(AND(Posts__2[[#This Row],[Date]]&gt;=Posts__2[[#This Row],[Campaign start date]],Posts__2[[#This Row],[Date]]&lt;=Posts__2[[#This Row],[Campaign end date]]),"During","Before")</f>
        <v>During</v>
      </c>
    </row>
    <row r="66" spans="1:17" x14ac:dyDescent="0.3">
      <c r="A66" t="s">
        <v>129</v>
      </c>
      <c r="B66" t="s">
        <v>57</v>
      </c>
      <c r="C66" s="14">
        <v>45438</v>
      </c>
      <c r="D66" t="s">
        <v>43</v>
      </c>
      <c r="E66" t="s">
        <v>75</v>
      </c>
      <c r="F66">
        <v>1488</v>
      </c>
      <c r="G66">
        <v>327</v>
      </c>
      <c r="H66">
        <v>110</v>
      </c>
      <c r="I66">
        <v>53805</v>
      </c>
      <c r="J66">
        <v>30239</v>
      </c>
      <c r="K66">
        <v>109</v>
      </c>
      <c r="L66" t="s">
        <v>59</v>
      </c>
      <c r="M66" t="s">
        <v>21</v>
      </c>
      <c r="N66">
        <f>(  Posts__2[[#This Row],[Likes]]+Posts__2[[#This Row],[Comments]]+Posts__2[[#This Row],[Shares]] ) / Posts__2[[#This Row],[Impressions]]</f>
        <v>3.5777344113000653E-2</v>
      </c>
      <c r="O66" s="14">
        <f>_xlfn.XLOOKUP(Posts__2[[#This Row],[Campaign_Name]],'Campaign Metadata'!A:A,'Campaign Metadata'!B:B)</f>
        <v>45717</v>
      </c>
      <c r="P66" s="14">
        <f>_xlfn.XLOOKUP(Posts__2[[#This Row],[Campaign_Name]],'Campaign Metadata'!A:A,'Campaign Metadata'!C:C)</f>
        <v>45747</v>
      </c>
      <c r="Q66" t="str">
        <f>IF(AND(Posts__2[[#This Row],[Date]]&gt;=Posts__2[[#This Row],[Campaign start date]],Posts__2[[#This Row],[Date]]&lt;=Posts__2[[#This Row],[Campaign end date]]),"During","Before")</f>
        <v>Before</v>
      </c>
    </row>
    <row r="67" spans="1:17" x14ac:dyDescent="0.3">
      <c r="A67" t="s">
        <v>130</v>
      </c>
      <c r="B67" t="s">
        <v>42</v>
      </c>
      <c r="C67" s="14">
        <v>45763</v>
      </c>
      <c r="D67" t="s">
        <v>43</v>
      </c>
      <c r="E67" t="s">
        <v>55</v>
      </c>
      <c r="F67">
        <v>4836</v>
      </c>
      <c r="G67">
        <v>331</v>
      </c>
      <c r="H67">
        <v>140</v>
      </c>
      <c r="I67">
        <v>58792</v>
      </c>
      <c r="J67">
        <v>47711</v>
      </c>
      <c r="K67">
        <v>227</v>
      </c>
      <c r="L67" t="s">
        <v>45</v>
      </c>
      <c r="M67" t="s">
        <v>19</v>
      </c>
      <c r="N67">
        <f>(  Posts__2[[#This Row],[Likes]]+Posts__2[[#This Row],[Comments]]+Posts__2[[#This Row],[Shares]] ) / Posts__2[[#This Row],[Impressions]]</f>
        <v>9.0267383317458164E-2</v>
      </c>
      <c r="O67" s="14">
        <f>_xlfn.XLOOKUP(Posts__2[[#This Row],[Campaign_Name]],'Campaign Metadata'!A:A,'Campaign Metadata'!B:B)</f>
        <v>45667</v>
      </c>
      <c r="P67" s="14">
        <f>_xlfn.XLOOKUP(Posts__2[[#This Row],[Campaign_Name]],'Campaign Metadata'!A:A,'Campaign Metadata'!C:C)</f>
        <v>45698</v>
      </c>
      <c r="Q67" t="str">
        <f>IF(AND(Posts__2[[#This Row],[Date]]&gt;=Posts__2[[#This Row],[Campaign start date]],Posts__2[[#This Row],[Date]]&lt;=Posts__2[[#This Row],[Campaign end date]]),"During","Before")</f>
        <v>Before</v>
      </c>
    </row>
    <row r="68" spans="1:17" x14ac:dyDescent="0.3">
      <c r="A68" t="s">
        <v>131</v>
      </c>
      <c r="B68" t="s">
        <v>57</v>
      </c>
      <c r="C68" s="14">
        <v>45384</v>
      </c>
      <c r="D68" t="s">
        <v>82</v>
      </c>
      <c r="E68" t="s">
        <v>77</v>
      </c>
      <c r="F68">
        <v>4563</v>
      </c>
      <c r="G68">
        <v>488</v>
      </c>
      <c r="H68">
        <v>356</v>
      </c>
      <c r="I68">
        <v>30619</v>
      </c>
      <c r="J68">
        <v>23328</v>
      </c>
      <c r="K68">
        <v>267</v>
      </c>
      <c r="L68" t="s">
        <v>83</v>
      </c>
      <c r="M68" t="s">
        <v>20</v>
      </c>
      <c r="N68">
        <f>(  Posts__2[[#This Row],[Likes]]+Posts__2[[#This Row],[Comments]]+Posts__2[[#This Row],[Shares]] ) / Posts__2[[#This Row],[Impressions]]</f>
        <v>0.17658969920637513</v>
      </c>
      <c r="O68" s="14">
        <f>_xlfn.XLOOKUP(Posts__2[[#This Row],[Campaign_Name]],'Campaign Metadata'!A:A,'Campaign Metadata'!B:B)</f>
        <v>45458</v>
      </c>
      <c r="P68" s="14">
        <f>_xlfn.XLOOKUP(Posts__2[[#This Row],[Campaign_Name]],'Campaign Metadata'!A:A,'Campaign Metadata'!C:C)</f>
        <v>45488</v>
      </c>
      <c r="Q68" t="str">
        <f>IF(AND(Posts__2[[#This Row],[Date]]&gt;=Posts__2[[#This Row],[Campaign start date]],Posts__2[[#This Row],[Date]]&lt;=Posts__2[[#This Row],[Campaign end date]]),"During","Before")</f>
        <v>Before</v>
      </c>
    </row>
    <row r="69" spans="1:17" x14ac:dyDescent="0.3">
      <c r="A69" t="s">
        <v>132</v>
      </c>
      <c r="B69" t="s">
        <v>50</v>
      </c>
      <c r="C69" s="14">
        <v>45379</v>
      </c>
      <c r="D69" t="s">
        <v>43</v>
      </c>
      <c r="E69" t="s">
        <v>58</v>
      </c>
      <c r="F69">
        <v>3276</v>
      </c>
      <c r="G69">
        <v>421</v>
      </c>
      <c r="H69">
        <v>114</v>
      </c>
      <c r="I69">
        <v>20580</v>
      </c>
      <c r="J69">
        <v>30324</v>
      </c>
      <c r="K69">
        <v>221</v>
      </c>
      <c r="L69" t="s">
        <v>71</v>
      </c>
      <c r="M69" t="s">
        <v>21</v>
      </c>
      <c r="N69">
        <f>(  Posts__2[[#This Row],[Likes]]+Posts__2[[#This Row],[Comments]]+Posts__2[[#This Row],[Shares]] ) / Posts__2[[#This Row],[Impressions]]</f>
        <v>0.18517978620019437</v>
      </c>
      <c r="O69" s="14">
        <f>_xlfn.XLOOKUP(Posts__2[[#This Row],[Campaign_Name]],'Campaign Metadata'!A:A,'Campaign Metadata'!B:B)</f>
        <v>45717</v>
      </c>
      <c r="P69" s="14">
        <f>_xlfn.XLOOKUP(Posts__2[[#This Row],[Campaign_Name]],'Campaign Metadata'!A:A,'Campaign Metadata'!C:C)</f>
        <v>45747</v>
      </c>
      <c r="Q69" t="str">
        <f>IF(AND(Posts__2[[#This Row],[Date]]&gt;=Posts__2[[#This Row],[Campaign start date]],Posts__2[[#This Row],[Date]]&lt;=Posts__2[[#This Row],[Campaign end date]]),"During","Before")</f>
        <v>Before</v>
      </c>
    </row>
    <row r="70" spans="1:17" x14ac:dyDescent="0.3">
      <c r="A70" t="s">
        <v>133</v>
      </c>
      <c r="B70" t="s">
        <v>50</v>
      </c>
      <c r="C70" s="14">
        <v>45643</v>
      </c>
      <c r="D70" t="s">
        <v>51</v>
      </c>
      <c r="E70" t="s">
        <v>58</v>
      </c>
      <c r="F70">
        <v>1316</v>
      </c>
      <c r="G70">
        <v>472</v>
      </c>
      <c r="H70">
        <v>286</v>
      </c>
      <c r="I70">
        <v>44692</v>
      </c>
      <c r="J70">
        <v>53343</v>
      </c>
      <c r="K70">
        <v>227</v>
      </c>
      <c r="L70" t="s">
        <v>65</v>
      </c>
      <c r="M70" t="s">
        <v>19</v>
      </c>
      <c r="N70">
        <f>(  Posts__2[[#This Row],[Likes]]+Posts__2[[#This Row],[Comments]]+Posts__2[[#This Row],[Shares]] ) / Posts__2[[#This Row],[Impressions]]</f>
        <v>4.6406515707509172E-2</v>
      </c>
      <c r="O70" s="14">
        <f>_xlfn.XLOOKUP(Posts__2[[#This Row],[Campaign_Name]],'Campaign Metadata'!A:A,'Campaign Metadata'!B:B)</f>
        <v>45667</v>
      </c>
      <c r="P70" s="14">
        <f>_xlfn.XLOOKUP(Posts__2[[#This Row],[Campaign_Name]],'Campaign Metadata'!A:A,'Campaign Metadata'!C:C)</f>
        <v>45698</v>
      </c>
      <c r="Q70" t="str">
        <f>IF(AND(Posts__2[[#This Row],[Date]]&gt;=Posts__2[[#This Row],[Campaign start date]],Posts__2[[#This Row],[Date]]&lt;=Posts__2[[#This Row],[Campaign end date]]),"During","Before")</f>
        <v>Before</v>
      </c>
    </row>
    <row r="71" spans="1:17" x14ac:dyDescent="0.3">
      <c r="A71" t="s">
        <v>134</v>
      </c>
      <c r="B71" t="s">
        <v>50</v>
      </c>
      <c r="C71" s="14">
        <v>45662</v>
      </c>
      <c r="D71" t="s">
        <v>43</v>
      </c>
      <c r="E71" t="s">
        <v>55</v>
      </c>
      <c r="F71">
        <v>4811</v>
      </c>
      <c r="G71">
        <v>473</v>
      </c>
      <c r="H71">
        <v>254</v>
      </c>
      <c r="I71">
        <v>51964</v>
      </c>
      <c r="J71">
        <v>68795</v>
      </c>
      <c r="K71">
        <v>107</v>
      </c>
      <c r="L71" t="s">
        <v>68</v>
      </c>
      <c r="M71" t="s">
        <v>19</v>
      </c>
      <c r="N71">
        <f>(  Posts__2[[#This Row],[Likes]]+Posts__2[[#This Row],[Comments]]+Posts__2[[#This Row],[Shares]] ) / Posts__2[[#This Row],[Impressions]]</f>
        <v>0.10657378184897237</v>
      </c>
      <c r="O71" s="14">
        <f>_xlfn.XLOOKUP(Posts__2[[#This Row],[Campaign_Name]],'Campaign Metadata'!A:A,'Campaign Metadata'!B:B)</f>
        <v>45667</v>
      </c>
      <c r="P71" s="14">
        <f>_xlfn.XLOOKUP(Posts__2[[#This Row],[Campaign_Name]],'Campaign Metadata'!A:A,'Campaign Metadata'!C:C)</f>
        <v>45698</v>
      </c>
      <c r="Q71" t="str">
        <f>IF(AND(Posts__2[[#This Row],[Date]]&gt;=Posts__2[[#This Row],[Campaign start date]],Posts__2[[#This Row],[Date]]&lt;=Posts__2[[#This Row],[Campaign end date]]),"During","Before")</f>
        <v>Before</v>
      </c>
    </row>
    <row r="72" spans="1:17" x14ac:dyDescent="0.3">
      <c r="A72" t="s">
        <v>135</v>
      </c>
      <c r="B72" t="s">
        <v>50</v>
      </c>
      <c r="C72" s="14">
        <v>45302</v>
      </c>
      <c r="D72" t="s">
        <v>43</v>
      </c>
      <c r="E72" t="s">
        <v>61</v>
      </c>
      <c r="F72">
        <v>4218</v>
      </c>
      <c r="G72">
        <v>247</v>
      </c>
      <c r="H72">
        <v>183</v>
      </c>
      <c r="I72">
        <v>28914</v>
      </c>
      <c r="J72">
        <v>18310</v>
      </c>
      <c r="K72">
        <v>135</v>
      </c>
      <c r="L72" t="s">
        <v>71</v>
      </c>
      <c r="M72" t="s">
        <v>21</v>
      </c>
      <c r="N72">
        <f>(  Posts__2[[#This Row],[Likes]]+Posts__2[[#This Row],[Comments]]+Posts__2[[#This Row],[Shares]] ) / Posts__2[[#This Row],[Impressions]]</f>
        <v>0.1607525766064882</v>
      </c>
      <c r="O72" s="14">
        <f>_xlfn.XLOOKUP(Posts__2[[#This Row],[Campaign_Name]],'Campaign Metadata'!A:A,'Campaign Metadata'!B:B)</f>
        <v>45717</v>
      </c>
      <c r="P72" s="14">
        <f>_xlfn.XLOOKUP(Posts__2[[#This Row],[Campaign_Name]],'Campaign Metadata'!A:A,'Campaign Metadata'!C:C)</f>
        <v>45747</v>
      </c>
      <c r="Q72" t="str">
        <f>IF(AND(Posts__2[[#This Row],[Date]]&gt;=Posts__2[[#This Row],[Campaign start date]],Posts__2[[#This Row],[Date]]&lt;=Posts__2[[#This Row],[Campaign end date]]),"During","Before")</f>
        <v>Before</v>
      </c>
    </row>
    <row r="73" spans="1:17" x14ac:dyDescent="0.3">
      <c r="A73" t="s">
        <v>136</v>
      </c>
      <c r="B73" t="s">
        <v>42</v>
      </c>
      <c r="C73" s="14">
        <v>45576</v>
      </c>
      <c r="D73" t="s">
        <v>43</v>
      </c>
      <c r="E73" t="s">
        <v>75</v>
      </c>
      <c r="F73">
        <v>1360</v>
      </c>
      <c r="G73">
        <v>249</v>
      </c>
      <c r="H73">
        <v>52</v>
      </c>
      <c r="I73">
        <v>20368</v>
      </c>
      <c r="J73">
        <v>42152</v>
      </c>
      <c r="K73">
        <v>193</v>
      </c>
      <c r="L73" t="s">
        <v>48</v>
      </c>
      <c r="M73" t="s">
        <v>21</v>
      </c>
      <c r="N73">
        <f>(  Posts__2[[#This Row],[Likes]]+Posts__2[[#This Row],[Comments]]+Posts__2[[#This Row],[Shares]] ) / Posts__2[[#This Row],[Impressions]]</f>
        <v>8.1549489395129612E-2</v>
      </c>
      <c r="O73" s="14">
        <f>_xlfn.XLOOKUP(Posts__2[[#This Row],[Campaign_Name]],'Campaign Metadata'!A:A,'Campaign Metadata'!B:B)</f>
        <v>45717</v>
      </c>
      <c r="P73" s="14">
        <f>_xlfn.XLOOKUP(Posts__2[[#This Row],[Campaign_Name]],'Campaign Metadata'!A:A,'Campaign Metadata'!C:C)</f>
        <v>45747</v>
      </c>
      <c r="Q73" t="str">
        <f>IF(AND(Posts__2[[#This Row],[Date]]&gt;=Posts__2[[#This Row],[Campaign start date]],Posts__2[[#This Row],[Date]]&lt;=Posts__2[[#This Row],[Campaign end date]]),"During","Before")</f>
        <v>Before</v>
      </c>
    </row>
    <row r="74" spans="1:17" x14ac:dyDescent="0.3">
      <c r="A74" t="s">
        <v>137</v>
      </c>
      <c r="B74" t="s">
        <v>57</v>
      </c>
      <c r="C74" s="14">
        <v>45783</v>
      </c>
      <c r="D74" t="s">
        <v>82</v>
      </c>
      <c r="E74" t="s">
        <v>44</v>
      </c>
      <c r="F74">
        <v>1085</v>
      </c>
      <c r="G74">
        <v>496</v>
      </c>
      <c r="H74">
        <v>320</v>
      </c>
      <c r="I74">
        <v>36528</v>
      </c>
      <c r="J74">
        <v>38599</v>
      </c>
      <c r="K74">
        <v>270</v>
      </c>
      <c r="L74" t="s">
        <v>83</v>
      </c>
      <c r="M74" t="s">
        <v>20</v>
      </c>
      <c r="N74">
        <f>(  Posts__2[[#This Row],[Likes]]+Posts__2[[#This Row],[Comments]]+Posts__2[[#This Row],[Shares]] ) / Posts__2[[#This Row],[Impressions]]</f>
        <v>5.2042268944371438E-2</v>
      </c>
      <c r="O74" s="14">
        <f>_xlfn.XLOOKUP(Posts__2[[#This Row],[Campaign_Name]],'Campaign Metadata'!A:A,'Campaign Metadata'!B:B)</f>
        <v>45458</v>
      </c>
      <c r="P74" s="14">
        <f>_xlfn.XLOOKUP(Posts__2[[#This Row],[Campaign_Name]],'Campaign Metadata'!A:A,'Campaign Metadata'!C:C)</f>
        <v>45488</v>
      </c>
      <c r="Q74" t="str">
        <f>IF(AND(Posts__2[[#This Row],[Date]]&gt;=Posts__2[[#This Row],[Campaign start date]],Posts__2[[#This Row],[Date]]&lt;=Posts__2[[#This Row],[Campaign end date]]),"During","Before")</f>
        <v>Before</v>
      </c>
    </row>
    <row r="75" spans="1:17" x14ac:dyDescent="0.3">
      <c r="A75" t="s">
        <v>138</v>
      </c>
      <c r="B75" t="s">
        <v>50</v>
      </c>
      <c r="C75" s="14">
        <v>45431</v>
      </c>
      <c r="D75" t="s">
        <v>51</v>
      </c>
      <c r="E75" t="s">
        <v>63</v>
      </c>
      <c r="F75">
        <v>1763</v>
      </c>
      <c r="G75">
        <v>206</v>
      </c>
      <c r="H75">
        <v>187</v>
      </c>
      <c r="I75">
        <v>53342</v>
      </c>
      <c r="J75">
        <v>25095</v>
      </c>
      <c r="K75">
        <v>88</v>
      </c>
      <c r="L75" t="s">
        <v>65</v>
      </c>
      <c r="M75" t="s">
        <v>19</v>
      </c>
      <c r="N75">
        <f>(  Posts__2[[#This Row],[Likes]]+Posts__2[[#This Row],[Comments]]+Posts__2[[#This Row],[Shares]] ) / Posts__2[[#This Row],[Impressions]]</f>
        <v>4.0418432004799221E-2</v>
      </c>
      <c r="O75" s="14">
        <f>_xlfn.XLOOKUP(Posts__2[[#This Row],[Campaign_Name]],'Campaign Metadata'!A:A,'Campaign Metadata'!B:B)</f>
        <v>45667</v>
      </c>
      <c r="P75" s="14">
        <f>_xlfn.XLOOKUP(Posts__2[[#This Row],[Campaign_Name]],'Campaign Metadata'!A:A,'Campaign Metadata'!C:C)</f>
        <v>45698</v>
      </c>
      <c r="Q75" t="str">
        <f>IF(AND(Posts__2[[#This Row],[Date]]&gt;=Posts__2[[#This Row],[Campaign start date]],Posts__2[[#This Row],[Date]]&lt;=Posts__2[[#This Row],[Campaign end date]]),"During","Before")</f>
        <v>Before</v>
      </c>
    </row>
    <row r="76" spans="1:17" x14ac:dyDescent="0.3">
      <c r="A76" t="s">
        <v>139</v>
      </c>
      <c r="B76" t="s">
        <v>50</v>
      </c>
      <c r="C76" s="14">
        <v>45313</v>
      </c>
      <c r="D76" t="s">
        <v>51</v>
      </c>
      <c r="E76" t="s">
        <v>75</v>
      </c>
      <c r="F76">
        <v>1554</v>
      </c>
      <c r="G76">
        <v>455</v>
      </c>
      <c r="H76">
        <v>158</v>
      </c>
      <c r="I76">
        <v>41947</v>
      </c>
      <c r="J76">
        <v>48578</v>
      </c>
      <c r="K76">
        <v>101</v>
      </c>
      <c r="L76" t="s">
        <v>45</v>
      </c>
      <c r="M76" t="s">
        <v>19</v>
      </c>
      <c r="N76">
        <f>(  Posts__2[[#This Row],[Likes]]+Posts__2[[#This Row],[Comments]]+Posts__2[[#This Row],[Shares]] ) / Posts__2[[#This Row],[Impressions]]</f>
        <v>5.1660428636136076E-2</v>
      </c>
      <c r="O76" s="14">
        <f>_xlfn.XLOOKUP(Posts__2[[#This Row],[Campaign_Name]],'Campaign Metadata'!A:A,'Campaign Metadata'!B:B)</f>
        <v>45667</v>
      </c>
      <c r="P76" s="14">
        <f>_xlfn.XLOOKUP(Posts__2[[#This Row],[Campaign_Name]],'Campaign Metadata'!A:A,'Campaign Metadata'!C:C)</f>
        <v>45698</v>
      </c>
      <c r="Q76" t="str">
        <f>IF(AND(Posts__2[[#This Row],[Date]]&gt;=Posts__2[[#This Row],[Campaign start date]],Posts__2[[#This Row],[Date]]&lt;=Posts__2[[#This Row],[Campaign end date]]),"During","Before")</f>
        <v>Before</v>
      </c>
    </row>
    <row r="77" spans="1:17" x14ac:dyDescent="0.3">
      <c r="A77" t="s">
        <v>140</v>
      </c>
      <c r="B77" t="s">
        <v>42</v>
      </c>
      <c r="C77" s="14">
        <v>45487</v>
      </c>
      <c r="D77" t="s">
        <v>43</v>
      </c>
      <c r="E77" t="s">
        <v>55</v>
      </c>
      <c r="F77">
        <v>2464</v>
      </c>
      <c r="G77">
        <v>401</v>
      </c>
      <c r="H77">
        <v>78</v>
      </c>
      <c r="I77">
        <v>38665</v>
      </c>
      <c r="J77">
        <v>73593</v>
      </c>
      <c r="K77">
        <v>207</v>
      </c>
      <c r="L77" t="s">
        <v>48</v>
      </c>
      <c r="M77" t="s">
        <v>21</v>
      </c>
      <c r="N77">
        <f>(  Posts__2[[#This Row],[Likes]]+Posts__2[[#This Row],[Comments]]+Posts__2[[#This Row],[Shares]] ) / Posts__2[[#This Row],[Impressions]]</f>
        <v>7.611534979956032E-2</v>
      </c>
      <c r="O77" s="14">
        <f>_xlfn.XLOOKUP(Posts__2[[#This Row],[Campaign_Name]],'Campaign Metadata'!A:A,'Campaign Metadata'!B:B)</f>
        <v>45717</v>
      </c>
      <c r="P77" s="14">
        <f>_xlfn.XLOOKUP(Posts__2[[#This Row],[Campaign_Name]],'Campaign Metadata'!A:A,'Campaign Metadata'!C:C)</f>
        <v>45747</v>
      </c>
      <c r="Q77" t="str">
        <f>IF(AND(Posts__2[[#This Row],[Date]]&gt;=Posts__2[[#This Row],[Campaign start date]],Posts__2[[#This Row],[Date]]&lt;=Posts__2[[#This Row],[Campaign end date]]),"During","Before")</f>
        <v>Before</v>
      </c>
    </row>
    <row r="78" spans="1:17" x14ac:dyDescent="0.3">
      <c r="A78" t="s">
        <v>141</v>
      </c>
      <c r="B78" t="s">
        <v>50</v>
      </c>
      <c r="C78" s="14">
        <v>45805</v>
      </c>
      <c r="D78" t="s">
        <v>43</v>
      </c>
      <c r="E78" t="s">
        <v>75</v>
      </c>
      <c r="F78">
        <v>2418</v>
      </c>
      <c r="G78">
        <v>161</v>
      </c>
      <c r="H78">
        <v>360</v>
      </c>
      <c r="I78">
        <v>30589</v>
      </c>
      <c r="J78">
        <v>41383</v>
      </c>
      <c r="K78">
        <v>88</v>
      </c>
      <c r="L78" t="s">
        <v>68</v>
      </c>
      <c r="M78" t="s">
        <v>19</v>
      </c>
      <c r="N78">
        <f>(  Posts__2[[#This Row],[Likes]]+Posts__2[[#This Row],[Comments]]+Posts__2[[#This Row],[Shares]] ) / Posts__2[[#This Row],[Impressions]]</f>
        <v>9.6080290300434801E-2</v>
      </c>
      <c r="O78" s="14">
        <f>_xlfn.XLOOKUP(Posts__2[[#This Row],[Campaign_Name]],'Campaign Metadata'!A:A,'Campaign Metadata'!B:B)</f>
        <v>45667</v>
      </c>
      <c r="P78" s="14">
        <f>_xlfn.XLOOKUP(Posts__2[[#This Row],[Campaign_Name]],'Campaign Metadata'!A:A,'Campaign Metadata'!C:C)</f>
        <v>45698</v>
      </c>
      <c r="Q78" t="str">
        <f>IF(AND(Posts__2[[#This Row],[Date]]&gt;=Posts__2[[#This Row],[Campaign start date]],Posts__2[[#This Row],[Date]]&lt;=Posts__2[[#This Row],[Campaign end date]]),"During","Before")</f>
        <v>Before</v>
      </c>
    </row>
    <row r="79" spans="1:17" x14ac:dyDescent="0.3">
      <c r="A79" t="s">
        <v>142</v>
      </c>
      <c r="B79" t="s">
        <v>50</v>
      </c>
      <c r="C79" s="14">
        <v>45678</v>
      </c>
      <c r="D79" t="s">
        <v>51</v>
      </c>
      <c r="E79" t="s">
        <v>44</v>
      </c>
      <c r="F79">
        <v>2494</v>
      </c>
      <c r="G79">
        <v>494</v>
      </c>
      <c r="H79">
        <v>55</v>
      </c>
      <c r="I79">
        <v>22580</v>
      </c>
      <c r="J79">
        <v>22214</v>
      </c>
      <c r="K79">
        <v>109</v>
      </c>
      <c r="L79" t="s">
        <v>53</v>
      </c>
      <c r="M79" t="s">
        <v>19</v>
      </c>
      <c r="N79">
        <f>(  Posts__2[[#This Row],[Likes]]+Posts__2[[#This Row],[Comments]]+Posts__2[[#This Row],[Shares]] ) / Posts__2[[#This Row],[Impressions]]</f>
        <v>0.13476527900797167</v>
      </c>
      <c r="O79" s="14">
        <f>_xlfn.XLOOKUP(Posts__2[[#This Row],[Campaign_Name]],'Campaign Metadata'!A:A,'Campaign Metadata'!B:B)</f>
        <v>45667</v>
      </c>
      <c r="P79" s="14">
        <f>_xlfn.XLOOKUP(Posts__2[[#This Row],[Campaign_Name]],'Campaign Metadata'!A:A,'Campaign Metadata'!C:C)</f>
        <v>45698</v>
      </c>
      <c r="Q79" t="str">
        <f>IF(AND(Posts__2[[#This Row],[Date]]&gt;=Posts__2[[#This Row],[Campaign start date]],Posts__2[[#This Row],[Date]]&lt;=Posts__2[[#This Row],[Campaign end date]]),"During","Before")</f>
        <v>During</v>
      </c>
    </row>
    <row r="80" spans="1:17" x14ac:dyDescent="0.3">
      <c r="A80" t="s">
        <v>143</v>
      </c>
      <c r="B80" t="s">
        <v>57</v>
      </c>
      <c r="C80" s="14">
        <v>45304</v>
      </c>
      <c r="D80" t="s">
        <v>82</v>
      </c>
      <c r="E80" t="s">
        <v>52</v>
      </c>
      <c r="F80">
        <v>4781</v>
      </c>
      <c r="G80">
        <v>191</v>
      </c>
      <c r="H80">
        <v>122</v>
      </c>
      <c r="I80">
        <v>35535</v>
      </c>
      <c r="J80">
        <v>50777</v>
      </c>
      <c r="K80">
        <v>128</v>
      </c>
      <c r="L80" t="s">
        <v>83</v>
      </c>
      <c r="M80" t="s">
        <v>20</v>
      </c>
      <c r="N80">
        <f>(  Posts__2[[#This Row],[Likes]]+Posts__2[[#This Row],[Comments]]+Posts__2[[#This Row],[Shares]] ) / Posts__2[[#This Row],[Impressions]]</f>
        <v>0.14335162515829464</v>
      </c>
      <c r="O80" s="14">
        <f>_xlfn.XLOOKUP(Posts__2[[#This Row],[Campaign_Name]],'Campaign Metadata'!A:A,'Campaign Metadata'!B:B)</f>
        <v>45458</v>
      </c>
      <c r="P80" s="14">
        <f>_xlfn.XLOOKUP(Posts__2[[#This Row],[Campaign_Name]],'Campaign Metadata'!A:A,'Campaign Metadata'!C:C)</f>
        <v>45488</v>
      </c>
      <c r="Q80" t="str">
        <f>IF(AND(Posts__2[[#This Row],[Date]]&gt;=Posts__2[[#This Row],[Campaign start date]],Posts__2[[#This Row],[Date]]&lt;=Posts__2[[#This Row],[Campaign end date]]),"During","Before")</f>
        <v>Before</v>
      </c>
    </row>
    <row r="81" spans="1:17" x14ac:dyDescent="0.3">
      <c r="A81" t="s">
        <v>144</v>
      </c>
      <c r="B81" t="s">
        <v>42</v>
      </c>
      <c r="C81" s="14">
        <v>45825</v>
      </c>
      <c r="D81" t="s">
        <v>43</v>
      </c>
      <c r="E81" t="s">
        <v>58</v>
      </c>
      <c r="F81">
        <v>2284</v>
      </c>
      <c r="G81">
        <v>187</v>
      </c>
      <c r="H81">
        <v>260</v>
      </c>
      <c r="I81">
        <v>37400</v>
      </c>
      <c r="J81">
        <v>65014</v>
      </c>
      <c r="K81">
        <v>157</v>
      </c>
      <c r="L81" t="s">
        <v>45</v>
      </c>
      <c r="M81" t="s">
        <v>19</v>
      </c>
      <c r="N81">
        <f>(  Posts__2[[#This Row],[Likes]]+Posts__2[[#This Row],[Comments]]+Posts__2[[#This Row],[Shares]] ) / Posts__2[[#This Row],[Impressions]]</f>
        <v>7.3021390374331557E-2</v>
      </c>
      <c r="O81" s="14">
        <f>_xlfn.XLOOKUP(Posts__2[[#This Row],[Campaign_Name]],'Campaign Metadata'!A:A,'Campaign Metadata'!B:B)</f>
        <v>45667</v>
      </c>
      <c r="P81" s="14">
        <f>_xlfn.XLOOKUP(Posts__2[[#This Row],[Campaign_Name]],'Campaign Metadata'!A:A,'Campaign Metadata'!C:C)</f>
        <v>45698</v>
      </c>
      <c r="Q81" t="str">
        <f>IF(AND(Posts__2[[#This Row],[Date]]&gt;=Posts__2[[#This Row],[Campaign start date]],Posts__2[[#This Row],[Date]]&lt;=Posts__2[[#This Row],[Campaign end date]]),"During","Before")</f>
        <v>Before</v>
      </c>
    </row>
    <row r="82" spans="1:17" x14ac:dyDescent="0.3">
      <c r="A82" t="s">
        <v>145</v>
      </c>
      <c r="B82" t="s">
        <v>50</v>
      </c>
      <c r="C82" s="14">
        <v>45723</v>
      </c>
      <c r="D82" t="s">
        <v>43</v>
      </c>
      <c r="E82" t="s">
        <v>63</v>
      </c>
      <c r="F82">
        <v>4234</v>
      </c>
      <c r="G82">
        <v>486</v>
      </c>
      <c r="H82">
        <v>276</v>
      </c>
      <c r="I82">
        <v>56623</v>
      </c>
      <c r="J82">
        <v>41343</v>
      </c>
      <c r="K82">
        <v>184</v>
      </c>
      <c r="L82" t="s">
        <v>71</v>
      </c>
      <c r="M82" t="s">
        <v>21</v>
      </c>
      <c r="N82">
        <f>(  Posts__2[[#This Row],[Likes]]+Posts__2[[#This Row],[Comments]]+Posts__2[[#This Row],[Shares]] ) / Posts__2[[#This Row],[Impressions]]</f>
        <v>8.8232696960599044E-2</v>
      </c>
      <c r="O82" s="14">
        <f>_xlfn.XLOOKUP(Posts__2[[#This Row],[Campaign_Name]],'Campaign Metadata'!A:A,'Campaign Metadata'!B:B)</f>
        <v>45717</v>
      </c>
      <c r="P82" s="14">
        <f>_xlfn.XLOOKUP(Posts__2[[#This Row],[Campaign_Name]],'Campaign Metadata'!A:A,'Campaign Metadata'!C:C)</f>
        <v>45747</v>
      </c>
      <c r="Q82" t="str">
        <f>IF(AND(Posts__2[[#This Row],[Date]]&gt;=Posts__2[[#This Row],[Campaign start date]],Posts__2[[#This Row],[Date]]&lt;=Posts__2[[#This Row],[Campaign end date]]),"During","Before")</f>
        <v>During</v>
      </c>
    </row>
    <row r="83" spans="1:17" x14ac:dyDescent="0.3">
      <c r="A83" t="s">
        <v>146</v>
      </c>
      <c r="B83" t="s">
        <v>42</v>
      </c>
      <c r="C83" s="14">
        <v>45530</v>
      </c>
      <c r="D83" t="s">
        <v>43</v>
      </c>
      <c r="E83" t="s">
        <v>77</v>
      </c>
      <c r="F83">
        <v>2102</v>
      </c>
      <c r="G83">
        <v>181</v>
      </c>
      <c r="H83">
        <v>306</v>
      </c>
      <c r="I83">
        <v>43650</v>
      </c>
      <c r="J83">
        <v>50079</v>
      </c>
      <c r="K83">
        <v>182</v>
      </c>
      <c r="L83" t="s">
        <v>48</v>
      </c>
      <c r="M83" t="s">
        <v>21</v>
      </c>
      <c r="N83">
        <f>(  Posts__2[[#This Row],[Likes]]+Posts__2[[#This Row],[Comments]]+Posts__2[[#This Row],[Shares]] ) / Posts__2[[#This Row],[Impressions]]</f>
        <v>5.9312714776632303E-2</v>
      </c>
      <c r="O83" s="14">
        <f>_xlfn.XLOOKUP(Posts__2[[#This Row],[Campaign_Name]],'Campaign Metadata'!A:A,'Campaign Metadata'!B:B)</f>
        <v>45717</v>
      </c>
      <c r="P83" s="14">
        <f>_xlfn.XLOOKUP(Posts__2[[#This Row],[Campaign_Name]],'Campaign Metadata'!A:A,'Campaign Metadata'!C:C)</f>
        <v>45747</v>
      </c>
      <c r="Q83" t="str">
        <f>IF(AND(Posts__2[[#This Row],[Date]]&gt;=Posts__2[[#This Row],[Campaign start date]],Posts__2[[#This Row],[Date]]&lt;=Posts__2[[#This Row],[Campaign end date]]),"During","Before")</f>
        <v>Before</v>
      </c>
    </row>
    <row r="84" spans="1:17" x14ac:dyDescent="0.3">
      <c r="A84" t="s">
        <v>147</v>
      </c>
      <c r="B84" t="s">
        <v>50</v>
      </c>
      <c r="C84" s="14">
        <v>45660</v>
      </c>
      <c r="D84" t="s">
        <v>51</v>
      </c>
      <c r="E84" t="s">
        <v>63</v>
      </c>
      <c r="F84">
        <v>4845</v>
      </c>
      <c r="G84">
        <v>158</v>
      </c>
      <c r="H84">
        <v>84</v>
      </c>
      <c r="I84">
        <v>34578</v>
      </c>
      <c r="J84">
        <v>51480</v>
      </c>
      <c r="K84">
        <v>180</v>
      </c>
      <c r="L84" t="s">
        <v>45</v>
      </c>
      <c r="M84" t="s">
        <v>19</v>
      </c>
      <c r="N84">
        <f>(  Posts__2[[#This Row],[Likes]]+Posts__2[[#This Row],[Comments]]+Posts__2[[#This Row],[Shares]] ) / Posts__2[[#This Row],[Impressions]]</f>
        <v>0.1471166637746544</v>
      </c>
      <c r="O84" s="14">
        <f>_xlfn.XLOOKUP(Posts__2[[#This Row],[Campaign_Name]],'Campaign Metadata'!A:A,'Campaign Metadata'!B:B)</f>
        <v>45667</v>
      </c>
      <c r="P84" s="14">
        <f>_xlfn.XLOOKUP(Posts__2[[#This Row],[Campaign_Name]],'Campaign Metadata'!A:A,'Campaign Metadata'!C:C)</f>
        <v>45698</v>
      </c>
      <c r="Q84" t="str">
        <f>IF(AND(Posts__2[[#This Row],[Date]]&gt;=Posts__2[[#This Row],[Campaign start date]],Posts__2[[#This Row],[Date]]&lt;=Posts__2[[#This Row],[Campaign end date]]),"During","Before")</f>
        <v>Before</v>
      </c>
    </row>
    <row r="85" spans="1:17" x14ac:dyDescent="0.3">
      <c r="A85" t="s">
        <v>148</v>
      </c>
      <c r="B85" t="s">
        <v>50</v>
      </c>
      <c r="C85" s="14">
        <v>45507</v>
      </c>
      <c r="D85" t="s">
        <v>43</v>
      </c>
      <c r="E85" t="s">
        <v>77</v>
      </c>
      <c r="F85">
        <v>4247</v>
      </c>
      <c r="G85">
        <v>390</v>
      </c>
      <c r="H85">
        <v>213</v>
      </c>
      <c r="I85">
        <v>29785</v>
      </c>
      <c r="J85">
        <v>57768</v>
      </c>
      <c r="K85">
        <v>122</v>
      </c>
      <c r="L85" t="s">
        <v>68</v>
      </c>
      <c r="M85" t="s">
        <v>19</v>
      </c>
      <c r="N85">
        <f>(  Posts__2[[#This Row],[Likes]]+Posts__2[[#This Row],[Comments]]+Posts__2[[#This Row],[Shares]] ) / Posts__2[[#This Row],[Impressions]]</f>
        <v>0.16283364109451065</v>
      </c>
      <c r="O85" s="14">
        <f>_xlfn.XLOOKUP(Posts__2[[#This Row],[Campaign_Name]],'Campaign Metadata'!A:A,'Campaign Metadata'!B:B)</f>
        <v>45667</v>
      </c>
      <c r="P85" s="14">
        <f>_xlfn.XLOOKUP(Posts__2[[#This Row],[Campaign_Name]],'Campaign Metadata'!A:A,'Campaign Metadata'!C:C)</f>
        <v>45698</v>
      </c>
      <c r="Q85" t="str">
        <f>IF(AND(Posts__2[[#This Row],[Date]]&gt;=Posts__2[[#This Row],[Campaign start date]],Posts__2[[#This Row],[Date]]&lt;=Posts__2[[#This Row],[Campaign end date]]),"During","Before")</f>
        <v>Before</v>
      </c>
    </row>
    <row r="86" spans="1:17" x14ac:dyDescent="0.3">
      <c r="A86" t="s">
        <v>149</v>
      </c>
      <c r="B86" t="s">
        <v>42</v>
      </c>
      <c r="C86" s="14">
        <v>45522</v>
      </c>
      <c r="D86" t="s">
        <v>43</v>
      </c>
      <c r="E86" t="s">
        <v>47</v>
      </c>
      <c r="F86">
        <v>2965</v>
      </c>
      <c r="G86">
        <v>328</v>
      </c>
      <c r="H86">
        <v>171</v>
      </c>
      <c r="I86">
        <v>57685</v>
      </c>
      <c r="J86">
        <v>67536</v>
      </c>
      <c r="K86">
        <v>264</v>
      </c>
      <c r="L86" t="s">
        <v>45</v>
      </c>
      <c r="M86" t="s">
        <v>19</v>
      </c>
      <c r="N86">
        <f>(  Posts__2[[#This Row],[Likes]]+Posts__2[[#This Row],[Comments]]+Posts__2[[#This Row],[Shares]] ) / Posts__2[[#This Row],[Impressions]]</f>
        <v>6.0050273034584378E-2</v>
      </c>
      <c r="O86" s="14">
        <f>_xlfn.XLOOKUP(Posts__2[[#This Row],[Campaign_Name]],'Campaign Metadata'!A:A,'Campaign Metadata'!B:B)</f>
        <v>45667</v>
      </c>
      <c r="P86" s="14">
        <f>_xlfn.XLOOKUP(Posts__2[[#This Row],[Campaign_Name]],'Campaign Metadata'!A:A,'Campaign Metadata'!C:C)</f>
        <v>45698</v>
      </c>
      <c r="Q86" t="str">
        <f>IF(AND(Posts__2[[#This Row],[Date]]&gt;=Posts__2[[#This Row],[Campaign start date]],Posts__2[[#This Row],[Date]]&lt;=Posts__2[[#This Row],[Campaign end date]]),"During","Before")</f>
        <v>Before</v>
      </c>
    </row>
    <row r="87" spans="1:17" x14ac:dyDescent="0.3">
      <c r="A87" t="s">
        <v>150</v>
      </c>
      <c r="B87" t="s">
        <v>50</v>
      </c>
      <c r="C87" s="14">
        <v>45791</v>
      </c>
      <c r="D87" t="s">
        <v>51</v>
      </c>
      <c r="E87" t="s">
        <v>55</v>
      </c>
      <c r="F87">
        <v>1371</v>
      </c>
      <c r="G87">
        <v>139</v>
      </c>
      <c r="H87">
        <v>96</v>
      </c>
      <c r="I87">
        <v>36140</v>
      </c>
      <c r="J87">
        <v>39395</v>
      </c>
      <c r="K87">
        <v>169</v>
      </c>
      <c r="L87" t="s">
        <v>45</v>
      </c>
      <c r="M87" t="s">
        <v>19</v>
      </c>
      <c r="N87">
        <f>(  Posts__2[[#This Row],[Likes]]+Posts__2[[#This Row],[Comments]]+Posts__2[[#This Row],[Shares]] ) / Posts__2[[#This Row],[Impressions]]</f>
        <v>4.4438295517432211E-2</v>
      </c>
      <c r="O87" s="14">
        <f>_xlfn.XLOOKUP(Posts__2[[#This Row],[Campaign_Name]],'Campaign Metadata'!A:A,'Campaign Metadata'!B:B)</f>
        <v>45667</v>
      </c>
      <c r="P87" s="14">
        <f>_xlfn.XLOOKUP(Posts__2[[#This Row],[Campaign_Name]],'Campaign Metadata'!A:A,'Campaign Metadata'!C:C)</f>
        <v>45698</v>
      </c>
      <c r="Q87" t="str">
        <f>IF(AND(Posts__2[[#This Row],[Date]]&gt;=Posts__2[[#This Row],[Campaign start date]],Posts__2[[#This Row],[Date]]&lt;=Posts__2[[#This Row],[Campaign end date]]),"During","Before")</f>
        <v>Before</v>
      </c>
    </row>
    <row r="88" spans="1:17" x14ac:dyDescent="0.3">
      <c r="A88" t="s">
        <v>151</v>
      </c>
      <c r="B88" t="s">
        <v>50</v>
      </c>
      <c r="C88" s="14">
        <v>45405</v>
      </c>
      <c r="D88" t="s">
        <v>51</v>
      </c>
      <c r="E88" t="s">
        <v>44</v>
      </c>
      <c r="F88">
        <v>2683</v>
      </c>
      <c r="G88">
        <v>496</v>
      </c>
      <c r="H88">
        <v>89</v>
      </c>
      <c r="I88">
        <v>53435</v>
      </c>
      <c r="J88">
        <v>30334</v>
      </c>
      <c r="K88">
        <v>160</v>
      </c>
      <c r="L88" t="s">
        <v>45</v>
      </c>
      <c r="M88" t="s">
        <v>19</v>
      </c>
      <c r="N88">
        <f>(  Posts__2[[#This Row],[Likes]]+Posts__2[[#This Row],[Comments]]+Posts__2[[#This Row],[Shares]] ) / Posts__2[[#This Row],[Impressions]]</f>
        <v>6.1158416768035934E-2</v>
      </c>
      <c r="O88" s="14">
        <f>_xlfn.XLOOKUP(Posts__2[[#This Row],[Campaign_Name]],'Campaign Metadata'!A:A,'Campaign Metadata'!B:B)</f>
        <v>45667</v>
      </c>
      <c r="P88" s="14">
        <f>_xlfn.XLOOKUP(Posts__2[[#This Row],[Campaign_Name]],'Campaign Metadata'!A:A,'Campaign Metadata'!C:C)</f>
        <v>45698</v>
      </c>
      <c r="Q88" t="str">
        <f>IF(AND(Posts__2[[#This Row],[Date]]&gt;=Posts__2[[#This Row],[Campaign start date]],Posts__2[[#This Row],[Date]]&lt;=Posts__2[[#This Row],[Campaign end date]]),"During","Before")</f>
        <v>Before</v>
      </c>
    </row>
    <row r="89" spans="1:17" x14ac:dyDescent="0.3">
      <c r="A89" t="s">
        <v>152</v>
      </c>
      <c r="B89" t="s">
        <v>50</v>
      </c>
      <c r="C89" s="14">
        <v>45705</v>
      </c>
      <c r="D89" t="s">
        <v>51</v>
      </c>
      <c r="E89" t="s">
        <v>61</v>
      </c>
      <c r="F89">
        <v>4796</v>
      </c>
      <c r="G89">
        <v>427</v>
      </c>
      <c r="H89">
        <v>339</v>
      </c>
      <c r="I89">
        <v>30752</v>
      </c>
      <c r="J89">
        <v>33870</v>
      </c>
      <c r="K89">
        <v>298</v>
      </c>
      <c r="L89" t="s">
        <v>45</v>
      </c>
      <c r="M89" t="s">
        <v>19</v>
      </c>
      <c r="N89">
        <f>(  Posts__2[[#This Row],[Likes]]+Posts__2[[#This Row],[Comments]]+Posts__2[[#This Row],[Shares]] ) / Posts__2[[#This Row],[Impressions]]</f>
        <v>0.18086628511966701</v>
      </c>
      <c r="O89" s="14">
        <f>_xlfn.XLOOKUP(Posts__2[[#This Row],[Campaign_Name]],'Campaign Metadata'!A:A,'Campaign Metadata'!B:B)</f>
        <v>45667</v>
      </c>
      <c r="P89" s="14">
        <f>_xlfn.XLOOKUP(Posts__2[[#This Row],[Campaign_Name]],'Campaign Metadata'!A:A,'Campaign Metadata'!C:C)</f>
        <v>45698</v>
      </c>
      <c r="Q89" t="str">
        <f>IF(AND(Posts__2[[#This Row],[Date]]&gt;=Posts__2[[#This Row],[Campaign start date]],Posts__2[[#This Row],[Date]]&lt;=Posts__2[[#This Row],[Campaign end date]]),"During","Before")</f>
        <v>Before</v>
      </c>
    </row>
    <row r="90" spans="1:17" x14ac:dyDescent="0.3">
      <c r="A90" t="s">
        <v>153</v>
      </c>
      <c r="B90" t="s">
        <v>42</v>
      </c>
      <c r="C90" s="14">
        <v>45630</v>
      </c>
      <c r="D90" t="s">
        <v>43</v>
      </c>
      <c r="E90" t="s">
        <v>55</v>
      </c>
      <c r="F90">
        <v>2601</v>
      </c>
      <c r="G90">
        <v>336</v>
      </c>
      <c r="H90">
        <v>260</v>
      </c>
      <c r="I90">
        <v>32368</v>
      </c>
      <c r="J90">
        <v>49028</v>
      </c>
      <c r="K90">
        <v>120</v>
      </c>
      <c r="L90" t="s">
        <v>45</v>
      </c>
      <c r="M90" t="s">
        <v>19</v>
      </c>
      <c r="N90">
        <f>(  Posts__2[[#This Row],[Likes]]+Posts__2[[#This Row],[Comments]]+Posts__2[[#This Row],[Shares]] ) / Posts__2[[#This Row],[Impressions]]</f>
        <v>9.8770390509144837E-2</v>
      </c>
      <c r="O90" s="14">
        <f>_xlfn.XLOOKUP(Posts__2[[#This Row],[Campaign_Name]],'Campaign Metadata'!A:A,'Campaign Metadata'!B:B)</f>
        <v>45667</v>
      </c>
      <c r="P90" s="14">
        <f>_xlfn.XLOOKUP(Posts__2[[#This Row],[Campaign_Name]],'Campaign Metadata'!A:A,'Campaign Metadata'!C:C)</f>
        <v>45698</v>
      </c>
      <c r="Q90" t="str">
        <f>IF(AND(Posts__2[[#This Row],[Date]]&gt;=Posts__2[[#This Row],[Campaign start date]],Posts__2[[#This Row],[Date]]&lt;=Posts__2[[#This Row],[Campaign end date]]),"During","Before")</f>
        <v>Before</v>
      </c>
    </row>
    <row r="91" spans="1:17" x14ac:dyDescent="0.3">
      <c r="A91" t="s">
        <v>154</v>
      </c>
      <c r="B91" t="s">
        <v>50</v>
      </c>
      <c r="C91" s="14">
        <v>45495</v>
      </c>
      <c r="D91" t="s">
        <v>51</v>
      </c>
      <c r="E91" t="s">
        <v>55</v>
      </c>
      <c r="F91">
        <v>3336</v>
      </c>
      <c r="G91">
        <v>229</v>
      </c>
      <c r="H91">
        <v>337</v>
      </c>
      <c r="I91">
        <v>22117</v>
      </c>
      <c r="J91">
        <v>26205</v>
      </c>
      <c r="K91">
        <v>160</v>
      </c>
      <c r="L91" t="s">
        <v>53</v>
      </c>
      <c r="M91" t="s">
        <v>19</v>
      </c>
      <c r="N91">
        <f>(  Posts__2[[#This Row],[Likes]]+Posts__2[[#This Row],[Comments]]+Posts__2[[#This Row],[Shares]] ) / Posts__2[[#This Row],[Impressions]]</f>
        <v>0.17642537414658407</v>
      </c>
      <c r="O91" s="14">
        <f>_xlfn.XLOOKUP(Posts__2[[#This Row],[Campaign_Name]],'Campaign Metadata'!A:A,'Campaign Metadata'!B:B)</f>
        <v>45667</v>
      </c>
      <c r="P91" s="14">
        <f>_xlfn.XLOOKUP(Posts__2[[#This Row],[Campaign_Name]],'Campaign Metadata'!A:A,'Campaign Metadata'!C:C)</f>
        <v>45698</v>
      </c>
      <c r="Q91" t="str">
        <f>IF(AND(Posts__2[[#This Row],[Date]]&gt;=Posts__2[[#This Row],[Campaign start date]],Posts__2[[#This Row],[Date]]&lt;=Posts__2[[#This Row],[Campaign end date]]),"During","Before")</f>
        <v>Before</v>
      </c>
    </row>
    <row r="92" spans="1:17" x14ac:dyDescent="0.3">
      <c r="A92" t="s">
        <v>155</v>
      </c>
      <c r="B92" t="s">
        <v>50</v>
      </c>
      <c r="C92" s="14">
        <v>45774</v>
      </c>
      <c r="D92" t="s">
        <v>43</v>
      </c>
      <c r="E92" t="s">
        <v>47</v>
      </c>
      <c r="F92">
        <v>1165</v>
      </c>
      <c r="G92">
        <v>294</v>
      </c>
      <c r="H92">
        <v>163</v>
      </c>
      <c r="I92">
        <v>20659</v>
      </c>
      <c r="J92">
        <v>45926</v>
      </c>
      <c r="K92">
        <v>111</v>
      </c>
      <c r="L92" t="s">
        <v>71</v>
      </c>
      <c r="M92" t="s">
        <v>21</v>
      </c>
      <c r="N92">
        <f>(  Posts__2[[#This Row],[Likes]]+Posts__2[[#This Row],[Comments]]+Posts__2[[#This Row],[Shares]] ) / Posts__2[[#This Row],[Impressions]]</f>
        <v>7.8512996756861422E-2</v>
      </c>
      <c r="O92" s="14">
        <f>_xlfn.XLOOKUP(Posts__2[[#This Row],[Campaign_Name]],'Campaign Metadata'!A:A,'Campaign Metadata'!B:B)</f>
        <v>45717</v>
      </c>
      <c r="P92" s="14">
        <f>_xlfn.XLOOKUP(Posts__2[[#This Row],[Campaign_Name]],'Campaign Metadata'!A:A,'Campaign Metadata'!C:C)</f>
        <v>45747</v>
      </c>
      <c r="Q92" t="str">
        <f>IF(AND(Posts__2[[#This Row],[Date]]&gt;=Posts__2[[#This Row],[Campaign start date]],Posts__2[[#This Row],[Date]]&lt;=Posts__2[[#This Row],[Campaign end date]]),"During","Before")</f>
        <v>Before</v>
      </c>
    </row>
    <row r="93" spans="1:17" x14ac:dyDescent="0.3">
      <c r="A93" t="s">
        <v>156</v>
      </c>
      <c r="B93" t="s">
        <v>57</v>
      </c>
      <c r="C93" s="14">
        <v>45376</v>
      </c>
      <c r="D93" t="s">
        <v>82</v>
      </c>
      <c r="E93" t="s">
        <v>47</v>
      </c>
      <c r="F93">
        <v>1948</v>
      </c>
      <c r="G93">
        <v>155</v>
      </c>
      <c r="H93">
        <v>315</v>
      </c>
      <c r="I93">
        <v>30321</v>
      </c>
      <c r="J93">
        <v>57121</v>
      </c>
      <c r="K93">
        <v>82</v>
      </c>
      <c r="L93" t="s">
        <v>83</v>
      </c>
      <c r="M93" t="s">
        <v>20</v>
      </c>
      <c r="N93">
        <f>(  Posts__2[[#This Row],[Likes]]+Posts__2[[#This Row],[Comments]]+Posts__2[[#This Row],[Shares]] ) / Posts__2[[#This Row],[Impressions]]</f>
        <v>7.974671020085089E-2</v>
      </c>
      <c r="O93" s="14">
        <f>_xlfn.XLOOKUP(Posts__2[[#This Row],[Campaign_Name]],'Campaign Metadata'!A:A,'Campaign Metadata'!B:B)</f>
        <v>45458</v>
      </c>
      <c r="P93" s="14">
        <f>_xlfn.XLOOKUP(Posts__2[[#This Row],[Campaign_Name]],'Campaign Metadata'!A:A,'Campaign Metadata'!C:C)</f>
        <v>45488</v>
      </c>
      <c r="Q93" t="str">
        <f>IF(AND(Posts__2[[#This Row],[Date]]&gt;=Posts__2[[#This Row],[Campaign start date]],Posts__2[[#This Row],[Date]]&lt;=Posts__2[[#This Row],[Campaign end date]]),"During","Before")</f>
        <v>Before</v>
      </c>
    </row>
    <row r="94" spans="1:17" x14ac:dyDescent="0.3">
      <c r="A94" t="s">
        <v>157</v>
      </c>
      <c r="B94" t="s">
        <v>42</v>
      </c>
      <c r="C94" s="14">
        <v>45351</v>
      </c>
      <c r="D94" t="s">
        <v>43</v>
      </c>
      <c r="E94" t="s">
        <v>75</v>
      </c>
      <c r="F94">
        <v>1100</v>
      </c>
      <c r="G94">
        <v>229</v>
      </c>
      <c r="H94">
        <v>312</v>
      </c>
      <c r="I94">
        <v>25641</v>
      </c>
      <c r="J94">
        <v>34601</v>
      </c>
      <c r="K94">
        <v>169</v>
      </c>
      <c r="L94" t="s">
        <v>48</v>
      </c>
      <c r="M94" t="s">
        <v>21</v>
      </c>
      <c r="N94">
        <f>(  Posts__2[[#This Row],[Likes]]+Posts__2[[#This Row],[Comments]]+Posts__2[[#This Row],[Shares]] ) / Posts__2[[#This Row],[Impressions]]</f>
        <v>6.3999063999063993E-2</v>
      </c>
      <c r="O94" s="14">
        <f>_xlfn.XLOOKUP(Posts__2[[#This Row],[Campaign_Name]],'Campaign Metadata'!A:A,'Campaign Metadata'!B:B)</f>
        <v>45717</v>
      </c>
      <c r="P94" s="14">
        <f>_xlfn.XLOOKUP(Posts__2[[#This Row],[Campaign_Name]],'Campaign Metadata'!A:A,'Campaign Metadata'!C:C)</f>
        <v>45747</v>
      </c>
      <c r="Q94" t="str">
        <f>IF(AND(Posts__2[[#This Row],[Date]]&gt;=Posts__2[[#This Row],[Campaign start date]],Posts__2[[#This Row],[Date]]&lt;=Posts__2[[#This Row],[Campaign end date]]),"During","Before")</f>
        <v>Before</v>
      </c>
    </row>
    <row r="95" spans="1:17" x14ac:dyDescent="0.3">
      <c r="A95" t="s">
        <v>158</v>
      </c>
      <c r="B95" t="s">
        <v>50</v>
      </c>
      <c r="C95" s="14">
        <v>45609</v>
      </c>
      <c r="D95" t="s">
        <v>51</v>
      </c>
      <c r="E95" t="s">
        <v>67</v>
      </c>
      <c r="F95">
        <v>4628</v>
      </c>
      <c r="G95">
        <v>257</v>
      </c>
      <c r="H95">
        <v>397</v>
      </c>
      <c r="I95">
        <v>36686</v>
      </c>
      <c r="J95">
        <v>54683</v>
      </c>
      <c r="K95">
        <v>98</v>
      </c>
      <c r="L95" t="s">
        <v>45</v>
      </c>
      <c r="M95" t="s">
        <v>19</v>
      </c>
      <c r="N95">
        <f>(  Posts__2[[#This Row],[Likes]]+Posts__2[[#This Row],[Comments]]+Posts__2[[#This Row],[Shares]] ) / Posts__2[[#This Row],[Impressions]]</f>
        <v>0.1439786294499264</v>
      </c>
      <c r="O95" s="14">
        <f>_xlfn.XLOOKUP(Posts__2[[#This Row],[Campaign_Name]],'Campaign Metadata'!A:A,'Campaign Metadata'!B:B)</f>
        <v>45667</v>
      </c>
      <c r="P95" s="14">
        <f>_xlfn.XLOOKUP(Posts__2[[#This Row],[Campaign_Name]],'Campaign Metadata'!A:A,'Campaign Metadata'!C:C)</f>
        <v>45698</v>
      </c>
      <c r="Q95" t="str">
        <f>IF(AND(Posts__2[[#This Row],[Date]]&gt;=Posts__2[[#This Row],[Campaign start date]],Posts__2[[#This Row],[Date]]&lt;=Posts__2[[#This Row],[Campaign end date]]),"During","Before")</f>
        <v>Before</v>
      </c>
    </row>
    <row r="96" spans="1:17" x14ac:dyDescent="0.3">
      <c r="A96" t="s">
        <v>159</v>
      </c>
      <c r="B96" t="s">
        <v>42</v>
      </c>
      <c r="C96" s="14">
        <v>45373</v>
      </c>
      <c r="D96" t="s">
        <v>51</v>
      </c>
      <c r="E96" t="s">
        <v>44</v>
      </c>
      <c r="F96">
        <v>2319</v>
      </c>
      <c r="G96">
        <v>484</v>
      </c>
      <c r="H96">
        <v>193</v>
      </c>
      <c r="I96">
        <v>21202</v>
      </c>
      <c r="J96">
        <v>18091</v>
      </c>
      <c r="K96">
        <v>241</v>
      </c>
      <c r="L96" t="s">
        <v>68</v>
      </c>
      <c r="M96" t="s">
        <v>24</v>
      </c>
      <c r="N96">
        <f>(  Posts__2[[#This Row],[Likes]]+Posts__2[[#This Row],[Comments]]+Posts__2[[#This Row],[Shares]] ) / Posts__2[[#This Row],[Impressions]]</f>
        <v>0.14130742382794076</v>
      </c>
      <c r="O96" s="14">
        <f>_xlfn.XLOOKUP(Posts__2[[#This Row],[Campaign_Name]],'Campaign Metadata'!A:A,'Campaign Metadata'!B:B)</f>
        <v>45627</v>
      </c>
      <c r="P96" s="14">
        <f>_xlfn.XLOOKUP(Posts__2[[#This Row],[Campaign_Name]],'Campaign Metadata'!A:A,'Campaign Metadata'!C:C)</f>
        <v>45657</v>
      </c>
      <c r="Q96" t="str">
        <f>IF(AND(Posts__2[[#This Row],[Date]]&gt;=Posts__2[[#This Row],[Campaign start date]],Posts__2[[#This Row],[Date]]&lt;=Posts__2[[#This Row],[Campaign end date]]),"During","Before")</f>
        <v>Before</v>
      </c>
    </row>
    <row r="97" spans="1:17" x14ac:dyDescent="0.3">
      <c r="A97" t="s">
        <v>160</v>
      </c>
      <c r="B97" t="s">
        <v>50</v>
      </c>
      <c r="C97" s="14">
        <v>45367</v>
      </c>
      <c r="D97" t="s">
        <v>51</v>
      </c>
      <c r="E97" t="s">
        <v>55</v>
      </c>
      <c r="F97">
        <v>2895</v>
      </c>
      <c r="G97">
        <v>292</v>
      </c>
      <c r="H97">
        <v>90</v>
      </c>
      <c r="I97">
        <v>24223</v>
      </c>
      <c r="J97">
        <v>54626</v>
      </c>
      <c r="K97">
        <v>114</v>
      </c>
      <c r="L97" t="s">
        <v>45</v>
      </c>
      <c r="M97" t="s">
        <v>19</v>
      </c>
      <c r="N97">
        <f>(  Posts__2[[#This Row],[Likes]]+Posts__2[[#This Row],[Comments]]+Posts__2[[#This Row],[Shares]] ) / Posts__2[[#This Row],[Impressions]]</f>
        <v>0.13528464682326713</v>
      </c>
      <c r="O97" s="14">
        <f>_xlfn.XLOOKUP(Posts__2[[#This Row],[Campaign_Name]],'Campaign Metadata'!A:A,'Campaign Metadata'!B:B)</f>
        <v>45667</v>
      </c>
      <c r="P97" s="14">
        <f>_xlfn.XLOOKUP(Posts__2[[#This Row],[Campaign_Name]],'Campaign Metadata'!A:A,'Campaign Metadata'!C:C)</f>
        <v>45698</v>
      </c>
      <c r="Q97" t="str">
        <f>IF(AND(Posts__2[[#This Row],[Date]]&gt;=Posts__2[[#This Row],[Campaign start date]],Posts__2[[#This Row],[Date]]&lt;=Posts__2[[#This Row],[Campaign end date]]),"During","Before")</f>
        <v>Before</v>
      </c>
    </row>
    <row r="98" spans="1:17" x14ac:dyDescent="0.3">
      <c r="A98" t="s">
        <v>161</v>
      </c>
      <c r="B98" t="s">
        <v>42</v>
      </c>
      <c r="C98" s="14">
        <v>45317</v>
      </c>
      <c r="D98" t="s">
        <v>43</v>
      </c>
      <c r="E98" t="s">
        <v>61</v>
      </c>
      <c r="F98">
        <v>3878</v>
      </c>
      <c r="G98">
        <v>431</v>
      </c>
      <c r="H98">
        <v>97</v>
      </c>
      <c r="I98">
        <v>41763</v>
      </c>
      <c r="J98">
        <v>29729</v>
      </c>
      <c r="K98">
        <v>191</v>
      </c>
      <c r="L98" t="s">
        <v>48</v>
      </c>
      <c r="M98" t="s">
        <v>21</v>
      </c>
      <c r="N98">
        <f>(  Posts__2[[#This Row],[Likes]]+Posts__2[[#This Row],[Comments]]+Posts__2[[#This Row],[Shares]] ) / Posts__2[[#This Row],[Impressions]]</f>
        <v>0.10550008380623997</v>
      </c>
      <c r="O98" s="14">
        <f>_xlfn.XLOOKUP(Posts__2[[#This Row],[Campaign_Name]],'Campaign Metadata'!A:A,'Campaign Metadata'!B:B)</f>
        <v>45717</v>
      </c>
      <c r="P98" s="14">
        <f>_xlfn.XLOOKUP(Posts__2[[#This Row],[Campaign_Name]],'Campaign Metadata'!A:A,'Campaign Metadata'!C:C)</f>
        <v>45747</v>
      </c>
      <c r="Q98" t="str">
        <f>IF(AND(Posts__2[[#This Row],[Date]]&gt;=Posts__2[[#This Row],[Campaign start date]],Posts__2[[#This Row],[Date]]&lt;=Posts__2[[#This Row],[Campaign end date]]),"During","Before")</f>
        <v>Before</v>
      </c>
    </row>
    <row r="99" spans="1:17" x14ac:dyDescent="0.3">
      <c r="A99" t="s">
        <v>162</v>
      </c>
      <c r="B99" t="s">
        <v>50</v>
      </c>
      <c r="C99" s="14">
        <v>45366</v>
      </c>
      <c r="D99" t="s">
        <v>51</v>
      </c>
      <c r="E99" t="s">
        <v>63</v>
      </c>
      <c r="F99">
        <v>4969</v>
      </c>
      <c r="G99">
        <v>433</v>
      </c>
      <c r="H99">
        <v>237</v>
      </c>
      <c r="I99">
        <v>59552</v>
      </c>
      <c r="J99">
        <v>23885</v>
      </c>
      <c r="K99">
        <v>157</v>
      </c>
      <c r="L99" t="s">
        <v>65</v>
      </c>
      <c r="M99" t="s">
        <v>19</v>
      </c>
      <c r="N99">
        <f>(  Posts__2[[#This Row],[Likes]]+Posts__2[[#This Row],[Comments]]+Posts__2[[#This Row],[Shares]] ) / Posts__2[[#This Row],[Impressions]]</f>
        <v>9.4690354648038683E-2</v>
      </c>
      <c r="O99" s="14">
        <f>_xlfn.XLOOKUP(Posts__2[[#This Row],[Campaign_Name]],'Campaign Metadata'!A:A,'Campaign Metadata'!B:B)</f>
        <v>45667</v>
      </c>
      <c r="P99" s="14">
        <f>_xlfn.XLOOKUP(Posts__2[[#This Row],[Campaign_Name]],'Campaign Metadata'!A:A,'Campaign Metadata'!C:C)</f>
        <v>45698</v>
      </c>
      <c r="Q99" t="str">
        <f>IF(AND(Posts__2[[#This Row],[Date]]&gt;=Posts__2[[#This Row],[Campaign start date]],Posts__2[[#This Row],[Date]]&lt;=Posts__2[[#This Row],[Campaign end date]]),"During","Before")</f>
        <v>Before</v>
      </c>
    </row>
    <row r="100" spans="1:17" x14ac:dyDescent="0.3">
      <c r="A100" t="s">
        <v>163</v>
      </c>
      <c r="B100" t="s">
        <v>50</v>
      </c>
      <c r="C100" s="14">
        <v>45580</v>
      </c>
      <c r="D100" t="s">
        <v>43</v>
      </c>
      <c r="E100" t="s">
        <v>55</v>
      </c>
      <c r="F100">
        <v>1984</v>
      </c>
      <c r="G100">
        <v>481</v>
      </c>
      <c r="H100">
        <v>356</v>
      </c>
      <c r="I100">
        <v>40681</v>
      </c>
      <c r="J100">
        <v>63111</v>
      </c>
      <c r="K100">
        <v>258</v>
      </c>
      <c r="L100" t="s">
        <v>68</v>
      </c>
      <c r="M100" t="s">
        <v>19</v>
      </c>
      <c r="N100">
        <f>(  Posts__2[[#This Row],[Likes]]+Posts__2[[#This Row],[Comments]]+Posts__2[[#This Row],[Shares]] ) / Posts__2[[#This Row],[Impressions]]</f>
        <v>6.934441139598338E-2</v>
      </c>
      <c r="O100" s="14">
        <f>_xlfn.XLOOKUP(Posts__2[[#This Row],[Campaign_Name]],'Campaign Metadata'!A:A,'Campaign Metadata'!B:B)</f>
        <v>45667</v>
      </c>
      <c r="P100" s="14">
        <f>_xlfn.XLOOKUP(Posts__2[[#This Row],[Campaign_Name]],'Campaign Metadata'!A:A,'Campaign Metadata'!C:C)</f>
        <v>45698</v>
      </c>
      <c r="Q100" t="str">
        <f>IF(AND(Posts__2[[#This Row],[Date]]&gt;=Posts__2[[#This Row],[Campaign start date]],Posts__2[[#This Row],[Date]]&lt;=Posts__2[[#This Row],[Campaign end date]]),"During","Before")</f>
        <v>Before</v>
      </c>
    </row>
    <row r="101" spans="1:17" x14ac:dyDescent="0.3">
      <c r="A101" t="s">
        <v>164</v>
      </c>
      <c r="B101" t="s">
        <v>42</v>
      </c>
      <c r="C101" s="14">
        <v>45494</v>
      </c>
      <c r="D101" t="s">
        <v>43</v>
      </c>
      <c r="E101" t="s">
        <v>44</v>
      </c>
      <c r="F101">
        <v>3004</v>
      </c>
      <c r="G101">
        <v>415</v>
      </c>
      <c r="H101">
        <v>218</v>
      </c>
      <c r="I101">
        <v>36090</v>
      </c>
      <c r="J101">
        <v>37073</v>
      </c>
      <c r="K101">
        <v>181</v>
      </c>
      <c r="L101" t="s">
        <v>48</v>
      </c>
      <c r="M101" t="s">
        <v>21</v>
      </c>
      <c r="N101">
        <f>(  Posts__2[[#This Row],[Likes]]+Posts__2[[#This Row],[Comments]]+Posts__2[[#This Row],[Shares]] ) / Posts__2[[#This Row],[Impressions]]</f>
        <v>0.10077583818232197</v>
      </c>
      <c r="O101" s="14">
        <f>_xlfn.XLOOKUP(Posts__2[[#This Row],[Campaign_Name]],'Campaign Metadata'!A:A,'Campaign Metadata'!B:B)</f>
        <v>45717</v>
      </c>
      <c r="P101" s="14">
        <f>_xlfn.XLOOKUP(Posts__2[[#This Row],[Campaign_Name]],'Campaign Metadata'!A:A,'Campaign Metadata'!C:C)</f>
        <v>45747</v>
      </c>
      <c r="Q101" t="str">
        <f>IF(AND(Posts__2[[#This Row],[Date]]&gt;=Posts__2[[#This Row],[Campaign start date]],Posts__2[[#This Row],[Date]]&lt;=Posts__2[[#This Row],[Campaign end date]]),"During","Before")</f>
        <v>Before</v>
      </c>
    </row>
    <row r="102" spans="1:17" x14ac:dyDescent="0.3">
      <c r="A102" t="s">
        <v>165</v>
      </c>
      <c r="B102" t="s">
        <v>50</v>
      </c>
      <c r="C102" s="14">
        <v>45577</v>
      </c>
      <c r="D102" t="s">
        <v>43</v>
      </c>
      <c r="E102" t="s">
        <v>63</v>
      </c>
      <c r="F102">
        <v>3169</v>
      </c>
      <c r="G102">
        <v>386</v>
      </c>
      <c r="H102">
        <v>175</v>
      </c>
      <c r="I102">
        <v>45012</v>
      </c>
      <c r="J102">
        <v>38508</v>
      </c>
      <c r="K102">
        <v>218</v>
      </c>
      <c r="L102" t="s">
        <v>68</v>
      </c>
      <c r="M102" t="s">
        <v>19</v>
      </c>
      <c r="N102">
        <f>(  Posts__2[[#This Row],[Likes]]+Posts__2[[#This Row],[Comments]]+Posts__2[[#This Row],[Shares]] ) / Posts__2[[#This Row],[Impressions]]</f>
        <v>8.2866791077934779E-2</v>
      </c>
      <c r="O102" s="14">
        <f>_xlfn.XLOOKUP(Posts__2[[#This Row],[Campaign_Name]],'Campaign Metadata'!A:A,'Campaign Metadata'!B:B)</f>
        <v>45667</v>
      </c>
      <c r="P102" s="14">
        <f>_xlfn.XLOOKUP(Posts__2[[#This Row],[Campaign_Name]],'Campaign Metadata'!A:A,'Campaign Metadata'!C:C)</f>
        <v>45698</v>
      </c>
      <c r="Q102" t="str">
        <f>IF(AND(Posts__2[[#This Row],[Date]]&gt;=Posts__2[[#This Row],[Campaign start date]],Posts__2[[#This Row],[Date]]&lt;=Posts__2[[#This Row],[Campaign end date]]),"During","Before")</f>
        <v>Before</v>
      </c>
    </row>
    <row r="103" spans="1:17" x14ac:dyDescent="0.3">
      <c r="A103" t="s">
        <v>166</v>
      </c>
      <c r="B103" t="s">
        <v>50</v>
      </c>
      <c r="C103" s="14">
        <v>45591</v>
      </c>
      <c r="D103" t="s">
        <v>43</v>
      </c>
      <c r="E103" t="s">
        <v>44</v>
      </c>
      <c r="F103">
        <v>3036</v>
      </c>
      <c r="G103">
        <v>293</v>
      </c>
      <c r="H103">
        <v>115</v>
      </c>
      <c r="I103">
        <v>23776</v>
      </c>
      <c r="J103">
        <v>46386</v>
      </c>
      <c r="K103">
        <v>282</v>
      </c>
      <c r="L103" t="s">
        <v>68</v>
      </c>
      <c r="M103" t="s">
        <v>19</v>
      </c>
      <c r="N103">
        <f>(  Posts__2[[#This Row],[Likes]]+Posts__2[[#This Row],[Comments]]+Posts__2[[#This Row],[Shares]] ) / Posts__2[[#This Row],[Impressions]]</f>
        <v>0.14485195154777927</v>
      </c>
      <c r="O103" s="14">
        <f>_xlfn.XLOOKUP(Posts__2[[#This Row],[Campaign_Name]],'Campaign Metadata'!A:A,'Campaign Metadata'!B:B)</f>
        <v>45667</v>
      </c>
      <c r="P103" s="14">
        <f>_xlfn.XLOOKUP(Posts__2[[#This Row],[Campaign_Name]],'Campaign Metadata'!A:A,'Campaign Metadata'!C:C)</f>
        <v>45698</v>
      </c>
      <c r="Q103" t="str">
        <f>IF(AND(Posts__2[[#This Row],[Date]]&gt;=Posts__2[[#This Row],[Campaign start date]],Posts__2[[#This Row],[Date]]&lt;=Posts__2[[#This Row],[Campaign end date]]),"During","Before")</f>
        <v>Before</v>
      </c>
    </row>
    <row r="104" spans="1:17" x14ac:dyDescent="0.3">
      <c r="A104" t="s">
        <v>167</v>
      </c>
      <c r="B104" t="s">
        <v>42</v>
      </c>
      <c r="C104" s="14">
        <v>45336</v>
      </c>
      <c r="D104" t="s">
        <v>43</v>
      </c>
      <c r="E104" t="s">
        <v>58</v>
      </c>
      <c r="F104">
        <v>1830</v>
      </c>
      <c r="G104">
        <v>112</v>
      </c>
      <c r="H104">
        <v>181</v>
      </c>
      <c r="I104">
        <v>31870</v>
      </c>
      <c r="J104">
        <v>55742</v>
      </c>
      <c r="K104">
        <v>263</v>
      </c>
      <c r="L104" t="s">
        <v>45</v>
      </c>
      <c r="M104" t="s">
        <v>19</v>
      </c>
      <c r="N104">
        <f>(  Posts__2[[#This Row],[Likes]]+Posts__2[[#This Row],[Comments]]+Posts__2[[#This Row],[Shares]] ) / Posts__2[[#This Row],[Impressions]]</f>
        <v>6.6614370881706936E-2</v>
      </c>
      <c r="O104" s="14">
        <f>_xlfn.XLOOKUP(Posts__2[[#This Row],[Campaign_Name]],'Campaign Metadata'!A:A,'Campaign Metadata'!B:B)</f>
        <v>45667</v>
      </c>
      <c r="P104" s="14">
        <f>_xlfn.XLOOKUP(Posts__2[[#This Row],[Campaign_Name]],'Campaign Metadata'!A:A,'Campaign Metadata'!C:C)</f>
        <v>45698</v>
      </c>
      <c r="Q104" t="str">
        <f>IF(AND(Posts__2[[#This Row],[Date]]&gt;=Posts__2[[#This Row],[Campaign start date]],Posts__2[[#This Row],[Date]]&lt;=Posts__2[[#This Row],[Campaign end date]]),"During","Before")</f>
        <v>Before</v>
      </c>
    </row>
    <row r="105" spans="1:17" x14ac:dyDescent="0.3">
      <c r="A105" t="s">
        <v>168</v>
      </c>
      <c r="B105" t="s">
        <v>50</v>
      </c>
      <c r="C105" s="14">
        <v>45413</v>
      </c>
      <c r="D105" t="s">
        <v>51</v>
      </c>
      <c r="E105" t="s">
        <v>61</v>
      </c>
      <c r="F105">
        <v>2587</v>
      </c>
      <c r="G105">
        <v>447</v>
      </c>
      <c r="H105">
        <v>183</v>
      </c>
      <c r="I105">
        <v>36266</v>
      </c>
      <c r="J105">
        <v>32877</v>
      </c>
      <c r="K105">
        <v>132</v>
      </c>
      <c r="L105" t="s">
        <v>65</v>
      </c>
      <c r="M105" t="s">
        <v>19</v>
      </c>
      <c r="N105">
        <f>(  Posts__2[[#This Row],[Likes]]+Posts__2[[#This Row],[Comments]]+Posts__2[[#This Row],[Shares]] ) / Posts__2[[#This Row],[Impressions]]</f>
        <v>8.8705674736667947E-2</v>
      </c>
      <c r="O105" s="14">
        <f>_xlfn.XLOOKUP(Posts__2[[#This Row],[Campaign_Name]],'Campaign Metadata'!A:A,'Campaign Metadata'!B:B)</f>
        <v>45667</v>
      </c>
      <c r="P105" s="14">
        <f>_xlfn.XLOOKUP(Posts__2[[#This Row],[Campaign_Name]],'Campaign Metadata'!A:A,'Campaign Metadata'!C:C)</f>
        <v>45698</v>
      </c>
      <c r="Q105" t="str">
        <f>IF(AND(Posts__2[[#This Row],[Date]]&gt;=Posts__2[[#This Row],[Campaign start date]],Posts__2[[#This Row],[Date]]&lt;=Posts__2[[#This Row],[Campaign end date]]),"During","Before")</f>
        <v>Before</v>
      </c>
    </row>
    <row r="106" spans="1:17" x14ac:dyDescent="0.3">
      <c r="A106" t="s">
        <v>169</v>
      </c>
      <c r="B106" t="s">
        <v>50</v>
      </c>
      <c r="C106" s="14">
        <v>45553</v>
      </c>
      <c r="D106" t="s">
        <v>43</v>
      </c>
      <c r="E106" t="s">
        <v>44</v>
      </c>
      <c r="F106">
        <v>2878</v>
      </c>
      <c r="G106">
        <v>265</v>
      </c>
      <c r="H106">
        <v>91</v>
      </c>
      <c r="I106">
        <v>52090</v>
      </c>
      <c r="J106">
        <v>28924</v>
      </c>
      <c r="K106">
        <v>133</v>
      </c>
      <c r="L106" t="s">
        <v>68</v>
      </c>
      <c r="M106" t="s">
        <v>19</v>
      </c>
      <c r="N106">
        <f>(  Posts__2[[#This Row],[Likes]]+Posts__2[[#This Row],[Comments]]+Posts__2[[#This Row],[Shares]] ) / Posts__2[[#This Row],[Impressions]]</f>
        <v>6.2084853138798232E-2</v>
      </c>
      <c r="O106" s="14">
        <f>_xlfn.XLOOKUP(Posts__2[[#This Row],[Campaign_Name]],'Campaign Metadata'!A:A,'Campaign Metadata'!B:B)</f>
        <v>45667</v>
      </c>
      <c r="P106" s="14">
        <f>_xlfn.XLOOKUP(Posts__2[[#This Row],[Campaign_Name]],'Campaign Metadata'!A:A,'Campaign Metadata'!C:C)</f>
        <v>45698</v>
      </c>
      <c r="Q106" t="str">
        <f>IF(AND(Posts__2[[#This Row],[Date]]&gt;=Posts__2[[#This Row],[Campaign start date]],Posts__2[[#This Row],[Date]]&lt;=Posts__2[[#This Row],[Campaign end date]]),"During","Before")</f>
        <v>Before</v>
      </c>
    </row>
    <row r="107" spans="1:17" x14ac:dyDescent="0.3">
      <c r="A107" t="s">
        <v>170</v>
      </c>
      <c r="B107" t="s">
        <v>50</v>
      </c>
      <c r="C107" s="14">
        <v>45677</v>
      </c>
      <c r="D107" t="s">
        <v>51</v>
      </c>
      <c r="E107" t="s">
        <v>52</v>
      </c>
      <c r="F107">
        <v>4619</v>
      </c>
      <c r="G107">
        <v>272</v>
      </c>
      <c r="H107">
        <v>57</v>
      </c>
      <c r="I107">
        <v>21334</v>
      </c>
      <c r="J107">
        <v>46292</v>
      </c>
      <c r="K107">
        <v>91</v>
      </c>
      <c r="L107" t="s">
        <v>45</v>
      </c>
      <c r="M107" t="s">
        <v>19</v>
      </c>
      <c r="N107">
        <f>(  Posts__2[[#This Row],[Likes]]+Posts__2[[#This Row],[Comments]]+Posts__2[[#This Row],[Shares]] ) / Posts__2[[#This Row],[Impressions]]</f>
        <v>0.23193025217961938</v>
      </c>
      <c r="O107" s="14">
        <f>_xlfn.XLOOKUP(Posts__2[[#This Row],[Campaign_Name]],'Campaign Metadata'!A:A,'Campaign Metadata'!B:B)</f>
        <v>45667</v>
      </c>
      <c r="P107" s="14">
        <f>_xlfn.XLOOKUP(Posts__2[[#This Row],[Campaign_Name]],'Campaign Metadata'!A:A,'Campaign Metadata'!C:C)</f>
        <v>45698</v>
      </c>
      <c r="Q107" t="str">
        <f>IF(AND(Posts__2[[#This Row],[Date]]&gt;=Posts__2[[#This Row],[Campaign start date]],Posts__2[[#This Row],[Date]]&lt;=Posts__2[[#This Row],[Campaign end date]]),"During","Before")</f>
        <v>During</v>
      </c>
    </row>
    <row r="108" spans="1:17" x14ac:dyDescent="0.3">
      <c r="A108" t="s">
        <v>171</v>
      </c>
      <c r="B108" t="s">
        <v>50</v>
      </c>
      <c r="C108" s="14">
        <v>45670</v>
      </c>
      <c r="D108" t="s">
        <v>43</v>
      </c>
      <c r="E108" t="s">
        <v>58</v>
      </c>
      <c r="F108">
        <v>4090</v>
      </c>
      <c r="G108">
        <v>209</v>
      </c>
      <c r="H108">
        <v>278</v>
      </c>
      <c r="I108">
        <v>52853</v>
      </c>
      <c r="J108">
        <v>57084</v>
      </c>
      <c r="K108">
        <v>102</v>
      </c>
      <c r="L108" t="s">
        <v>71</v>
      </c>
      <c r="M108" t="s">
        <v>21</v>
      </c>
      <c r="N108">
        <f>(  Posts__2[[#This Row],[Likes]]+Posts__2[[#This Row],[Comments]]+Posts__2[[#This Row],[Shares]] ) / Posts__2[[#This Row],[Impressions]]</f>
        <v>8.6598679355949518E-2</v>
      </c>
      <c r="O108" s="14">
        <f>_xlfn.XLOOKUP(Posts__2[[#This Row],[Campaign_Name]],'Campaign Metadata'!A:A,'Campaign Metadata'!B:B)</f>
        <v>45717</v>
      </c>
      <c r="P108" s="14">
        <f>_xlfn.XLOOKUP(Posts__2[[#This Row],[Campaign_Name]],'Campaign Metadata'!A:A,'Campaign Metadata'!C:C)</f>
        <v>45747</v>
      </c>
      <c r="Q108" t="str">
        <f>IF(AND(Posts__2[[#This Row],[Date]]&gt;=Posts__2[[#This Row],[Campaign start date]],Posts__2[[#This Row],[Date]]&lt;=Posts__2[[#This Row],[Campaign end date]]),"During","Before")</f>
        <v>Before</v>
      </c>
    </row>
    <row r="109" spans="1:17" x14ac:dyDescent="0.3">
      <c r="A109" t="s">
        <v>172</v>
      </c>
      <c r="B109" t="s">
        <v>57</v>
      </c>
      <c r="C109" s="14">
        <v>45542</v>
      </c>
      <c r="D109" t="s">
        <v>82</v>
      </c>
      <c r="E109" t="s">
        <v>58</v>
      </c>
      <c r="F109">
        <v>3882</v>
      </c>
      <c r="G109">
        <v>342</v>
      </c>
      <c r="H109">
        <v>374</v>
      </c>
      <c r="I109">
        <v>41991</v>
      </c>
      <c r="J109">
        <v>48554</v>
      </c>
      <c r="K109">
        <v>118</v>
      </c>
      <c r="L109" t="s">
        <v>83</v>
      </c>
      <c r="M109" t="s">
        <v>20</v>
      </c>
      <c r="N109">
        <f>(  Posts__2[[#This Row],[Likes]]+Posts__2[[#This Row],[Comments]]+Posts__2[[#This Row],[Shares]] ) / Posts__2[[#This Row],[Impressions]]</f>
        <v>0.10949965468790931</v>
      </c>
      <c r="O109" s="14">
        <f>_xlfn.XLOOKUP(Posts__2[[#This Row],[Campaign_Name]],'Campaign Metadata'!A:A,'Campaign Metadata'!B:B)</f>
        <v>45458</v>
      </c>
      <c r="P109" s="14">
        <f>_xlfn.XLOOKUP(Posts__2[[#This Row],[Campaign_Name]],'Campaign Metadata'!A:A,'Campaign Metadata'!C:C)</f>
        <v>45488</v>
      </c>
      <c r="Q109" t="str">
        <f>IF(AND(Posts__2[[#This Row],[Date]]&gt;=Posts__2[[#This Row],[Campaign start date]],Posts__2[[#This Row],[Date]]&lt;=Posts__2[[#This Row],[Campaign end date]]),"During","Before")</f>
        <v>Before</v>
      </c>
    </row>
    <row r="110" spans="1:17" x14ac:dyDescent="0.3">
      <c r="A110" t="s">
        <v>173</v>
      </c>
      <c r="B110" t="s">
        <v>42</v>
      </c>
      <c r="C110" s="14">
        <v>45617</v>
      </c>
      <c r="D110" t="s">
        <v>43</v>
      </c>
      <c r="E110" t="s">
        <v>58</v>
      </c>
      <c r="F110">
        <v>4581</v>
      </c>
      <c r="G110">
        <v>181</v>
      </c>
      <c r="H110">
        <v>112</v>
      </c>
      <c r="I110">
        <v>35221</v>
      </c>
      <c r="J110">
        <v>28797</v>
      </c>
      <c r="K110">
        <v>164</v>
      </c>
      <c r="L110" t="s">
        <v>45</v>
      </c>
      <c r="M110" t="s">
        <v>19</v>
      </c>
      <c r="N110">
        <f>(  Posts__2[[#This Row],[Likes]]+Posts__2[[#This Row],[Comments]]+Posts__2[[#This Row],[Shares]] ) / Posts__2[[#This Row],[Impressions]]</f>
        <v>0.13838335084182732</v>
      </c>
      <c r="O110" s="14">
        <f>_xlfn.XLOOKUP(Posts__2[[#This Row],[Campaign_Name]],'Campaign Metadata'!A:A,'Campaign Metadata'!B:B)</f>
        <v>45667</v>
      </c>
      <c r="P110" s="14">
        <f>_xlfn.XLOOKUP(Posts__2[[#This Row],[Campaign_Name]],'Campaign Metadata'!A:A,'Campaign Metadata'!C:C)</f>
        <v>45698</v>
      </c>
      <c r="Q110" t="str">
        <f>IF(AND(Posts__2[[#This Row],[Date]]&gt;=Posts__2[[#This Row],[Campaign start date]],Posts__2[[#This Row],[Date]]&lt;=Posts__2[[#This Row],[Campaign end date]]),"During","Before")</f>
        <v>Before</v>
      </c>
    </row>
    <row r="111" spans="1:17" x14ac:dyDescent="0.3">
      <c r="A111" t="s">
        <v>174</v>
      </c>
      <c r="B111" t="s">
        <v>42</v>
      </c>
      <c r="C111" s="14">
        <v>45469</v>
      </c>
      <c r="D111" t="s">
        <v>43</v>
      </c>
      <c r="E111" t="s">
        <v>52</v>
      </c>
      <c r="F111">
        <v>3253</v>
      </c>
      <c r="G111">
        <v>483</v>
      </c>
      <c r="H111">
        <v>336</v>
      </c>
      <c r="I111">
        <v>25397</v>
      </c>
      <c r="J111">
        <v>51485</v>
      </c>
      <c r="K111">
        <v>131</v>
      </c>
      <c r="L111" t="s">
        <v>48</v>
      </c>
      <c r="M111" t="s">
        <v>21</v>
      </c>
      <c r="N111">
        <f>(  Posts__2[[#This Row],[Likes]]+Posts__2[[#This Row],[Comments]]+Posts__2[[#This Row],[Shares]] ) / Posts__2[[#This Row],[Impressions]]</f>
        <v>0.16033389770445328</v>
      </c>
      <c r="O111" s="14">
        <f>_xlfn.XLOOKUP(Posts__2[[#This Row],[Campaign_Name]],'Campaign Metadata'!A:A,'Campaign Metadata'!B:B)</f>
        <v>45717</v>
      </c>
      <c r="P111" s="14">
        <f>_xlfn.XLOOKUP(Posts__2[[#This Row],[Campaign_Name]],'Campaign Metadata'!A:A,'Campaign Metadata'!C:C)</f>
        <v>45747</v>
      </c>
      <c r="Q111" t="str">
        <f>IF(AND(Posts__2[[#This Row],[Date]]&gt;=Posts__2[[#This Row],[Campaign start date]],Posts__2[[#This Row],[Date]]&lt;=Posts__2[[#This Row],[Campaign end date]]),"During","Before")</f>
        <v>Before</v>
      </c>
    </row>
    <row r="112" spans="1:17" x14ac:dyDescent="0.3">
      <c r="A112" t="s">
        <v>175</v>
      </c>
      <c r="B112" t="s">
        <v>57</v>
      </c>
      <c r="C112" s="14">
        <v>45493</v>
      </c>
      <c r="D112" t="s">
        <v>82</v>
      </c>
      <c r="E112" t="s">
        <v>58</v>
      </c>
      <c r="F112">
        <v>4955</v>
      </c>
      <c r="G112">
        <v>299</v>
      </c>
      <c r="H112">
        <v>345</v>
      </c>
      <c r="I112">
        <v>33644</v>
      </c>
      <c r="J112">
        <v>43547</v>
      </c>
      <c r="K112">
        <v>194</v>
      </c>
      <c r="L112" t="s">
        <v>83</v>
      </c>
      <c r="M112" t="s">
        <v>20</v>
      </c>
      <c r="N112">
        <f>(  Posts__2[[#This Row],[Likes]]+Posts__2[[#This Row],[Comments]]+Posts__2[[#This Row],[Shares]] ) / Posts__2[[#This Row],[Impressions]]</f>
        <v>0.16641897515158721</v>
      </c>
      <c r="O112" s="14">
        <f>_xlfn.XLOOKUP(Posts__2[[#This Row],[Campaign_Name]],'Campaign Metadata'!A:A,'Campaign Metadata'!B:B)</f>
        <v>45458</v>
      </c>
      <c r="P112" s="14">
        <f>_xlfn.XLOOKUP(Posts__2[[#This Row],[Campaign_Name]],'Campaign Metadata'!A:A,'Campaign Metadata'!C:C)</f>
        <v>45488</v>
      </c>
      <c r="Q112" t="str">
        <f>IF(AND(Posts__2[[#This Row],[Date]]&gt;=Posts__2[[#This Row],[Campaign start date]],Posts__2[[#This Row],[Date]]&lt;=Posts__2[[#This Row],[Campaign end date]]),"During","Before")</f>
        <v>Before</v>
      </c>
    </row>
    <row r="113" spans="1:17" x14ac:dyDescent="0.3">
      <c r="A113" t="s">
        <v>176</v>
      </c>
      <c r="B113" t="s">
        <v>42</v>
      </c>
      <c r="C113" s="14">
        <v>45704</v>
      </c>
      <c r="D113" t="s">
        <v>43</v>
      </c>
      <c r="E113" t="s">
        <v>77</v>
      </c>
      <c r="F113">
        <v>1333</v>
      </c>
      <c r="G113">
        <v>286</v>
      </c>
      <c r="H113">
        <v>298</v>
      </c>
      <c r="I113">
        <v>36174</v>
      </c>
      <c r="J113">
        <v>34517</v>
      </c>
      <c r="K113">
        <v>170</v>
      </c>
      <c r="L113" t="s">
        <v>45</v>
      </c>
      <c r="M113" t="s">
        <v>19</v>
      </c>
      <c r="N113">
        <f>(  Posts__2[[#This Row],[Likes]]+Posts__2[[#This Row],[Comments]]+Posts__2[[#This Row],[Shares]] ) / Posts__2[[#This Row],[Impressions]]</f>
        <v>5.2993862995521647E-2</v>
      </c>
      <c r="O113" s="14">
        <f>_xlfn.XLOOKUP(Posts__2[[#This Row],[Campaign_Name]],'Campaign Metadata'!A:A,'Campaign Metadata'!B:B)</f>
        <v>45667</v>
      </c>
      <c r="P113" s="14">
        <f>_xlfn.XLOOKUP(Posts__2[[#This Row],[Campaign_Name]],'Campaign Metadata'!A:A,'Campaign Metadata'!C:C)</f>
        <v>45698</v>
      </c>
      <c r="Q113" t="str">
        <f>IF(AND(Posts__2[[#This Row],[Date]]&gt;=Posts__2[[#This Row],[Campaign start date]],Posts__2[[#This Row],[Date]]&lt;=Posts__2[[#This Row],[Campaign end date]]),"During","Before")</f>
        <v>Before</v>
      </c>
    </row>
    <row r="114" spans="1:17" x14ac:dyDescent="0.3">
      <c r="A114" t="s">
        <v>177</v>
      </c>
      <c r="B114" t="s">
        <v>42</v>
      </c>
      <c r="C114" s="14">
        <v>45544</v>
      </c>
      <c r="D114" t="s">
        <v>43</v>
      </c>
      <c r="E114" t="s">
        <v>52</v>
      </c>
      <c r="F114">
        <v>1616</v>
      </c>
      <c r="G114">
        <v>360</v>
      </c>
      <c r="H114">
        <v>180</v>
      </c>
      <c r="I114">
        <v>54342</v>
      </c>
      <c r="J114">
        <v>18796</v>
      </c>
      <c r="K114">
        <v>282</v>
      </c>
      <c r="L114" t="s">
        <v>45</v>
      </c>
      <c r="M114" t="s">
        <v>19</v>
      </c>
      <c r="N114">
        <f>(  Posts__2[[#This Row],[Likes]]+Posts__2[[#This Row],[Comments]]+Posts__2[[#This Row],[Shares]] ) / Posts__2[[#This Row],[Impressions]]</f>
        <v>3.9674653122814763E-2</v>
      </c>
      <c r="O114" s="14">
        <f>_xlfn.XLOOKUP(Posts__2[[#This Row],[Campaign_Name]],'Campaign Metadata'!A:A,'Campaign Metadata'!B:B)</f>
        <v>45667</v>
      </c>
      <c r="P114" s="14">
        <f>_xlfn.XLOOKUP(Posts__2[[#This Row],[Campaign_Name]],'Campaign Metadata'!A:A,'Campaign Metadata'!C:C)</f>
        <v>45698</v>
      </c>
      <c r="Q114" t="str">
        <f>IF(AND(Posts__2[[#This Row],[Date]]&gt;=Posts__2[[#This Row],[Campaign start date]],Posts__2[[#This Row],[Date]]&lt;=Posts__2[[#This Row],[Campaign end date]]),"During","Before")</f>
        <v>Before</v>
      </c>
    </row>
    <row r="115" spans="1:17" x14ac:dyDescent="0.3">
      <c r="A115" t="s">
        <v>178</v>
      </c>
      <c r="B115" t="s">
        <v>50</v>
      </c>
      <c r="C115" s="14">
        <v>45489</v>
      </c>
      <c r="D115" t="s">
        <v>43</v>
      </c>
      <c r="E115" t="s">
        <v>67</v>
      </c>
      <c r="F115">
        <v>1803</v>
      </c>
      <c r="G115">
        <v>273</v>
      </c>
      <c r="H115">
        <v>287</v>
      </c>
      <c r="I115">
        <v>46176</v>
      </c>
      <c r="J115">
        <v>25488</v>
      </c>
      <c r="K115">
        <v>141</v>
      </c>
      <c r="L115" t="s">
        <v>68</v>
      </c>
      <c r="M115" t="s">
        <v>19</v>
      </c>
      <c r="N115">
        <f>(  Posts__2[[#This Row],[Likes]]+Posts__2[[#This Row],[Comments]]+Posts__2[[#This Row],[Shares]] ) / Posts__2[[#This Row],[Impressions]]</f>
        <v>5.1173769923769923E-2</v>
      </c>
      <c r="O115" s="14">
        <f>_xlfn.XLOOKUP(Posts__2[[#This Row],[Campaign_Name]],'Campaign Metadata'!A:A,'Campaign Metadata'!B:B)</f>
        <v>45667</v>
      </c>
      <c r="P115" s="14">
        <f>_xlfn.XLOOKUP(Posts__2[[#This Row],[Campaign_Name]],'Campaign Metadata'!A:A,'Campaign Metadata'!C:C)</f>
        <v>45698</v>
      </c>
      <c r="Q115" t="str">
        <f>IF(AND(Posts__2[[#This Row],[Date]]&gt;=Posts__2[[#This Row],[Campaign start date]],Posts__2[[#This Row],[Date]]&lt;=Posts__2[[#This Row],[Campaign end date]]),"During","Before")</f>
        <v>Before</v>
      </c>
    </row>
    <row r="116" spans="1:17" x14ac:dyDescent="0.3">
      <c r="A116" t="s">
        <v>179</v>
      </c>
      <c r="B116" t="s">
        <v>42</v>
      </c>
      <c r="C116" s="14">
        <v>45762</v>
      </c>
      <c r="D116" t="s">
        <v>43</v>
      </c>
      <c r="E116" t="s">
        <v>47</v>
      </c>
      <c r="F116">
        <v>4177</v>
      </c>
      <c r="G116">
        <v>489</v>
      </c>
      <c r="H116">
        <v>331</v>
      </c>
      <c r="I116">
        <v>57451</v>
      </c>
      <c r="J116">
        <v>73793</v>
      </c>
      <c r="K116">
        <v>251</v>
      </c>
      <c r="L116" t="s">
        <v>48</v>
      </c>
      <c r="M116" t="s">
        <v>21</v>
      </c>
      <c r="N116">
        <f>(  Posts__2[[#This Row],[Likes]]+Posts__2[[#This Row],[Comments]]+Posts__2[[#This Row],[Shares]] ) / Posts__2[[#This Row],[Impressions]]</f>
        <v>8.6978468608031198E-2</v>
      </c>
      <c r="O116" s="14">
        <f>_xlfn.XLOOKUP(Posts__2[[#This Row],[Campaign_Name]],'Campaign Metadata'!A:A,'Campaign Metadata'!B:B)</f>
        <v>45717</v>
      </c>
      <c r="P116" s="14">
        <f>_xlfn.XLOOKUP(Posts__2[[#This Row],[Campaign_Name]],'Campaign Metadata'!A:A,'Campaign Metadata'!C:C)</f>
        <v>45747</v>
      </c>
      <c r="Q116" t="str">
        <f>IF(AND(Posts__2[[#This Row],[Date]]&gt;=Posts__2[[#This Row],[Campaign start date]],Posts__2[[#This Row],[Date]]&lt;=Posts__2[[#This Row],[Campaign end date]]),"During","Before")</f>
        <v>Before</v>
      </c>
    </row>
    <row r="117" spans="1:17" x14ac:dyDescent="0.3">
      <c r="A117" t="s">
        <v>180</v>
      </c>
      <c r="B117" t="s">
        <v>42</v>
      </c>
      <c r="C117" s="14">
        <v>45781</v>
      </c>
      <c r="D117" t="s">
        <v>51</v>
      </c>
      <c r="E117" t="s">
        <v>52</v>
      </c>
      <c r="F117">
        <v>1311</v>
      </c>
      <c r="G117">
        <v>181</v>
      </c>
      <c r="H117">
        <v>361</v>
      </c>
      <c r="I117">
        <v>37148</v>
      </c>
      <c r="J117">
        <v>44875</v>
      </c>
      <c r="K117">
        <v>245</v>
      </c>
      <c r="L117" t="s">
        <v>68</v>
      </c>
      <c r="M117" t="s">
        <v>24</v>
      </c>
      <c r="N117">
        <f>(  Posts__2[[#This Row],[Likes]]+Posts__2[[#This Row],[Comments]]+Posts__2[[#This Row],[Shares]] ) / Posts__2[[#This Row],[Impressions]]</f>
        <v>4.9881554861634543E-2</v>
      </c>
      <c r="O117" s="14">
        <f>_xlfn.XLOOKUP(Posts__2[[#This Row],[Campaign_Name]],'Campaign Metadata'!A:A,'Campaign Metadata'!B:B)</f>
        <v>45627</v>
      </c>
      <c r="P117" s="14">
        <f>_xlfn.XLOOKUP(Posts__2[[#This Row],[Campaign_Name]],'Campaign Metadata'!A:A,'Campaign Metadata'!C:C)</f>
        <v>45657</v>
      </c>
      <c r="Q117" t="str">
        <f>IF(AND(Posts__2[[#This Row],[Date]]&gt;=Posts__2[[#This Row],[Campaign start date]],Posts__2[[#This Row],[Date]]&lt;=Posts__2[[#This Row],[Campaign end date]]),"During","Before")</f>
        <v>Before</v>
      </c>
    </row>
    <row r="118" spans="1:17" x14ac:dyDescent="0.3">
      <c r="A118" t="s">
        <v>181</v>
      </c>
      <c r="B118" t="s">
        <v>42</v>
      </c>
      <c r="C118" s="14">
        <v>45340</v>
      </c>
      <c r="D118" t="s">
        <v>51</v>
      </c>
      <c r="E118" t="s">
        <v>75</v>
      </c>
      <c r="F118">
        <v>1516</v>
      </c>
      <c r="G118">
        <v>215</v>
      </c>
      <c r="H118">
        <v>332</v>
      </c>
      <c r="I118">
        <v>58981</v>
      </c>
      <c r="J118">
        <v>36118</v>
      </c>
      <c r="K118">
        <v>211</v>
      </c>
      <c r="L118" t="s">
        <v>68</v>
      </c>
      <c r="M118" t="s">
        <v>24</v>
      </c>
      <c r="N118">
        <f>(  Posts__2[[#This Row],[Likes]]+Posts__2[[#This Row],[Comments]]+Posts__2[[#This Row],[Shares]] ) / Posts__2[[#This Row],[Impressions]]</f>
        <v>3.4977365592309385E-2</v>
      </c>
      <c r="O118" s="14">
        <f>_xlfn.XLOOKUP(Posts__2[[#This Row],[Campaign_Name]],'Campaign Metadata'!A:A,'Campaign Metadata'!B:B)</f>
        <v>45627</v>
      </c>
      <c r="P118" s="14">
        <f>_xlfn.XLOOKUP(Posts__2[[#This Row],[Campaign_Name]],'Campaign Metadata'!A:A,'Campaign Metadata'!C:C)</f>
        <v>45657</v>
      </c>
      <c r="Q118" t="str">
        <f>IF(AND(Posts__2[[#This Row],[Date]]&gt;=Posts__2[[#This Row],[Campaign start date]],Posts__2[[#This Row],[Date]]&lt;=Posts__2[[#This Row],[Campaign end date]]),"During","Before")</f>
        <v>Before</v>
      </c>
    </row>
    <row r="119" spans="1:17" x14ac:dyDescent="0.3">
      <c r="A119" t="s">
        <v>182</v>
      </c>
      <c r="B119" t="s">
        <v>50</v>
      </c>
      <c r="C119" s="14">
        <v>45428</v>
      </c>
      <c r="D119" t="s">
        <v>51</v>
      </c>
      <c r="E119" t="s">
        <v>58</v>
      </c>
      <c r="F119">
        <v>2023</v>
      </c>
      <c r="G119">
        <v>124</v>
      </c>
      <c r="H119">
        <v>99</v>
      </c>
      <c r="I119">
        <v>54524</v>
      </c>
      <c r="J119">
        <v>34790</v>
      </c>
      <c r="K119">
        <v>195</v>
      </c>
      <c r="L119" t="s">
        <v>65</v>
      </c>
      <c r="M119" t="s">
        <v>19</v>
      </c>
      <c r="N119">
        <f>(  Posts__2[[#This Row],[Likes]]+Posts__2[[#This Row],[Comments]]+Posts__2[[#This Row],[Shares]] ) / Posts__2[[#This Row],[Impressions]]</f>
        <v>4.1192869195216787E-2</v>
      </c>
      <c r="O119" s="14">
        <f>_xlfn.XLOOKUP(Posts__2[[#This Row],[Campaign_Name]],'Campaign Metadata'!A:A,'Campaign Metadata'!B:B)</f>
        <v>45667</v>
      </c>
      <c r="P119" s="14">
        <f>_xlfn.XLOOKUP(Posts__2[[#This Row],[Campaign_Name]],'Campaign Metadata'!A:A,'Campaign Metadata'!C:C)</f>
        <v>45698</v>
      </c>
      <c r="Q119" t="str">
        <f>IF(AND(Posts__2[[#This Row],[Date]]&gt;=Posts__2[[#This Row],[Campaign start date]],Posts__2[[#This Row],[Date]]&lt;=Posts__2[[#This Row],[Campaign end date]]),"During","Before")</f>
        <v>Before</v>
      </c>
    </row>
    <row r="120" spans="1:17" x14ac:dyDescent="0.3">
      <c r="A120" t="s">
        <v>183</v>
      </c>
      <c r="B120" t="s">
        <v>50</v>
      </c>
      <c r="C120" s="14">
        <v>45806</v>
      </c>
      <c r="D120" t="s">
        <v>51</v>
      </c>
      <c r="E120" t="s">
        <v>58</v>
      </c>
      <c r="F120">
        <v>2134</v>
      </c>
      <c r="G120">
        <v>322</v>
      </c>
      <c r="H120">
        <v>114</v>
      </c>
      <c r="I120">
        <v>44338</v>
      </c>
      <c r="J120">
        <v>52165</v>
      </c>
      <c r="K120">
        <v>176</v>
      </c>
      <c r="L120" t="s">
        <v>53</v>
      </c>
      <c r="M120" t="s">
        <v>19</v>
      </c>
      <c r="N120">
        <f>(  Posts__2[[#This Row],[Likes]]+Posts__2[[#This Row],[Comments]]+Posts__2[[#This Row],[Shares]] ) / Posts__2[[#This Row],[Impressions]]</f>
        <v>5.7963823356939871E-2</v>
      </c>
      <c r="O120" s="14">
        <f>_xlfn.XLOOKUP(Posts__2[[#This Row],[Campaign_Name]],'Campaign Metadata'!A:A,'Campaign Metadata'!B:B)</f>
        <v>45667</v>
      </c>
      <c r="P120" s="14">
        <f>_xlfn.XLOOKUP(Posts__2[[#This Row],[Campaign_Name]],'Campaign Metadata'!A:A,'Campaign Metadata'!C:C)</f>
        <v>45698</v>
      </c>
      <c r="Q120" t="str">
        <f>IF(AND(Posts__2[[#This Row],[Date]]&gt;=Posts__2[[#This Row],[Campaign start date]],Posts__2[[#This Row],[Date]]&lt;=Posts__2[[#This Row],[Campaign end date]]),"During","Before")</f>
        <v>Before</v>
      </c>
    </row>
    <row r="121" spans="1:17" x14ac:dyDescent="0.3">
      <c r="A121" t="s">
        <v>184</v>
      </c>
      <c r="B121" t="s">
        <v>42</v>
      </c>
      <c r="C121" s="14">
        <v>45674</v>
      </c>
      <c r="D121" t="s">
        <v>43</v>
      </c>
      <c r="E121" t="s">
        <v>67</v>
      </c>
      <c r="F121">
        <v>2266</v>
      </c>
      <c r="G121">
        <v>126</v>
      </c>
      <c r="H121">
        <v>140</v>
      </c>
      <c r="I121">
        <v>53759</v>
      </c>
      <c r="J121">
        <v>46834</v>
      </c>
      <c r="K121">
        <v>277</v>
      </c>
      <c r="L121" t="s">
        <v>48</v>
      </c>
      <c r="M121" t="s">
        <v>21</v>
      </c>
      <c r="N121">
        <f>(  Posts__2[[#This Row],[Likes]]+Posts__2[[#This Row],[Comments]]+Posts__2[[#This Row],[Shares]] ) / Posts__2[[#This Row],[Impressions]]</f>
        <v>4.7099090384865788E-2</v>
      </c>
      <c r="O121" s="14">
        <f>_xlfn.XLOOKUP(Posts__2[[#This Row],[Campaign_Name]],'Campaign Metadata'!A:A,'Campaign Metadata'!B:B)</f>
        <v>45717</v>
      </c>
      <c r="P121" s="14">
        <f>_xlfn.XLOOKUP(Posts__2[[#This Row],[Campaign_Name]],'Campaign Metadata'!A:A,'Campaign Metadata'!C:C)</f>
        <v>45747</v>
      </c>
      <c r="Q121" t="str">
        <f>IF(AND(Posts__2[[#This Row],[Date]]&gt;=Posts__2[[#This Row],[Campaign start date]],Posts__2[[#This Row],[Date]]&lt;=Posts__2[[#This Row],[Campaign end date]]),"During","Before")</f>
        <v>Before</v>
      </c>
    </row>
    <row r="122" spans="1:17" x14ac:dyDescent="0.3">
      <c r="A122" t="s">
        <v>185</v>
      </c>
      <c r="B122" t="s">
        <v>42</v>
      </c>
      <c r="C122" s="14">
        <v>45777</v>
      </c>
      <c r="D122" t="s">
        <v>51</v>
      </c>
      <c r="E122" t="s">
        <v>52</v>
      </c>
      <c r="F122">
        <v>3916</v>
      </c>
      <c r="G122">
        <v>459</v>
      </c>
      <c r="H122">
        <v>229</v>
      </c>
      <c r="I122">
        <v>48989</v>
      </c>
      <c r="J122">
        <v>39768</v>
      </c>
      <c r="K122">
        <v>200</v>
      </c>
      <c r="L122" t="s">
        <v>68</v>
      </c>
      <c r="M122" t="s">
        <v>24</v>
      </c>
      <c r="N122">
        <f>(  Posts__2[[#This Row],[Likes]]+Posts__2[[#This Row],[Comments]]+Posts__2[[#This Row],[Shares]] ) / Posts__2[[#This Row],[Impressions]]</f>
        <v>9.3980281287635997E-2</v>
      </c>
      <c r="O122" s="14">
        <f>_xlfn.XLOOKUP(Posts__2[[#This Row],[Campaign_Name]],'Campaign Metadata'!A:A,'Campaign Metadata'!B:B)</f>
        <v>45627</v>
      </c>
      <c r="P122" s="14">
        <f>_xlfn.XLOOKUP(Posts__2[[#This Row],[Campaign_Name]],'Campaign Metadata'!A:A,'Campaign Metadata'!C:C)</f>
        <v>45657</v>
      </c>
      <c r="Q122" t="str">
        <f>IF(AND(Posts__2[[#This Row],[Date]]&gt;=Posts__2[[#This Row],[Campaign start date]],Posts__2[[#This Row],[Date]]&lt;=Posts__2[[#This Row],[Campaign end date]]),"During","Before")</f>
        <v>Before</v>
      </c>
    </row>
    <row r="123" spans="1:17" x14ac:dyDescent="0.3">
      <c r="A123" t="s">
        <v>186</v>
      </c>
      <c r="B123" t="s">
        <v>50</v>
      </c>
      <c r="C123" s="14">
        <v>45346</v>
      </c>
      <c r="D123" t="s">
        <v>51</v>
      </c>
      <c r="E123" t="s">
        <v>58</v>
      </c>
      <c r="F123">
        <v>1022</v>
      </c>
      <c r="G123">
        <v>463</v>
      </c>
      <c r="H123">
        <v>360</v>
      </c>
      <c r="I123">
        <v>51468</v>
      </c>
      <c r="J123">
        <v>24279</v>
      </c>
      <c r="K123">
        <v>230</v>
      </c>
      <c r="L123" t="s">
        <v>65</v>
      </c>
      <c r="M123" t="s">
        <v>19</v>
      </c>
      <c r="N123">
        <f>(  Posts__2[[#This Row],[Likes]]+Posts__2[[#This Row],[Comments]]+Posts__2[[#This Row],[Shares]] ) / Posts__2[[#This Row],[Impressions]]</f>
        <v>3.5847516903707161E-2</v>
      </c>
      <c r="O123" s="14">
        <f>_xlfn.XLOOKUP(Posts__2[[#This Row],[Campaign_Name]],'Campaign Metadata'!A:A,'Campaign Metadata'!B:B)</f>
        <v>45667</v>
      </c>
      <c r="P123" s="14">
        <f>_xlfn.XLOOKUP(Posts__2[[#This Row],[Campaign_Name]],'Campaign Metadata'!A:A,'Campaign Metadata'!C:C)</f>
        <v>45698</v>
      </c>
      <c r="Q123" t="str">
        <f>IF(AND(Posts__2[[#This Row],[Date]]&gt;=Posts__2[[#This Row],[Campaign start date]],Posts__2[[#This Row],[Date]]&lt;=Posts__2[[#This Row],[Campaign end date]]),"During","Before")</f>
        <v>Before</v>
      </c>
    </row>
    <row r="124" spans="1:17" x14ac:dyDescent="0.3">
      <c r="A124" t="s">
        <v>187</v>
      </c>
      <c r="B124" t="s">
        <v>57</v>
      </c>
      <c r="C124" s="14">
        <v>45424</v>
      </c>
      <c r="D124" t="s">
        <v>43</v>
      </c>
      <c r="E124" t="s">
        <v>75</v>
      </c>
      <c r="F124">
        <v>2911</v>
      </c>
      <c r="G124">
        <v>467</v>
      </c>
      <c r="H124">
        <v>94</v>
      </c>
      <c r="I124">
        <v>59083</v>
      </c>
      <c r="J124">
        <v>49762</v>
      </c>
      <c r="K124">
        <v>236</v>
      </c>
      <c r="L124" t="s">
        <v>59</v>
      </c>
      <c r="M124" t="s">
        <v>21</v>
      </c>
      <c r="N124">
        <f>(  Posts__2[[#This Row],[Likes]]+Posts__2[[#This Row],[Comments]]+Posts__2[[#This Row],[Shares]] ) / Posts__2[[#This Row],[Impressions]]</f>
        <v>5.8764788517847777E-2</v>
      </c>
      <c r="O124" s="14">
        <f>_xlfn.XLOOKUP(Posts__2[[#This Row],[Campaign_Name]],'Campaign Metadata'!A:A,'Campaign Metadata'!B:B)</f>
        <v>45717</v>
      </c>
      <c r="P124" s="14">
        <f>_xlfn.XLOOKUP(Posts__2[[#This Row],[Campaign_Name]],'Campaign Metadata'!A:A,'Campaign Metadata'!C:C)</f>
        <v>45747</v>
      </c>
      <c r="Q124" t="str">
        <f>IF(AND(Posts__2[[#This Row],[Date]]&gt;=Posts__2[[#This Row],[Campaign start date]],Posts__2[[#This Row],[Date]]&lt;=Posts__2[[#This Row],[Campaign end date]]),"During","Before")</f>
        <v>Before</v>
      </c>
    </row>
    <row r="125" spans="1:17" x14ac:dyDescent="0.3">
      <c r="A125" t="s">
        <v>188</v>
      </c>
      <c r="B125" t="s">
        <v>50</v>
      </c>
      <c r="C125" s="14">
        <v>45421</v>
      </c>
      <c r="D125" t="s">
        <v>51</v>
      </c>
      <c r="E125" t="s">
        <v>52</v>
      </c>
      <c r="F125">
        <v>3277</v>
      </c>
      <c r="G125">
        <v>423</v>
      </c>
      <c r="H125">
        <v>259</v>
      </c>
      <c r="I125">
        <v>46328</v>
      </c>
      <c r="J125">
        <v>44293</v>
      </c>
      <c r="K125">
        <v>299</v>
      </c>
      <c r="L125" t="s">
        <v>45</v>
      </c>
      <c r="M125" t="s">
        <v>19</v>
      </c>
      <c r="N125">
        <f>(  Posts__2[[#This Row],[Likes]]+Posts__2[[#This Row],[Comments]]+Posts__2[[#This Row],[Shares]] ) / Posts__2[[#This Row],[Impressions]]</f>
        <v>8.5455879813503707E-2</v>
      </c>
      <c r="O125" s="14">
        <f>_xlfn.XLOOKUP(Posts__2[[#This Row],[Campaign_Name]],'Campaign Metadata'!A:A,'Campaign Metadata'!B:B)</f>
        <v>45667</v>
      </c>
      <c r="P125" s="14">
        <f>_xlfn.XLOOKUP(Posts__2[[#This Row],[Campaign_Name]],'Campaign Metadata'!A:A,'Campaign Metadata'!C:C)</f>
        <v>45698</v>
      </c>
      <c r="Q125" t="str">
        <f>IF(AND(Posts__2[[#This Row],[Date]]&gt;=Posts__2[[#This Row],[Campaign start date]],Posts__2[[#This Row],[Date]]&lt;=Posts__2[[#This Row],[Campaign end date]]),"During","Before")</f>
        <v>Before</v>
      </c>
    </row>
    <row r="126" spans="1:17" x14ac:dyDescent="0.3">
      <c r="A126" t="s">
        <v>189</v>
      </c>
      <c r="B126" t="s">
        <v>50</v>
      </c>
      <c r="C126" s="14">
        <v>45602</v>
      </c>
      <c r="D126" t="s">
        <v>43</v>
      </c>
      <c r="E126" t="s">
        <v>75</v>
      </c>
      <c r="F126">
        <v>2956</v>
      </c>
      <c r="G126">
        <v>381</v>
      </c>
      <c r="H126">
        <v>345</v>
      </c>
      <c r="I126">
        <v>33347</v>
      </c>
      <c r="J126">
        <v>22558</v>
      </c>
      <c r="K126">
        <v>173</v>
      </c>
      <c r="L126" t="s">
        <v>68</v>
      </c>
      <c r="M126" t="s">
        <v>19</v>
      </c>
      <c r="N126">
        <f>(  Posts__2[[#This Row],[Likes]]+Posts__2[[#This Row],[Comments]]+Posts__2[[#This Row],[Shares]] ) / Posts__2[[#This Row],[Impressions]]</f>
        <v>0.11041472996071611</v>
      </c>
      <c r="O126" s="14">
        <f>_xlfn.XLOOKUP(Posts__2[[#This Row],[Campaign_Name]],'Campaign Metadata'!A:A,'Campaign Metadata'!B:B)</f>
        <v>45667</v>
      </c>
      <c r="P126" s="14">
        <f>_xlfn.XLOOKUP(Posts__2[[#This Row],[Campaign_Name]],'Campaign Metadata'!A:A,'Campaign Metadata'!C:C)</f>
        <v>45698</v>
      </c>
      <c r="Q126" t="str">
        <f>IF(AND(Posts__2[[#This Row],[Date]]&gt;=Posts__2[[#This Row],[Campaign start date]],Posts__2[[#This Row],[Date]]&lt;=Posts__2[[#This Row],[Campaign end date]]),"During","Before")</f>
        <v>Before</v>
      </c>
    </row>
    <row r="127" spans="1:17" x14ac:dyDescent="0.3">
      <c r="A127" t="s">
        <v>190</v>
      </c>
      <c r="B127" t="s">
        <v>50</v>
      </c>
      <c r="C127" s="14">
        <v>45295</v>
      </c>
      <c r="D127" t="s">
        <v>51</v>
      </c>
      <c r="E127" t="s">
        <v>61</v>
      </c>
      <c r="F127">
        <v>3208</v>
      </c>
      <c r="G127">
        <v>476</v>
      </c>
      <c r="H127">
        <v>277</v>
      </c>
      <c r="I127">
        <v>56072</v>
      </c>
      <c r="J127">
        <v>21061</v>
      </c>
      <c r="K127">
        <v>113</v>
      </c>
      <c r="L127" t="s">
        <v>53</v>
      </c>
      <c r="M127" t="s">
        <v>19</v>
      </c>
      <c r="N127">
        <f>(  Posts__2[[#This Row],[Likes]]+Posts__2[[#This Row],[Comments]]+Posts__2[[#This Row],[Shares]] ) / Posts__2[[#This Row],[Impressions]]</f>
        <v>7.064131830503638E-2</v>
      </c>
      <c r="O127" s="14">
        <f>_xlfn.XLOOKUP(Posts__2[[#This Row],[Campaign_Name]],'Campaign Metadata'!A:A,'Campaign Metadata'!B:B)</f>
        <v>45667</v>
      </c>
      <c r="P127" s="14">
        <f>_xlfn.XLOOKUP(Posts__2[[#This Row],[Campaign_Name]],'Campaign Metadata'!A:A,'Campaign Metadata'!C:C)</f>
        <v>45698</v>
      </c>
      <c r="Q127" t="str">
        <f>IF(AND(Posts__2[[#This Row],[Date]]&gt;=Posts__2[[#This Row],[Campaign start date]],Posts__2[[#This Row],[Date]]&lt;=Posts__2[[#This Row],[Campaign end date]]),"During","Before")</f>
        <v>Before</v>
      </c>
    </row>
    <row r="128" spans="1:17" x14ac:dyDescent="0.3">
      <c r="A128" t="s">
        <v>191</v>
      </c>
      <c r="B128" t="s">
        <v>50</v>
      </c>
      <c r="C128" s="14">
        <v>45319</v>
      </c>
      <c r="D128" t="s">
        <v>43</v>
      </c>
      <c r="E128" t="s">
        <v>58</v>
      </c>
      <c r="F128">
        <v>1456</v>
      </c>
      <c r="G128">
        <v>265</v>
      </c>
      <c r="H128">
        <v>137</v>
      </c>
      <c r="I128">
        <v>53485</v>
      </c>
      <c r="J128">
        <v>59729</v>
      </c>
      <c r="K128">
        <v>145</v>
      </c>
      <c r="L128" t="s">
        <v>71</v>
      </c>
      <c r="M128" t="s">
        <v>21</v>
      </c>
      <c r="N128">
        <f>(  Posts__2[[#This Row],[Likes]]+Posts__2[[#This Row],[Comments]]+Posts__2[[#This Row],[Shares]] ) / Posts__2[[#This Row],[Impressions]]</f>
        <v>3.4738711788351875E-2</v>
      </c>
      <c r="O128" s="14">
        <f>_xlfn.XLOOKUP(Posts__2[[#This Row],[Campaign_Name]],'Campaign Metadata'!A:A,'Campaign Metadata'!B:B)</f>
        <v>45717</v>
      </c>
      <c r="P128" s="14">
        <f>_xlfn.XLOOKUP(Posts__2[[#This Row],[Campaign_Name]],'Campaign Metadata'!A:A,'Campaign Metadata'!C:C)</f>
        <v>45747</v>
      </c>
      <c r="Q128" t="str">
        <f>IF(AND(Posts__2[[#This Row],[Date]]&gt;=Posts__2[[#This Row],[Campaign start date]],Posts__2[[#This Row],[Date]]&lt;=Posts__2[[#This Row],[Campaign end date]]),"During","Before")</f>
        <v>Before</v>
      </c>
    </row>
    <row r="129" spans="1:17" x14ac:dyDescent="0.3">
      <c r="A129" t="s">
        <v>192</v>
      </c>
      <c r="B129" t="s">
        <v>42</v>
      </c>
      <c r="C129" s="14">
        <v>45344</v>
      </c>
      <c r="D129" t="s">
        <v>43</v>
      </c>
      <c r="E129" t="s">
        <v>52</v>
      </c>
      <c r="F129">
        <v>1902</v>
      </c>
      <c r="G129">
        <v>394</v>
      </c>
      <c r="H129">
        <v>279</v>
      </c>
      <c r="I129">
        <v>24615</v>
      </c>
      <c r="J129">
        <v>51330</v>
      </c>
      <c r="K129">
        <v>176</v>
      </c>
      <c r="L129" t="s">
        <v>45</v>
      </c>
      <c r="M129" t="s">
        <v>19</v>
      </c>
      <c r="N129">
        <f>(  Posts__2[[#This Row],[Likes]]+Posts__2[[#This Row],[Comments]]+Posts__2[[#This Row],[Shares]] ) / Posts__2[[#This Row],[Impressions]]</f>
        <v>0.10461100954702417</v>
      </c>
      <c r="O129" s="14">
        <f>_xlfn.XLOOKUP(Posts__2[[#This Row],[Campaign_Name]],'Campaign Metadata'!A:A,'Campaign Metadata'!B:B)</f>
        <v>45667</v>
      </c>
      <c r="P129" s="14">
        <f>_xlfn.XLOOKUP(Posts__2[[#This Row],[Campaign_Name]],'Campaign Metadata'!A:A,'Campaign Metadata'!C:C)</f>
        <v>45698</v>
      </c>
      <c r="Q129" t="str">
        <f>IF(AND(Posts__2[[#This Row],[Date]]&gt;=Posts__2[[#This Row],[Campaign start date]],Posts__2[[#This Row],[Date]]&lt;=Posts__2[[#This Row],[Campaign end date]]),"During","Before")</f>
        <v>Before</v>
      </c>
    </row>
    <row r="130" spans="1:17" x14ac:dyDescent="0.3">
      <c r="A130" t="s">
        <v>193</v>
      </c>
      <c r="B130" t="s">
        <v>50</v>
      </c>
      <c r="C130" s="14">
        <v>45839</v>
      </c>
      <c r="D130" t="s">
        <v>51</v>
      </c>
      <c r="E130" t="s">
        <v>47</v>
      </c>
      <c r="F130">
        <v>3219</v>
      </c>
      <c r="G130">
        <v>424</v>
      </c>
      <c r="H130">
        <v>267</v>
      </c>
      <c r="I130">
        <v>48879</v>
      </c>
      <c r="J130">
        <v>37691</v>
      </c>
      <c r="K130">
        <v>224</v>
      </c>
      <c r="L130" t="s">
        <v>65</v>
      </c>
      <c r="M130" t="s">
        <v>19</v>
      </c>
      <c r="N130">
        <f>(  Posts__2[[#This Row],[Likes]]+Posts__2[[#This Row],[Comments]]+Posts__2[[#This Row],[Shares]] ) / Posts__2[[#This Row],[Impressions]]</f>
        <v>7.9993453221219743E-2</v>
      </c>
      <c r="O130" s="14">
        <f>_xlfn.XLOOKUP(Posts__2[[#This Row],[Campaign_Name]],'Campaign Metadata'!A:A,'Campaign Metadata'!B:B)</f>
        <v>45667</v>
      </c>
      <c r="P130" s="14">
        <f>_xlfn.XLOOKUP(Posts__2[[#This Row],[Campaign_Name]],'Campaign Metadata'!A:A,'Campaign Metadata'!C:C)</f>
        <v>45698</v>
      </c>
      <c r="Q130" t="str">
        <f>IF(AND(Posts__2[[#This Row],[Date]]&gt;=Posts__2[[#This Row],[Campaign start date]],Posts__2[[#This Row],[Date]]&lt;=Posts__2[[#This Row],[Campaign end date]]),"During","Before")</f>
        <v>Before</v>
      </c>
    </row>
    <row r="131" spans="1:17" x14ac:dyDescent="0.3">
      <c r="A131" t="s">
        <v>194</v>
      </c>
      <c r="B131" t="s">
        <v>57</v>
      </c>
      <c r="C131" s="14">
        <v>45301</v>
      </c>
      <c r="D131" t="s">
        <v>43</v>
      </c>
      <c r="E131" t="s">
        <v>47</v>
      </c>
      <c r="F131">
        <v>1261</v>
      </c>
      <c r="G131">
        <v>190</v>
      </c>
      <c r="H131">
        <v>233</v>
      </c>
      <c r="I131">
        <v>59888</v>
      </c>
      <c r="J131">
        <v>51449</v>
      </c>
      <c r="K131">
        <v>205</v>
      </c>
      <c r="L131" t="s">
        <v>59</v>
      </c>
      <c r="M131" t="s">
        <v>21</v>
      </c>
      <c r="N131">
        <f>(  Posts__2[[#This Row],[Likes]]+Posts__2[[#This Row],[Comments]]+Posts__2[[#This Row],[Shares]] ) / Posts__2[[#This Row],[Impressions]]</f>
        <v>2.811915575741384E-2</v>
      </c>
      <c r="O131" s="14">
        <f>_xlfn.XLOOKUP(Posts__2[[#This Row],[Campaign_Name]],'Campaign Metadata'!A:A,'Campaign Metadata'!B:B)</f>
        <v>45717</v>
      </c>
      <c r="P131" s="14">
        <f>_xlfn.XLOOKUP(Posts__2[[#This Row],[Campaign_Name]],'Campaign Metadata'!A:A,'Campaign Metadata'!C:C)</f>
        <v>45747</v>
      </c>
      <c r="Q131" t="str">
        <f>IF(AND(Posts__2[[#This Row],[Date]]&gt;=Posts__2[[#This Row],[Campaign start date]],Posts__2[[#This Row],[Date]]&lt;=Posts__2[[#This Row],[Campaign end date]]),"During","Before")</f>
        <v>Before</v>
      </c>
    </row>
    <row r="132" spans="1:17" x14ac:dyDescent="0.3">
      <c r="A132" t="s">
        <v>195</v>
      </c>
      <c r="B132" t="s">
        <v>50</v>
      </c>
      <c r="C132" s="14">
        <v>45736</v>
      </c>
      <c r="D132" t="s">
        <v>43</v>
      </c>
      <c r="E132" t="s">
        <v>77</v>
      </c>
      <c r="F132">
        <v>1564</v>
      </c>
      <c r="G132">
        <v>362</v>
      </c>
      <c r="H132">
        <v>371</v>
      </c>
      <c r="I132">
        <v>42075</v>
      </c>
      <c r="J132">
        <v>66659</v>
      </c>
      <c r="K132">
        <v>205</v>
      </c>
      <c r="L132" t="s">
        <v>71</v>
      </c>
      <c r="M132" t="s">
        <v>21</v>
      </c>
      <c r="N132">
        <f>(  Posts__2[[#This Row],[Likes]]+Posts__2[[#This Row],[Comments]]+Posts__2[[#This Row],[Shares]] ) / Posts__2[[#This Row],[Impressions]]</f>
        <v>5.4592988710635768E-2</v>
      </c>
      <c r="O132" s="14">
        <f>_xlfn.XLOOKUP(Posts__2[[#This Row],[Campaign_Name]],'Campaign Metadata'!A:A,'Campaign Metadata'!B:B)</f>
        <v>45717</v>
      </c>
      <c r="P132" s="14">
        <f>_xlfn.XLOOKUP(Posts__2[[#This Row],[Campaign_Name]],'Campaign Metadata'!A:A,'Campaign Metadata'!C:C)</f>
        <v>45747</v>
      </c>
      <c r="Q132" t="str">
        <f>IF(AND(Posts__2[[#This Row],[Date]]&gt;=Posts__2[[#This Row],[Campaign start date]],Posts__2[[#This Row],[Date]]&lt;=Posts__2[[#This Row],[Campaign end date]]),"During","Before")</f>
        <v>During</v>
      </c>
    </row>
    <row r="133" spans="1:17" x14ac:dyDescent="0.3">
      <c r="A133" t="s">
        <v>196</v>
      </c>
      <c r="B133" t="s">
        <v>50</v>
      </c>
      <c r="C133" s="14">
        <v>45563</v>
      </c>
      <c r="D133" t="s">
        <v>43</v>
      </c>
      <c r="E133" t="s">
        <v>61</v>
      </c>
      <c r="F133">
        <v>4006</v>
      </c>
      <c r="G133">
        <v>420</v>
      </c>
      <c r="H133">
        <v>194</v>
      </c>
      <c r="I133">
        <v>49964</v>
      </c>
      <c r="J133">
        <v>20685</v>
      </c>
      <c r="K133">
        <v>148</v>
      </c>
      <c r="L133" t="s">
        <v>68</v>
      </c>
      <c r="M133" t="s">
        <v>19</v>
      </c>
      <c r="N133">
        <f>(  Posts__2[[#This Row],[Likes]]+Posts__2[[#This Row],[Comments]]+Posts__2[[#This Row],[Shares]] ) / Posts__2[[#This Row],[Impressions]]</f>
        <v>9.2466575934672959E-2</v>
      </c>
      <c r="O133" s="14">
        <f>_xlfn.XLOOKUP(Posts__2[[#This Row],[Campaign_Name]],'Campaign Metadata'!A:A,'Campaign Metadata'!B:B)</f>
        <v>45667</v>
      </c>
      <c r="P133" s="14">
        <f>_xlfn.XLOOKUP(Posts__2[[#This Row],[Campaign_Name]],'Campaign Metadata'!A:A,'Campaign Metadata'!C:C)</f>
        <v>45698</v>
      </c>
      <c r="Q133" t="str">
        <f>IF(AND(Posts__2[[#This Row],[Date]]&gt;=Posts__2[[#This Row],[Campaign start date]],Posts__2[[#This Row],[Date]]&lt;=Posts__2[[#This Row],[Campaign end date]]),"During","Before")</f>
        <v>Before</v>
      </c>
    </row>
    <row r="134" spans="1:17" x14ac:dyDescent="0.3">
      <c r="A134" t="s">
        <v>197</v>
      </c>
      <c r="B134" t="s">
        <v>57</v>
      </c>
      <c r="C134" s="14">
        <v>45318</v>
      </c>
      <c r="D134" t="s">
        <v>43</v>
      </c>
      <c r="E134" t="s">
        <v>77</v>
      </c>
      <c r="F134">
        <v>1976</v>
      </c>
      <c r="G134">
        <v>262</v>
      </c>
      <c r="H134">
        <v>218</v>
      </c>
      <c r="I134">
        <v>51696</v>
      </c>
      <c r="J134">
        <v>44846</v>
      </c>
      <c r="K134">
        <v>139</v>
      </c>
      <c r="L134" t="s">
        <v>59</v>
      </c>
      <c r="M134" t="s">
        <v>21</v>
      </c>
      <c r="N134">
        <f>(  Posts__2[[#This Row],[Likes]]+Posts__2[[#This Row],[Comments]]+Posts__2[[#This Row],[Shares]] ) / Posts__2[[#This Row],[Impressions]]</f>
        <v>4.7508511296812134E-2</v>
      </c>
      <c r="O134" s="14">
        <f>_xlfn.XLOOKUP(Posts__2[[#This Row],[Campaign_Name]],'Campaign Metadata'!A:A,'Campaign Metadata'!B:B)</f>
        <v>45717</v>
      </c>
      <c r="P134" s="14">
        <f>_xlfn.XLOOKUP(Posts__2[[#This Row],[Campaign_Name]],'Campaign Metadata'!A:A,'Campaign Metadata'!C:C)</f>
        <v>45747</v>
      </c>
      <c r="Q134" t="str">
        <f>IF(AND(Posts__2[[#This Row],[Date]]&gt;=Posts__2[[#This Row],[Campaign start date]],Posts__2[[#This Row],[Date]]&lt;=Posts__2[[#This Row],[Campaign end date]]),"During","Before")</f>
        <v>Before</v>
      </c>
    </row>
    <row r="135" spans="1:17" x14ac:dyDescent="0.3">
      <c r="A135" t="s">
        <v>198</v>
      </c>
      <c r="B135" t="s">
        <v>50</v>
      </c>
      <c r="C135" s="14">
        <v>45792</v>
      </c>
      <c r="D135" t="s">
        <v>43</v>
      </c>
      <c r="E135" t="s">
        <v>52</v>
      </c>
      <c r="F135">
        <v>1583</v>
      </c>
      <c r="G135">
        <v>433</v>
      </c>
      <c r="H135">
        <v>249</v>
      </c>
      <c r="I135">
        <v>30256</v>
      </c>
      <c r="J135">
        <v>47066</v>
      </c>
      <c r="K135">
        <v>196</v>
      </c>
      <c r="L135" t="s">
        <v>68</v>
      </c>
      <c r="M135" t="s">
        <v>19</v>
      </c>
      <c r="N135">
        <f>(  Posts__2[[#This Row],[Likes]]+Posts__2[[#This Row],[Comments]]+Posts__2[[#This Row],[Shares]] ) / Posts__2[[#This Row],[Impressions]]</f>
        <v>7.4861184558434685E-2</v>
      </c>
      <c r="O135" s="14">
        <f>_xlfn.XLOOKUP(Posts__2[[#This Row],[Campaign_Name]],'Campaign Metadata'!A:A,'Campaign Metadata'!B:B)</f>
        <v>45667</v>
      </c>
      <c r="P135" s="14">
        <f>_xlfn.XLOOKUP(Posts__2[[#This Row],[Campaign_Name]],'Campaign Metadata'!A:A,'Campaign Metadata'!C:C)</f>
        <v>45698</v>
      </c>
      <c r="Q135" t="str">
        <f>IF(AND(Posts__2[[#This Row],[Date]]&gt;=Posts__2[[#This Row],[Campaign start date]],Posts__2[[#This Row],[Date]]&lt;=Posts__2[[#This Row],[Campaign end date]]),"During","Before")</f>
        <v>Before</v>
      </c>
    </row>
    <row r="136" spans="1:17" x14ac:dyDescent="0.3">
      <c r="A136" t="s">
        <v>199</v>
      </c>
      <c r="B136" t="s">
        <v>50</v>
      </c>
      <c r="C136" s="14">
        <v>45569</v>
      </c>
      <c r="D136" t="s">
        <v>51</v>
      </c>
      <c r="E136" t="s">
        <v>47</v>
      </c>
      <c r="F136">
        <v>2870</v>
      </c>
      <c r="G136">
        <v>380</v>
      </c>
      <c r="H136">
        <v>393</v>
      </c>
      <c r="I136">
        <v>37621</v>
      </c>
      <c r="J136">
        <v>71794</v>
      </c>
      <c r="K136">
        <v>127</v>
      </c>
      <c r="L136" t="s">
        <v>53</v>
      </c>
      <c r="M136" t="s">
        <v>19</v>
      </c>
      <c r="N136">
        <f>(  Posts__2[[#This Row],[Likes]]+Posts__2[[#This Row],[Comments]]+Posts__2[[#This Row],[Shares]] ) / Posts__2[[#This Row],[Impressions]]</f>
        <v>9.6834214933149046E-2</v>
      </c>
      <c r="O136" s="14">
        <f>_xlfn.XLOOKUP(Posts__2[[#This Row],[Campaign_Name]],'Campaign Metadata'!A:A,'Campaign Metadata'!B:B)</f>
        <v>45667</v>
      </c>
      <c r="P136" s="14">
        <f>_xlfn.XLOOKUP(Posts__2[[#This Row],[Campaign_Name]],'Campaign Metadata'!A:A,'Campaign Metadata'!C:C)</f>
        <v>45698</v>
      </c>
      <c r="Q136" t="str">
        <f>IF(AND(Posts__2[[#This Row],[Date]]&gt;=Posts__2[[#This Row],[Campaign start date]],Posts__2[[#This Row],[Date]]&lt;=Posts__2[[#This Row],[Campaign end date]]),"During","Before")</f>
        <v>Before</v>
      </c>
    </row>
    <row r="137" spans="1:17" x14ac:dyDescent="0.3">
      <c r="A137" t="s">
        <v>200</v>
      </c>
      <c r="B137" t="s">
        <v>50</v>
      </c>
      <c r="C137" s="14">
        <v>45615</v>
      </c>
      <c r="D137" t="s">
        <v>43</v>
      </c>
      <c r="E137" t="s">
        <v>67</v>
      </c>
      <c r="F137">
        <v>3728</v>
      </c>
      <c r="G137">
        <v>271</v>
      </c>
      <c r="H137">
        <v>275</v>
      </c>
      <c r="I137">
        <v>22827</v>
      </c>
      <c r="J137">
        <v>37034</v>
      </c>
      <c r="K137">
        <v>199</v>
      </c>
      <c r="L137" t="s">
        <v>68</v>
      </c>
      <c r="M137" t="s">
        <v>19</v>
      </c>
      <c r="N137">
        <f>(  Posts__2[[#This Row],[Likes]]+Posts__2[[#This Row],[Comments]]+Posts__2[[#This Row],[Shares]] ) / Posts__2[[#This Row],[Impressions]]</f>
        <v>0.18723441538528934</v>
      </c>
      <c r="O137" s="14">
        <f>_xlfn.XLOOKUP(Posts__2[[#This Row],[Campaign_Name]],'Campaign Metadata'!A:A,'Campaign Metadata'!B:B)</f>
        <v>45667</v>
      </c>
      <c r="P137" s="14">
        <f>_xlfn.XLOOKUP(Posts__2[[#This Row],[Campaign_Name]],'Campaign Metadata'!A:A,'Campaign Metadata'!C:C)</f>
        <v>45698</v>
      </c>
      <c r="Q137" t="str">
        <f>IF(AND(Posts__2[[#This Row],[Date]]&gt;=Posts__2[[#This Row],[Campaign start date]],Posts__2[[#This Row],[Date]]&lt;=Posts__2[[#This Row],[Campaign end date]]),"During","Before")</f>
        <v>Before</v>
      </c>
    </row>
    <row r="138" spans="1:17" x14ac:dyDescent="0.3">
      <c r="A138" t="s">
        <v>201</v>
      </c>
      <c r="B138" t="s">
        <v>50</v>
      </c>
      <c r="C138" s="14">
        <v>45387</v>
      </c>
      <c r="D138" t="s">
        <v>51</v>
      </c>
      <c r="E138" t="s">
        <v>52</v>
      </c>
      <c r="F138">
        <v>4965</v>
      </c>
      <c r="G138">
        <v>175</v>
      </c>
      <c r="H138">
        <v>307</v>
      </c>
      <c r="I138">
        <v>32793</v>
      </c>
      <c r="J138">
        <v>43412</v>
      </c>
      <c r="K138">
        <v>296</v>
      </c>
      <c r="L138" t="s">
        <v>45</v>
      </c>
      <c r="M138" t="s">
        <v>19</v>
      </c>
      <c r="N138">
        <f>(  Posts__2[[#This Row],[Likes]]+Posts__2[[#This Row],[Comments]]+Posts__2[[#This Row],[Shares]] ) / Posts__2[[#This Row],[Impressions]]</f>
        <v>0.16610252187966945</v>
      </c>
      <c r="O138" s="14">
        <f>_xlfn.XLOOKUP(Posts__2[[#This Row],[Campaign_Name]],'Campaign Metadata'!A:A,'Campaign Metadata'!B:B)</f>
        <v>45667</v>
      </c>
      <c r="P138" s="14">
        <f>_xlfn.XLOOKUP(Posts__2[[#This Row],[Campaign_Name]],'Campaign Metadata'!A:A,'Campaign Metadata'!C:C)</f>
        <v>45698</v>
      </c>
      <c r="Q138" t="str">
        <f>IF(AND(Posts__2[[#This Row],[Date]]&gt;=Posts__2[[#This Row],[Campaign start date]],Posts__2[[#This Row],[Date]]&lt;=Posts__2[[#This Row],[Campaign end date]]),"During","Before")</f>
        <v>Before</v>
      </c>
    </row>
    <row r="139" spans="1:17" x14ac:dyDescent="0.3">
      <c r="A139" t="s">
        <v>202</v>
      </c>
      <c r="B139" t="s">
        <v>50</v>
      </c>
      <c r="C139" s="14">
        <v>45624</v>
      </c>
      <c r="D139" t="s">
        <v>51</v>
      </c>
      <c r="E139" t="s">
        <v>52</v>
      </c>
      <c r="F139">
        <v>1131</v>
      </c>
      <c r="G139">
        <v>100</v>
      </c>
      <c r="H139">
        <v>116</v>
      </c>
      <c r="I139">
        <v>48437</v>
      </c>
      <c r="J139">
        <v>72704</v>
      </c>
      <c r="K139">
        <v>236</v>
      </c>
      <c r="L139" t="s">
        <v>65</v>
      </c>
      <c r="M139" t="s">
        <v>19</v>
      </c>
      <c r="N139">
        <f>(  Posts__2[[#This Row],[Likes]]+Posts__2[[#This Row],[Comments]]+Posts__2[[#This Row],[Shares]] ) / Posts__2[[#This Row],[Impressions]]</f>
        <v>2.7809319322005904E-2</v>
      </c>
      <c r="O139" s="14">
        <f>_xlfn.XLOOKUP(Posts__2[[#This Row],[Campaign_Name]],'Campaign Metadata'!A:A,'Campaign Metadata'!B:B)</f>
        <v>45667</v>
      </c>
      <c r="P139" s="14">
        <f>_xlfn.XLOOKUP(Posts__2[[#This Row],[Campaign_Name]],'Campaign Metadata'!A:A,'Campaign Metadata'!C:C)</f>
        <v>45698</v>
      </c>
      <c r="Q139" t="str">
        <f>IF(AND(Posts__2[[#This Row],[Date]]&gt;=Posts__2[[#This Row],[Campaign start date]],Posts__2[[#This Row],[Date]]&lt;=Posts__2[[#This Row],[Campaign end date]]),"During","Before")</f>
        <v>Before</v>
      </c>
    </row>
    <row r="140" spans="1:17" x14ac:dyDescent="0.3">
      <c r="A140" t="s">
        <v>203</v>
      </c>
      <c r="B140" t="s">
        <v>50</v>
      </c>
      <c r="C140" s="14">
        <v>45725</v>
      </c>
      <c r="D140" t="s">
        <v>43</v>
      </c>
      <c r="E140" t="s">
        <v>77</v>
      </c>
      <c r="F140">
        <v>2754</v>
      </c>
      <c r="G140">
        <v>215</v>
      </c>
      <c r="H140">
        <v>264</v>
      </c>
      <c r="I140">
        <v>27762</v>
      </c>
      <c r="J140">
        <v>70203</v>
      </c>
      <c r="K140">
        <v>289</v>
      </c>
      <c r="L140" t="s">
        <v>68</v>
      </c>
      <c r="M140" t="s">
        <v>19</v>
      </c>
      <c r="N140">
        <f>(  Posts__2[[#This Row],[Likes]]+Posts__2[[#This Row],[Comments]]+Posts__2[[#This Row],[Shares]] ) / Posts__2[[#This Row],[Impressions]]</f>
        <v>0.11645414595490239</v>
      </c>
      <c r="O140" s="14">
        <f>_xlfn.XLOOKUP(Posts__2[[#This Row],[Campaign_Name]],'Campaign Metadata'!A:A,'Campaign Metadata'!B:B)</f>
        <v>45667</v>
      </c>
      <c r="P140" s="14">
        <f>_xlfn.XLOOKUP(Posts__2[[#This Row],[Campaign_Name]],'Campaign Metadata'!A:A,'Campaign Metadata'!C:C)</f>
        <v>45698</v>
      </c>
      <c r="Q140" t="str">
        <f>IF(AND(Posts__2[[#This Row],[Date]]&gt;=Posts__2[[#This Row],[Campaign start date]],Posts__2[[#This Row],[Date]]&lt;=Posts__2[[#This Row],[Campaign end date]]),"During","Before")</f>
        <v>Before</v>
      </c>
    </row>
    <row r="141" spans="1:17" x14ac:dyDescent="0.3">
      <c r="A141" t="s">
        <v>204</v>
      </c>
      <c r="B141" t="s">
        <v>50</v>
      </c>
      <c r="C141" s="14">
        <v>45531</v>
      </c>
      <c r="D141" t="s">
        <v>51</v>
      </c>
      <c r="E141" t="s">
        <v>52</v>
      </c>
      <c r="F141">
        <v>1856</v>
      </c>
      <c r="G141">
        <v>357</v>
      </c>
      <c r="H141">
        <v>348</v>
      </c>
      <c r="I141">
        <v>29428</v>
      </c>
      <c r="J141">
        <v>70206</v>
      </c>
      <c r="K141">
        <v>236</v>
      </c>
      <c r="L141" t="s">
        <v>53</v>
      </c>
      <c r="M141" t="s">
        <v>19</v>
      </c>
      <c r="N141">
        <f>(  Posts__2[[#This Row],[Likes]]+Posts__2[[#This Row],[Comments]]+Posts__2[[#This Row],[Shares]] ) / Posts__2[[#This Row],[Impressions]]</f>
        <v>8.702596166915863E-2</v>
      </c>
      <c r="O141" s="14">
        <f>_xlfn.XLOOKUP(Posts__2[[#This Row],[Campaign_Name]],'Campaign Metadata'!A:A,'Campaign Metadata'!B:B)</f>
        <v>45667</v>
      </c>
      <c r="P141" s="14">
        <f>_xlfn.XLOOKUP(Posts__2[[#This Row],[Campaign_Name]],'Campaign Metadata'!A:A,'Campaign Metadata'!C:C)</f>
        <v>45698</v>
      </c>
      <c r="Q141" t="str">
        <f>IF(AND(Posts__2[[#This Row],[Date]]&gt;=Posts__2[[#This Row],[Campaign start date]],Posts__2[[#This Row],[Date]]&lt;=Posts__2[[#This Row],[Campaign end date]]),"During","Before")</f>
        <v>Before</v>
      </c>
    </row>
    <row r="142" spans="1:17" x14ac:dyDescent="0.3">
      <c r="A142" t="s">
        <v>205</v>
      </c>
      <c r="B142" t="s">
        <v>57</v>
      </c>
      <c r="C142" s="14">
        <v>45566</v>
      </c>
      <c r="D142" t="s">
        <v>82</v>
      </c>
      <c r="E142" t="s">
        <v>47</v>
      </c>
      <c r="F142">
        <v>3543</v>
      </c>
      <c r="G142">
        <v>334</v>
      </c>
      <c r="H142">
        <v>218</v>
      </c>
      <c r="I142">
        <v>58007</v>
      </c>
      <c r="J142">
        <v>24792</v>
      </c>
      <c r="K142">
        <v>273</v>
      </c>
      <c r="L142" t="s">
        <v>83</v>
      </c>
      <c r="M142" t="s">
        <v>20</v>
      </c>
      <c r="N142">
        <f>(  Posts__2[[#This Row],[Likes]]+Posts__2[[#This Row],[Comments]]+Posts__2[[#This Row],[Shares]] ) / Posts__2[[#This Row],[Impressions]]</f>
        <v>7.0594928198320889E-2</v>
      </c>
      <c r="O142" s="14">
        <f>_xlfn.XLOOKUP(Posts__2[[#This Row],[Campaign_Name]],'Campaign Metadata'!A:A,'Campaign Metadata'!B:B)</f>
        <v>45458</v>
      </c>
      <c r="P142" s="14">
        <f>_xlfn.XLOOKUP(Posts__2[[#This Row],[Campaign_Name]],'Campaign Metadata'!A:A,'Campaign Metadata'!C:C)</f>
        <v>45488</v>
      </c>
      <c r="Q142" t="str">
        <f>IF(AND(Posts__2[[#This Row],[Date]]&gt;=Posts__2[[#This Row],[Campaign start date]],Posts__2[[#This Row],[Date]]&lt;=Posts__2[[#This Row],[Campaign end date]]),"During","Before")</f>
        <v>Before</v>
      </c>
    </row>
    <row r="143" spans="1:17" x14ac:dyDescent="0.3">
      <c r="A143" t="s">
        <v>206</v>
      </c>
      <c r="B143" t="s">
        <v>42</v>
      </c>
      <c r="C143" s="14">
        <v>45647</v>
      </c>
      <c r="D143" t="s">
        <v>51</v>
      </c>
      <c r="E143" t="s">
        <v>52</v>
      </c>
      <c r="F143">
        <v>4563</v>
      </c>
      <c r="G143">
        <v>398</v>
      </c>
      <c r="H143">
        <v>163</v>
      </c>
      <c r="I143">
        <v>43679</v>
      </c>
      <c r="J143">
        <v>48760</v>
      </c>
      <c r="K143">
        <v>92</v>
      </c>
      <c r="L143" t="s">
        <v>68</v>
      </c>
      <c r="M143" t="s">
        <v>24</v>
      </c>
      <c r="N143">
        <f>(  Posts__2[[#This Row],[Likes]]+Posts__2[[#This Row],[Comments]]+Posts__2[[#This Row],[Shares]] ) / Posts__2[[#This Row],[Impressions]]</f>
        <v>0.11731037798484398</v>
      </c>
      <c r="O143" s="14">
        <f>_xlfn.XLOOKUP(Posts__2[[#This Row],[Campaign_Name]],'Campaign Metadata'!A:A,'Campaign Metadata'!B:B)</f>
        <v>45627</v>
      </c>
      <c r="P143" s="14">
        <f>_xlfn.XLOOKUP(Posts__2[[#This Row],[Campaign_Name]],'Campaign Metadata'!A:A,'Campaign Metadata'!C:C)</f>
        <v>45657</v>
      </c>
      <c r="Q143" t="str">
        <f>IF(AND(Posts__2[[#This Row],[Date]]&gt;=Posts__2[[#This Row],[Campaign start date]],Posts__2[[#This Row],[Date]]&lt;=Posts__2[[#This Row],[Campaign end date]]),"During","Before")</f>
        <v>During</v>
      </c>
    </row>
    <row r="144" spans="1:17" x14ac:dyDescent="0.3">
      <c r="A144" t="s">
        <v>207</v>
      </c>
      <c r="B144" t="s">
        <v>42</v>
      </c>
      <c r="C144" s="14">
        <v>45460</v>
      </c>
      <c r="D144" t="s">
        <v>43</v>
      </c>
      <c r="E144" t="s">
        <v>44</v>
      </c>
      <c r="F144">
        <v>4283</v>
      </c>
      <c r="G144">
        <v>471</v>
      </c>
      <c r="H144">
        <v>156</v>
      </c>
      <c r="I144">
        <v>53004</v>
      </c>
      <c r="J144">
        <v>25678</v>
      </c>
      <c r="K144">
        <v>105</v>
      </c>
      <c r="L144" t="s">
        <v>48</v>
      </c>
      <c r="M144" t="s">
        <v>21</v>
      </c>
      <c r="N144">
        <f>(  Posts__2[[#This Row],[Likes]]+Posts__2[[#This Row],[Comments]]+Posts__2[[#This Row],[Shares]] ) / Posts__2[[#This Row],[Impressions]]</f>
        <v>9.2634518149573616E-2</v>
      </c>
      <c r="O144" s="14">
        <f>_xlfn.XLOOKUP(Posts__2[[#This Row],[Campaign_Name]],'Campaign Metadata'!A:A,'Campaign Metadata'!B:B)</f>
        <v>45717</v>
      </c>
      <c r="P144" s="14">
        <f>_xlfn.XLOOKUP(Posts__2[[#This Row],[Campaign_Name]],'Campaign Metadata'!A:A,'Campaign Metadata'!C:C)</f>
        <v>45747</v>
      </c>
      <c r="Q144" t="str">
        <f>IF(AND(Posts__2[[#This Row],[Date]]&gt;=Posts__2[[#This Row],[Campaign start date]],Posts__2[[#This Row],[Date]]&lt;=Posts__2[[#This Row],[Campaign end date]]),"During","Before")</f>
        <v>Before</v>
      </c>
    </row>
    <row r="145" spans="1:17" x14ac:dyDescent="0.3">
      <c r="A145" t="s">
        <v>208</v>
      </c>
      <c r="B145" t="s">
        <v>42</v>
      </c>
      <c r="C145" s="14">
        <v>45702</v>
      </c>
      <c r="D145" t="s">
        <v>43</v>
      </c>
      <c r="E145" t="s">
        <v>44</v>
      </c>
      <c r="F145">
        <v>2329</v>
      </c>
      <c r="G145">
        <v>373</v>
      </c>
      <c r="H145">
        <v>291</v>
      </c>
      <c r="I145">
        <v>49577</v>
      </c>
      <c r="J145">
        <v>28002</v>
      </c>
      <c r="K145">
        <v>82</v>
      </c>
      <c r="L145" t="s">
        <v>45</v>
      </c>
      <c r="M145" t="s">
        <v>19</v>
      </c>
      <c r="N145">
        <f>(  Posts__2[[#This Row],[Likes]]+Posts__2[[#This Row],[Comments]]+Posts__2[[#This Row],[Shares]] ) / Posts__2[[#This Row],[Impressions]]</f>
        <v>6.0370736430199488E-2</v>
      </c>
      <c r="O145" s="14">
        <f>_xlfn.XLOOKUP(Posts__2[[#This Row],[Campaign_Name]],'Campaign Metadata'!A:A,'Campaign Metadata'!B:B)</f>
        <v>45667</v>
      </c>
      <c r="P145" s="14">
        <f>_xlfn.XLOOKUP(Posts__2[[#This Row],[Campaign_Name]],'Campaign Metadata'!A:A,'Campaign Metadata'!C:C)</f>
        <v>45698</v>
      </c>
      <c r="Q145" t="str">
        <f>IF(AND(Posts__2[[#This Row],[Date]]&gt;=Posts__2[[#This Row],[Campaign start date]],Posts__2[[#This Row],[Date]]&lt;=Posts__2[[#This Row],[Campaign end date]]),"During","Before")</f>
        <v>Before</v>
      </c>
    </row>
    <row r="146" spans="1:17" x14ac:dyDescent="0.3">
      <c r="A146" t="s">
        <v>209</v>
      </c>
      <c r="B146" t="s">
        <v>50</v>
      </c>
      <c r="C146" s="14">
        <v>45805</v>
      </c>
      <c r="D146" t="s">
        <v>51</v>
      </c>
      <c r="E146" t="s">
        <v>67</v>
      </c>
      <c r="F146">
        <v>4287</v>
      </c>
      <c r="G146">
        <v>273</v>
      </c>
      <c r="H146">
        <v>122</v>
      </c>
      <c r="I146">
        <v>40792</v>
      </c>
      <c r="J146">
        <v>23878</v>
      </c>
      <c r="K146">
        <v>277</v>
      </c>
      <c r="L146" t="s">
        <v>53</v>
      </c>
      <c r="M146" t="s">
        <v>19</v>
      </c>
      <c r="N146">
        <f>(  Posts__2[[#This Row],[Likes]]+Posts__2[[#This Row],[Comments]]+Posts__2[[#This Row],[Shares]] ) / Posts__2[[#This Row],[Impressions]]</f>
        <v>0.11477740733477153</v>
      </c>
      <c r="O146" s="14">
        <f>_xlfn.XLOOKUP(Posts__2[[#This Row],[Campaign_Name]],'Campaign Metadata'!A:A,'Campaign Metadata'!B:B)</f>
        <v>45667</v>
      </c>
      <c r="P146" s="14">
        <f>_xlfn.XLOOKUP(Posts__2[[#This Row],[Campaign_Name]],'Campaign Metadata'!A:A,'Campaign Metadata'!C:C)</f>
        <v>45698</v>
      </c>
      <c r="Q146" t="str">
        <f>IF(AND(Posts__2[[#This Row],[Date]]&gt;=Posts__2[[#This Row],[Campaign start date]],Posts__2[[#This Row],[Date]]&lt;=Posts__2[[#This Row],[Campaign end date]]),"During","Before")</f>
        <v>Before</v>
      </c>
    </row>
    <row r="147" spans="1:17" x14ac:dyDescent="0.3">
      <c r="A147" t="s">
        <v>210</v>
      </c>
      <c r="B147" t="s">
        <v>42</v>
      </c>
      <c r="C147" s="14">
        <v>45799</v>
      </c>
      <c r="D147" t="s">
        <v>43</v>
      </c>
      <c r="E147" t="s">
        <v>44</v>
      </c>
      <c r="F147">
        <v>2633</v>
      </c>
      <c r="G147">
        <v>318</v>
      </c>
      <c r="H147">
        <v>380</v>
      </c>
      <c r="I147">
        <v>40869</v>
      </c>
      <c r="J147">
        <v>64474</v>
      </c>
      <c r="K147">
        <v>245</v>
      </c>
      <c r="L147" t="s">
        <v>48</v>
      </c>
      <c r="M147" t="s">
        <v>21</v>
      </c>
      <c r="N147">
        <f>(  Posts__2[[#This Row],[Likes]]+Posts__2[[#This Row],[Comments]]+Posts__2[[#This Row],[Shares]] ) / Posts__2[[#This Row],[Impressions]]</f>
        <v>8.1504318676747664E-2</v>
      </c>
      <c r="O147" s="14">
        <f>_xlfn.XLOOKUP(Posts__2[[#This Row],[Campaign_Name]],'Campaign Metadata'!A:A,'Campaign Metadata'!B:B)</f>
        <v>45717</v>
      </c>
      <c r="P147" s="14">
        <f>_xlfn.XLOOKUP(Posts__2[[#This Row],[Campaign_Name]],'Campaign Metadata'!A:A,'Campaign Metadata'!C:C)</f>
        <v>45747</v>
      </c>
      <c r="Q147" t="str">
        <f>IF(AND(Posts__2[[#This Row],[Date]]&gt;=Posts__2[[#This Row],[Campaign start date]],Posts__2[[#This Row],[Date]]&lt;=Posts__2[[#This Row],[Campaign end date]]),"During","Before")</f>
        <v>Before</v>
      </c>
    </row>
    <row r="148" spans="1:17" x14ac:dyDescent="0.3">
      <c r="A148" t="s">
        <v>211</v>
      </c>
      <c r="B148" t="s">
        <v>50</v>
      </c>
      <c r="C148" s="14">
        <v>45312</v>
      </c>
      <c r="D148" t="s">
        <v>51</v>
      </c>
      <c r="E148" t="s">
        <v>44</v>
      </c>
      <c r="F148">
        <v>2383</v>
      </c>
      <c r="G148">
        <v>136</v>
      </c>
      <c r="H148">
        <v>302</v>
      </c>
      <c r="I148">
        <v>39187</v>
      </c>
      <c r="J148">
        <v>22133</v>
      </c>
      <c r="K148">
        <v>208</v>
      </c>
      <c r="L148" t="s">
        <v>53</v>
      </c>
      <c r="M148" t="s">
        <v>19</v>
      </c>
      <c r="N148">
        <f>(  Posts__2[[#This Row],[Likes]]+Posts__2[[#This Row],[Comments]]+Posts__2[[#This Row],[Shares]] ) / Posts__2[[#This Row],[Impressions]]</f>
        <v>7.1988159338556151E-2</v>
      </c>
      <c r="O148" s="14">
        <f>_xlfn.XLOOKUP(Posts__2[[#This Row],[Campaign_Name]],'Campaign Metadata'!A:A,'Campaign Metadata'!B:B)</f>
        <v>45667</v>
      </c>
      <c r="P148" s="14">
        <f>_xlfn.XLOOKUP(Posts__2[[#This Row],[Campaign_Name]],'Campaign Metadata'!A:A,'Campaign Metadata'!C:C)</f>
        <v>45698</v>
      </c>
      <c r="Q148" t="str">
        <f>IF(AND(Posts__2[[#This Row],[Date]]&gt;=Posts__2[[#This Row],[Campaign start date]],Posts__2[[#This Row],[Date]]&lt;=Posts__2[[#This Row],[Campaign end date]]),"During","Before")</f>
        <v>Before</v>
      </c>
    </row>
    <row r="149" spans="1:17" x14ac:dyDescent="0.3">
      <c r="A149" t="s">
        <v>212</v>
      </c>
      <c r="B149" t="s">
        <v>50</v>
      </c>
      <c r="C149" s="14">
        <v>45696</v>
      </c>
      <c r="D149" t="s">
        <v>51</v>
      </c>
      <c r="E149" t="s">
        <v>77</v>
      </c>
      <c r="F149">
        <v>4752</v>
      </c>
      <c r="G149">
        <v>334</v>
      </c>
      <c r="H149">
        <v>56</v>
      </c>
      <c r="I149">
        <v>48017</v>
      </c>
      <c r="J149">
        <v>55534</v>
      </c>
      <c r="K149">
        <v>270</v>
      </c>
      <c r="L149" t="s">
        <v>65</v>
      </c>
      <c r="M149" t="s">
        <v>19</v>
      </c>
      <c r="N149">
        <f>(  Posts__2[[#This Row],[Likes]]+Posts__2[[#This Row],[Comments]]+Posts__2[[#This Row],[Shares]] ) / Posts__2[[#This Row],[Impressions]]</f>
        <v>0.10708707332819627</v>
      </c>
      <c r="O149" s="14">
        <f>_xlfn.XLOOKUP(Posts__2[[#This Row],[Campaign_Name]],'Campaign Metadata'!A:A,'Campaign Metadata'!B:B)</f>
        <v>45667</v>
      </c>
      <c r="P149" s="14">
        <f>_xlfn.XLOOKUP(Posts__2[[#This Row],[Campaign_Name]],'Campaign Metadata'!A:A,'Campaign Metadata'!C:C)</f>
        <v>45698</v>
      </c>
      <c r="Q149" t="str">
        <f>IF(AND(Posts__2[[#This Row],[Date]]&gt;=Posts__2[[#This Row],[Campaign start date]],Posts__2[[#This Row],[Date]]&lt;=Posts__2[[#This Row],[Campaign end date]]),"During","Before")</f>
        <v>During</v>
      </c>
    </row>
    <row r="150" spans="1:17" x14ac:dyDescent="0.3">
      <c r="A150" t="s">
        <v>213</v>
      </c>
      <c r="B150" t="s">
        <v>50</v>
      </c>
      <c r="C150" s="14">
        <v>45760</v>
      </c>
      <c r="D150" t="s">
        <v>43</v>
      </c>
      <c r="E150" t="s">
        <v>75</v>
      </c>
      <c r="F150">
        <v>3890</v>
      </c>
      <c r="G150">
        <v>408</v>
      </c>
      <c r="H150">
        <v>338</v>
      </c>
      <c r="I150">
        <v>56994</v>
      </c>
      <c r="J150">
        <v>32621</v>
      </c>
      <c r="K150">
        <v>286</v>
      </c>
      <c r="L150" t="s">
        <v>71</v>
      </c>
      <c r="M150" t="s">
        <v>21</v>
      </c>
      <c r="N150">
        <f>(  Posts__2[[#This Row],[Likes]]+Posts__2[[#This Row],[Comments]]+Posts__2[[#This Row],[Shares]] ) / Posts__2[[#This Row],[Impressions]]</f>
        <v>8.1341895638137346E-2</v>
      </c>
      <c r="O150" s="14">
        <f>_xlfn.XLOOKUP(Posts__2[[#This Row],[Campaign_Name]],'Campaign Metadata'!A:A,'Campaign Metadata'!B:B)</f>
        <v>45717</v>
      </c>
      <c r="P150" s="14">
        <f>_xlfn.XLOOKUP(Posts__2[[#This Row],[Campaign_Name]],'Campaign Metadata'!A:A,'Campaign Metadata'!C:C)</f>
        <v>45747</v>
      </c>
      <c r="Q150" t="str">
        <f>IF(AND(Posts__2[[#This Row],[Date]]&gt;=Posts__2[[#This Row],[Campaign start date]],Posts__2[[#This Row],[Date]]&lt;=Posts__2[[#This Row],[Campaign end date]]),"During","Before")</f>
        <v>Before</v>
      </c>
    </row>
    <row r="151" spans="1:17" x14ac:dyDescent="0.3">
      <c r="A151" t="s">
        <v>214</v>
      </c>
      <c r="B151" t="s">
        <v>50</v>
      </c>
      <c r="C151" s="14">
        <v>45442</v>
      </c>
      <c r="D151" t="s">
        <v>51</v>
      </c>
      <c r="E151" t="s">
        <v>77</v>
      </c>
      <c r="F151">
        <v>2311</v>
      </c>
      <c r="G151">
        <v>207</v>
      </c>
      <c r="H151">
        <v>363</v>
      </c>
      <c r="I151">
        <v>30349</v>
      </c>
      <c r="J151">
        <v>32925</v>
      </c>
      <c r="K151">
        <v>88</v>
      </c>
      <c r="L151" t="s">
        <v>53</v>
      </c>
      <c r="M151" t="s">
        <v>19</v>
      </c>
      <c r="N151">
        <f>(  Posts__2[[#This Row],[Likes]]+Posts__2[[#This Row],[Comments]]+Posts__2[[#This Row],[Shares]] ) / Posts__2[[#This Row],[Impressions]]</f>
        <v>9.4928992718046723E-2</v>
      </c>
      <c r="O151" s="14">
        <f>_xlfn.XLOOKUP(Posts__2[[#This Row],[Campaign_Name]],'Campaign Metadata'!A:A,'Campaign Metadata'!B:B)</f>
        <v>45667</v>
      </c>
      <c r="P151" s="14">
        <f>_xlfn.XLOOKUP(Posts__2[[#This Row],[Campaign_Name]],'Campaign Metadata'!A:A,'Campaign Metadata'!C:C)</f>
        <v>45698</v>
      </c>
      <c r="Q151" t="str">
        <f>IF(AND(Posts__2[[#This Row],[Date]]&gt;=Posts__2[[#This Row],[Campaign start date]],Posts__2[[#This Row],[Date]]&lt;=Posts__2[[#This Row],[Campaign end date]]),"During","Before")</f>
        <v>Before</v>
      </c>
    </row>
    <row r="152" spans="1:17" x14ac:dyDescent="0.3">
      <c r="A152" t="s">
        <v>215</v>
      </c>
      <c r="B152" t="s">
        <v>42</v>
      </c>
      <c r="C152" s="14">
        <v>45516</v>
      </c>
      <c r="D152" t="s">
        <v>51</v>
      </c>
      <c r="E152" t="s">
        <v>44</v>
      </c>
      <c r="F152">
        <v>2962</v>
      </c>
      <c r="G152">
        <v>400</v>
      </c>
      <c r="H152">
        <v>280</v>
      </c>
      <c r="I152">
        <v>52508</v>
      </c>
      <c r="J152">
        <v>58329</v>
      </c>
      <c r="K152">
        <v>219</v>
      </c>
      <c r="L152" t="s">
        <v>68</v>
      </c>
      <c r="M152" t="s">
        <v>24</v>
      </c>
      <c r="N152">
        <f>(  Posts__2[[#This Row],[Likes]]+Posts__2[[#This Row],[Comments]]+Posts__2[[#This Row],[Shares]] ) / Posts__2[[#This Row],[Impressions]]</f>
        <v>6.9360859297630834E-2</v>
      </c>
      <c r="O152" s="14">
        <f>_xlfn.XLOOKUP(Posts__2[[#This Row],[Campaign_Name]],'Campaign Metadata'!A:A,'Campaign Metadata'!B:B)</f>
        <v>45627</v>
      </c>
      <c r="P152" s="14">
        <f>_xlfn.XLOOKUP(Posts__2[[#This Row],[Campaign_Name]],'Campaign Metadata'!A:A,'Campaign Metadata'!C:C)</f>
        <v>45657</v>
      </c>
      <c r="Q152" t="str">
        <f>IF(AND(Posts__2[[#This Row],[Date]]&gt;=Posts__2[[#This Row],[Campaign start date]],Posts__2[[#This Row],[Date]]&lt;=Posts__2[[#This Row],[Campaign end date]]),"During","Before")</f>
        <v>Before</v>
      </c>
    </row>
    <row r="153" spans="1:17" x14ac:dyDescent="0.3">
      <c r="A153" t="s">
        <v>216</v>
      </c>
      <c r="B153" t="s">
        <v>42</v>
      </c>
      <c r="C153" s="14">
        <v>45562</v>
      </c>
      <c r="D153" t="s">
        <v>43</v>
      </c>
      <c r="E153" t="s">
        <v>44</v>
      </c>
      <c r="F153">
        <v>3118</v>
      </c>
      <c r="G153">
        <v>116</v>
      </c>
      <c r="H153">
        <v>195</v>
      </c>
      <c r="I153">
        <v>37100</v>
      </c>
      <c r="J153">
        <v>62629</v>
      </c>
      <c r="K153">
        <v>272</v>
      </c>
      <c r="L153" t="s">
        <v>48</v>
      </c>
      <c r="M153" t="s">
        <v>21</v>
      </c>
      <c r="N153">
        <f>(  Posts__2[[#This Row],[Likes]]+Posts__2[[#This Row],[Comments]]+Posts__2[[#This Row],[Shares]] ) / Posts__2[[#This Row],[Impressions]]</f>
        <v>9.2425876010781671E-2</v>
      </c>
      <c r="O153" s="14">
        <f>_xlfn.XLOOKUP(Posts__2[[#This Row],[Campaign_Name]],'Campaign Metadata'!A:A,'Campaign Metadata'!B:B)</f>
        <v>45717</v>
      </c>
      <c r="P153" s="14">
        <f>_xlfn.XLOOKUP(Posts__2[[#This Row],[Campaign_Name]],'Campaign Metadata'!A:A,'Campaign Metadata'!C:C)</f>
        <v>45747</v>
      </c>
      <c r="Q153" t="str">
        <f>IF(AND(Posts__2[[#This Row],[Date]]&gt;=Posts__2[[#This Row],[Campaign start date]],Posts__2[[#This Row],[Date]]&lt;=Posts__2[[#This Row],[Campaign end date]]),"During","Before")</f>
        <v>Before</v>
      </c>
    </row>
    <row r="154" spans="1:17" x14ac:dyDescent="0.3">
      <c r="A154" t="s">
        <v>217</v>
      </c>
      <c r="B154" t="s">
        <v>50</v>
      </c>
      <c r="C154" s="14">
        <v>45819</v>
      </c>
      <c r="D154" t="s">
        <v>51</v>
      </c>
      <c r="E154" t="s">
        <v>47</v>
      </c>
      <c r="F154">
        <v>3805</v>
      </c>
      <c r="G154">
        <v>453</v>
      </c>
      <c r="H154">
        <v>63</v>
      </c>
      <c r="I154">
        <v>52395</v>
      </c>
      <c r="J154">
        <v>72934</v>
      </c>
      <c r="K154">
        <v>87</v>
      </c>
      <c r="L154" t="s">
        <v>65</v>
      </c>
      <c r="M154" t="s">
        <v>19</v>
      </c>
      <c r="N154">
        <f>(  Posts__2[[#This Row],[Likes]]+Posts__2[[#This Row],[Comments]]+Posts__2[[#This Row],[Shares]] ) / Posts__2[[#This Row],[Impressions]]</f>
        <v>8.2469701307376658E-2</v>
      </c>
      <c r="O154" s="14">
        <f>_xlfn.XLOOKUP(Posts__2[[#This Row],[Campaign_Name]],'Campaign Metadata'!A:A,'Campaign Metadata'!B:B)</f>
        <v>45667</v>
      </c>
      <c r="P154" s="14">
        <f>_xlfn.XLOOKUP(Posts__2[[#This Row],[Campaign_Name]],'Campaign Metadata'!A:A,'Campaign Metadata'!C:C)</f>
        <v>45698</v>
      </c>
      <c r="Q154" t="str">
        <f>IF(AND(Posts__2[[#This Row],[Date]]&gt;=Posts__2[[#This Row],[Campaign start date]],Posts__2[[#This Row],[Date]]&lt;=Posts__2[[#This Row],[Campaign end date]]),"During","Before")</f>
        <v>Before</v>
      </c>
    </row>
    <row r="155" spans="1:17" x14ac:dyDescent="0.3">
      <c r="A155" t="s">
        <v>218</v>
      </c>
      <c r="B155" t="s">
        <v>42</v>
      </c>
      <c r="C155" s="14">
        <v>45615</v>
      </c>
      <c r="D155" t="s">
        <v>43</v>
      </c>
      <c r="E155" t="s">
        <v>61</v>
      </c>
      <c r="F155">
        <v>2525</v>
      </c>
      <c r="G155">
        <v>272</v>
      </c>
      <c r="H155">
        <v>294</v>
      </c>
      <c r="I155">
        <v>51875</v>
      </c>
      <c r="J155">
        <v>24732</v>
      </c>
      <c r="K155">
        <v>92</v>
      </c>
      <c r="L155" t="s">
        <v>48</v>
      </c>
      <c r="M155" t="s">
        <v>21</v>
      </c>
      <c r="N155">
        <f>(  Posts__2[[#This Row],[Likes]]+Posts__2[[#This Row],[Comments]]+Posts__2[[#This Row],[Shares]] ) / Posts__2[[#This Row],[Impressions]]</f>
        <v>5.9585542168674697E-2</v>
      </c>
      <c r="O155" s="14">
        <f>_xlfn.XLOOKUP(Posts__2[[#This Row],[Campaign_Name]],'Campaign Metadata'!A:A,'Campaign Metadata'!B:B)</f>
        <v>45717</v>
      </c>
      <c r="P155" s="14">
        <f>_xlfn.XLOOKUP(Posts__2[[#This Row],[Campaign_Name]],'Campaign Metadata'!A:A,'Campaign Metadata'!C:C)</f>
        <v>45747</v>
      </c>
      <c r="Q155" t="str">
        <f>IF(AND(Posts__2[[#This Row],[Date]]&gt;=Posts__2[[#This Row],[Campaign start date]],Posts__2[[#This Row],[Date]]&lt;=Posts__2[[#This Row],[Campaign end date]]),"During","Before")</f>
        <v>Before</v>
      </c>
    </row>
    <row r="156" spans="1:17" x14ac:dyDescent="0.3">
      <c r="A156" t="s">
        <v>219</v>
      </c>
      <c r="B156" t="s">
        <v>42</v>
      </c>
      <c r="C156" s="14">
        <v>45407</v>
      </c>
      <c r="D156" t="s">
        <v>43</v>
      </c>
      <c r="E156" t="s">
        <v>58</v>
      </c>
      <c r="F156">
        <v>3563</v>
      </c>
      <c r="G156">
        <v>483</v>
      </c>
      <c r="H156">
        <v>227</v>
      </c>
      <c r="I156">
        <v>41085</v>
      </c>
      <c r="J156">
        <v>26393</v>
      </c>
      <c r="K156">
        <v>236</v>
      </c>
      <c r="L156" t="s">
        <v>45</v>
      </c>
      <c r="M156" t="s">
        <v>19</v>
      </c>
      <c r="N156">
        <f>(  Posts__2[[#This Row],[Likes]]+Posts__2[[#This Row],[Comments]]+Posts__2[[#This Row],[Shares]] ) / Posts__2[[#This Row],[Impressions]]</f>
        <v>0.10400389436534015</v>
      </c>
      <c r="O156" s="14">
        <f>_xlfn.XLOOKUP(Posts__2[[#This Row],[Campaign_Name]],'Campaign Metadata'!A:A,'Campaign Metadata'!B:B)</f>
        <v>45667</v>
      </c>
      <c r="P156" s="14">
        <f>_xlfn.XLOOKUP(Posts__2[[#This Row],[Campaign_Name]],'Campaign Metadata'!A:A,'Campaign Metadata'!C:C)</f>
        <v>45698</v>
      </c>
      <c r="Q156" t="str">
        <f>IF(AND(Posts__2[[#This Row],[Date]]&gt;=Posts__2[[#This Row],[Campaign start date]],Posts__2[[#This Row],[Date]]&lt;=Posts__2[[#This Row],[Campaign end date]]),"During","Before")</f>
        <v>Before</v>
      </c>
    </row>
    <row r="157" spans="1:17" x14ac:dyDescent="0.3">
      <c r="A157" t="s">
        <v>220</v>
      </c>
      <c r="B157" t="s">
        <v>57</v>
      </c>
      <c r="C157" s="14">
        <v>45538</v>
      </c>
      <c r="D157" t="s">
        <v>82</v>
      </c>
      <c r="E157" t="s">
        <v>61</v>
      </c>
      <c r="F157">
        <v>1437</v>
      </c>
      <c r="G157">
        <v>494</v>
      </c>
      <c r="H157">
        <v>129</v>
      </c>
      <c r="I157">
        <v>53048</v>
      </c>
      <c r="J157">
        <v>44090</v>
      </c>
      <c r="K157">
        <v>230</v>
      </c>
      <c r="L157" t="s">
        <v>83</v>
      </c>
      <c r="M157" t="s">
        <v>20</v>
      </c>
      <c r="N157">
        <f>(  Posts__2[[#This Row],[Likes]]+Posts__2[[#This Row],[Comments]]+Posts__2[[#This Row],[Shares]] ) / Posts__2[[#This Row],[Impressions]]</f>
        <v>3.8832755240536872E-2</v>
      </c>
      <c r="O157" s="14">
        <f>_xlfn.XLOOKUP(Posts__2[[#This Row],[Campaign_Name]],'Campaign Metadata'!A:A,'Campaign Metadata'!B:B)</f>
        <v>45458</v>
      </c>
      <c r="P157" s="14">
        <f>_xlfn.XLOOKUP(Posts__2[[#This Row],[Campaign_Name]],'Campaign Metadata'!A:A,'Campaign Metadata'!C:C)</f>
        <v>45488</v>
      </c>
      <c r="Q157" t="str">
        <f>IF(AND(Posts__2[[#This Row],[Date]]&gt;=Posts__2[[#This Row],[Campaign start date]],Posts__2[[#This Row],[Date]]&lt;=Posts__2[[#This Row],[Campaign end date]]),"During","Before")</f>
        <v>Before</v>
      </c>
    </row>
    <row r="158" spans="1:17" x14ac:dyDescent="0.3">
      <c r="A158" t="s">
        <v>221</v>
      </c>
      <c r="B158" t="s">
        <v>57</v>
      </c>
      <c r="C158" s="14">
        <v>45718</v>
      </c>
      <c r="D158" t="s">
        <v>43</v>
      </c>
      <c r="E158" t="s">
        <v>75</v>
      </c>
      <c r="F158">
        <v>4425</v>
      </c>
      <c r="G158">
        <v>185</v>
      </c>
      <c r="H158">
        <v>162</v>
      </c>
      <c r="I158">
        <v>24610</v>
      </c>
      <c r="J158">
        <v>21342</v>
      </c>
      <c r="K158">
        <v>158</v>
      </c>
      <c r="L158" t="s">
        <v>59</v>
      </c>
      <c r="M158" t="s">
        <v>21</v>
      </c>
      <c r="N158">
        <f>(  Posts__2[[#This Row],[Likes]]+Posts__2[[#This Row],[Comments]]+Posts__2[[#This Row],[Shares]] ) / Posts__2[[#This Row],[Impressions]]</f>
        <v>0.19390491670052823</v>
      </c>
      <c r="O158" s="14">
        <f>_xlfn.XLOOKUP(Posts__2[[#This Row],[Campaign_Name]],'Campaign Metadata'!A:A,'Campaign Metadata'!B:B)</f>
        <v>45717</v>
      </c>
      <c r="P158" s="14">
        <f>_xlfn.XLOOKUP(Posts__2[[#This Row],[Campaign_Name]],'Campaign Metadata'!A:A,'Campaign Metadata'!C:C)</f>
        <v>45747</v>
      </c>
      <c r="Q158" t="str">
        <f>IF(AND(Posts__2[[#This Row],[Date]]&gt;=Posts__2[[#This Row],[Campaign start date]],Posts__2[[#This Row],[Date]]&lt;=Posts__2[[#This Row],[Campaign end date]]),"During","Before")</f>
        <v>During</v>
      </c>
    </row>
    <row r="159" spans="1:17" x14ac:dyDescent="0.3">
      <c r="A159" t="s">
        <v>222</v>
      </c>
      <c r="B159" t="s">
        <v>50</v>
      </c>
      <c r="C159" s="14">
        <v>45737</v>
      </c>
      <c r="D159" t="s">
        <v>51</v>
      </c>
      <c r="E159" t="s">
        <v>52</v>
      </c>
      <c r="F159">
        <v>4609</v>
      </c>
      <c r="G159">
        <v>427</v>
      </c>
      <c r="H159">
        <v>395</v>
      </c>
      <c r="I159">
        <v>33698</v>
      </c>
      <c r="J159">
        <v>29259</v>
      </c>
      <c r="K159">
        <v>216</v>
      </c>
      <c r="L159" t="s">
        <v>65</v>
      </c>
      <c r="M159" t="s">
        <v>19</v>
      </c>
      <c r="N159">
        <f>(  Posts__2[[#This Row],[Likes]]+Posts__2[[#This Row],[Comments]]+Posts__2[[#This Row],[Shares]] ) / Posts__2[[#This Row],[Impressions]]</f>
        <v>0.16116683482699271</v>
      </c>
      <c r="O159" s="14">
        <f>_xlfn.XLOOKUP(Posts__2[[#This Row],[Campaign_Name]],'Campaign Metadata'!A:A,'Campaign Metadata'!B:B)</f>
        <v>45667</v>
      </c>
      <c r="P159" s="14">
        <f>_xlfn.XLOOKUP(Posts__2[[#This Row],[Campaign_Name]],'Campaign Metadata'!A:A,'Campaign Metadata'!C:C)</f>
        <v>45698</v>
      </c>
      <c r="Q159" t="str">
        <f>IF(AND(Posts__2[[#This Row],[Date]]&gt;=Posts__2[[#This Row],[Campaign start date]],Posts__2[[#This Row],[Date]]&lt;=Posts__2[[#This Row],[Campaign end date]]),"During","Before")</f>
        <v>Before</v>
      </c>
    </row>
    <row r="160" spans="1:17" x14ac:dyDescent="0.3">
      <c r="A160" t="s">
        <v>223</v>
      </c>
      <c r="B160" t="s">
        <v>42</v>
      </c>
      <c r="C160" s="14">
        <v>45394</v>
      </c>
      <c r="D160" t="s">
        <v>51</v>
      </c>
      <c r="E160" t="s">
        <v>63</v>
      </c>
      <c r="F160">
        <v>1558</v>
      </c>
      <c r="G160">
        <v>352</v>
      </c>
      <c r="H160">
        <v>202</v>
      </c>
      <c r="I160">
        <v>25405</v>
      </c>
      <c r="J160">
        <v>69941</v>
      </c>
      <c r="K160">
        <v>219</v>
      </c>
      <c r="L160" t="s">
        <v>68</v>
      </c>
      <c r="M160" t="s">
        <v>24</v>
      </c>
      <c r="N160">
        <f>(  Posts__2[[#This Row],[Likes]]+Posts__2[[#This Row],[Comments]]+Posts__2[[#This Row],[Shares]] ) / Posts__2[[#This Row],[Impressions]]</f>
        <v>8.3133241487896081E-2</v>
      </c>
      <c r="O160" s="14">
        <f>_xlfn.XLOOKUP(Posts__2[[#This Row],[Campaign_Name]],'Campaign Metadata'!A:A,'Campaign Metadata'!B:B)</f>
        <v>45627</v>
      </c>
      <c r="P160" s="14">
        <f>_xlfn.XLOOKUP(Posts__2[[#This Row],[Campaign_Name]],'Campaign Metadata'!A:A,'Campaign Metadata'!C:C)</f>
        <v>45657</v>
      </c>
      <c r="Q160" t="str">
        <f>IF(AND(Posts__2[[#This Row],[Date]]&gt;=Posts__2[[#This Row],[Campaign start date]],Posts__2[[#This Row],[Date]]&lt;=Posts__2[[#This Row],[Campaign end date]]),"During","Before")</f>
        <v>Before</v>
      </c>
    </row>
    <row r="161" spans="1:17" x14ac:dyDescent="0.3">
      <c r="A161" t="s">
        <v>224</v>
      </c>
      <c r="B161" t="s">
        <v>57</v>
      </c>
      <c r="C161" s="14">
        <v>45330</v>
      </c>
      <c r="D161" t="s">
        <v>82</v>
      </c>
      <c r="E161" t="s">
        <v>67</v>
      </c>
      <c r="F161">
        <v>1889</v>
      </c>
      <c r="G161">
        <v>298</v>
      </c>
      <c r="H161">
        <v>122</v>
      </c>
      <c r="I161">
        <v>46225</v>
      </c>
      <c r="J161">
        <v>74305</v>
      </c>
      <c r="K161">
        <v>293</v>
      </c>
      <c r="L161" t="s">
        <v>83</v>
      </c>
      <c r="M161" t="s">
        <v>20</v>
      </c>
      <c r="N161">
        <f>(  Posts__2[[#This Row],[Likes]]+Posts__2[[#This Row],[Comments]]+Posts__2[[#This Row],[Shares]] ) / Posts__2[[#This Row],[Impressions]]</f>
        <v>4.9951325040562468E-2</v>
      </c>
      <c r="O161" s="14">
        <f>_xlfn.XLOOKUP(Posts__2[[#This Row],[Campaign_Name]],'Campaign Metadata'!A:A,'Campaign Metadata'!B:B)</f>
        <v>45458</v>
      </c>
      <c r="P161" s="14">
        <f>_xlfn.XLOOKUP(Posts__2[[#This Row],[Campaign_Name]],'Campaign Metadata'!A:A,'Campaign Metadata'!C:C)</f>
        <v>45488</v>
      </c>
      <c r="Q161" t="str">
        <f>IF(AND(Posts__2[[#This Row],[Date]]&gt;=Posts__2[[#This Row],[Campaign start date]],Posts__2[[#This Row],[Date]]&lt;=Posts__2[[#This Row],[Campaign end date]]),"During","Before")</f>
        <v>Before</v>
      </c>
    </row>
    <row r="162" spans="1:17" x14ac:dyDescent="0.3">
      <c r="A162" t="s">
        <v>225</v>
      </c>
      <c r="B162" t="s">
        <v>42</v>
      </c>
      <c r="C162" s="14">
        <v>45803</v>
      </c>
      <c r="D162" t="s">
        <v>43</v>
      </c>
      <c r="E162" t="s">
        <v>44</v>
      </c>
      <c r="F162">
        <v>3086</v>
      </c>
      <c r="G162">
        <v>148</v>
      </c>
      <c r="H162">
        <v>310</v>
      </c>
      <c r="I162">
        <v>22824</v>
      </c>
      <c r="J162">
        <v>58103</v>
      </c>
      <c r="K162">
        <v>275</v>
      </c>
      <c r="L162" t="s">
        <v>48</v>
      </c>
      <c r="M162" t="s">
        <v>21</v>
      </c>
      <c r="N162">
        <f>(  Posts__2[[#This Row],[Likes]]+Posts__2[[#This Row],[Comments]]+Posts__2[[#This Row],[Shares]] ) / Posts__2[[#This Row],[Impressions]]</f>
        <v>0.1552751489660007</v>
      </c>
      <c r="O162" s="14">
        <f>_xlfn.XLOOKUP(Posts__2[[#This Row],[Campaign_Name]],'Campaign Metadata'!A:A,'Campaign Metadata'!B:B)</f>
        <v>45717</v>
      </c>
      <c r="P162" s="14">
        <f>_xlfn.XLOOKUP(Posts__2[[#This Row],[Campaign_Name]],'Campaign Metadata'!A:A,'Campaign Metadata'!C:C)</f>
        <v>45747</v>
      </c>
      <c r="Q162" t="str">
        <f>IF(AND(Posts__2[[#This Row],[Date]]&gt;=Posts__2[[#This Row],[Campaign start date]],Posts__2[[#This Row],[Date]]&lt;=Posts__2[[#This Row],[Campaign end date]]),"During","Before")</f>
        <v>Before</v>
      </c>
    </row>
    <row r="163" spans="1:17" x14ac:dyDescent="0.3">
      <c r="A163" t="s">
        <v>226</v>
      </c>
      <c r="B163" t="s">
        <v>42</v>
      </c>
      <c r="C163" s="14">
        <v>45610</v>
      </c>
      <c r="D163" t="s">
        <v>43</v>
      </c>
      <c r="E163" t="s">
        <v>58</v>
      </c>
      <c r="F163">
        <v>2422</v>
      </c>
      <c r="G163">
        <v>318</v>
      </c>
      <c r="H163">
        <v>118</v>
      </c>
      <c r="I163">
        <v>25386</v>
      </c>
      <c r="J163">
        <v>20873</v>
      </c>
      <c r="K163">
        <v>100</v>
      </c>
      <c r="L163" t="s">
        <v>45</v>
      </c>
      <c r="M163" t="s">
        <v>19</v>
      </c>
      <c r="N163">
        <f>(  Posts__2[[#This Row],[Likes]]+Posts__2[[#This Row],[Comments]]+Posts__2[[#This Row],[Shares]] ) / Posts__2[[#This Row],[Impressions]]</f>
        <v>0.11258173796580792</v>
      </c>
      <c r="O163" s="14">
        <f>_xlfn.XLOOKUP(Posts__2[[#This Row],[Campaign_Name]],'Campaign Metadata'!A:A,'Campaign Metadata'!B:B)</f>
        <v>45667</v>
      </c>
      <c r="P163" s="14">
        <f>_xlfn.XLOOKUP(Posts__2[[#This Row],[Campaign_Name]],'Campaign Metadata'!A:A,'Campaign Metadata'!C:C)</f>
        <v>45698</v>
      </c>
      <c r="Q163" t="str">
        <f>IF(AND(Posts__2[[#This Row],[Date]]&gt;=Posts__2[[#This Row],[Campaign start date]],Posts__2[[#This Row],[Date]]&lt;=Posts__2[[#This Row],[Campaign end date]]),"During","Before")</f>
        <v>Before</v>
      </c>
    </row>
    <row r="164" spans="1:17" x14ac:dyDescent="0.3">
      <c r="A164" t="s">
        <v>227</v>
      </c>
      <c r="B164" t="s">
        <v>57</v>
      </c>
      <c r="C164" s="14">
        <v>45513</v>
      </c>
      <c r="D164" t="s">
        <v>82</v>
      </c>
      <c r="E164" t="s">
        <v>75</v>
      </c>
      <c r="F164">
        <v>3414</v>
      </c>
      <c r="G164">
        <v>154</v>
      </c>
      <c r="H164">
        <v>204</v>
      </c>
      <c r="I164">
        <v>34146</v>
      </c>
      <c r="J164">
        <v>44633</v>
      </c>
      <c r="K164">
        <v>256</v>
      </c>
      <c r="L164" t="s">
        <v>83</v>
      </c>
      <c r="M164" t="s">
        <v>20</v>
      </c>
      <c r="N164">
        <f>(  Posts__2[[#This Row],[Likes]]+Posts__2[[#This Row],[Comments]]+Posts__2[[#This Row],[Shares]] ) / Posts__2[[#This Row],[Impressions]]</f>
        <v>0.11046681895390383</v>
      </c>
      <c r="O164" s="14">
        <f>_xlfn.XLOOKUP(Posts__2[[#This Row],[Campaign_Name]],'Campaign Metadata'!A:A,'Campaign Metadata'!B:B)</f>
        <v>45458</v>
      </c>
      <c r="P164" s="14">
        <f>_xlfn.XLOOKUP(Posts__2[[#This Row],[Campaign_Name]],'Campaign Metadata'!A:A,'Campaign Metadata'!C:C)</f>
        <v>45488</v>
      </c>
      <c r="Q164" t="str">
        <f>IF(AND(Posts__2[[#This Row],[Date]]&gt;=Posts__2[[#This Row],[Campaign start date]],Posts__2[[#This Row],[Date]]&lt;=Posts__2[[#This Row],[Campaign end date]]),"During","Before")</f>
        <v>Before</v>
      </c>
    </row>
    <row r="165" spans="1:17" x14ac:dyDescent="0.3">
      <c r="A165" t="s">
        <v>228</v>
      </c>
      <c r="B165" t="s">
        <v>42</v>
      </c>
      <c r="C165" s="14">
        <v>45835</v>
      </c>
      <c r="D165" t="s">
        <v>51</v>
      </c>
      <c r="E165" t="s">
        <v>61</v>
      </c>
      <c r="F165">
        <v>1342</v>
      </c>
      <c r="G165">
        <v>332</v>
      </c>
      <c r="H165">
        <v>163</v>
      </c>
      <c r="I165">
        <v>51712</v>
      </c>
      <c r="J165">
        <v>57922</v>
      </c>
      <c r="K165">
        <v>168</v>
      </c>
      <c r="L165" t="s">
        <v>68</v>
      </c>
      <c r="M165" t="s">
        <v>24</v>
      </c>
      <c r="N165">
        <f>(  Posts__2[[#This Row],[Likes]]+Posts__2[[#This Row],[Comments]]+Posts__2[[#This Row],[Shares]] ) / Posts__2[[#This Row],[Impressions]]</f>
        <v>3.5523669554455448E-2</v>
      </c>
      <c r="O165" s="14">
        <f>_xlfn.XLOOKUP(Posts__2[[#This Row],[Campaign_Name]],'Campaign Metadata'!A:A,'Campaign Metadata'!B:B)</f>
        <v>45627</v>
      </c>
      <c r="P165" s="14">
        <f>_xlfn.XLOOKUP(Posts__2[[#This Row],[Campaign_Name]],'Campaign Metadata'!A:A,'Campaign Metadata'!C:C)</f>
        <v>45657</v>
      </c>
      <c r="Q165" t="str">
        <f>IF(AND(Posts__2[[#This Row],[Date]]&gt;=Posts__2[[#This Row],[Campaign start date]],Posts__2[[#This Row],[Date]]&lt;=Posts__2[[#This Row],[Campaign end date]]),"During","Before")</f>
        <v>Before</v>
      </c>
    </row>
    <row r="166" spans="1:17" x14ac:dyDescent="0.3">
      <c r="A166" t="s">
        <v>229</v>
      </c>
      <c r="B166" t="s">
        <v>42</v>
      </c>
      <c r="C166" s="14">
        <v>45420</v>
      </c>
      <c r="D166" t="s">
        <v>51</v>
      </c>
      <c r="E166" t="s">
        <v>58</v>
      </c>
      <c r="F166">
        <v>2414</v>
      </c>
      <c r="G166">
        <v>220</v>
      </c>
      <c r="H166">
        <v>280</v>
      </c>
      <c r="I166">
        <v>27355</v>
      </c>
      <c r="J166">
        <v>50562</v>
      </c>
      <c r="K166">
        <v>258</v>
      </c>
      <c r="L166" t="s">
        <v>68</v>
      </c>
      <c r="M166" t="s">
        <v>24</v>
      </c>
      <c r="N166">
        <f>(  Posts__2[[#This Row],[Likes]]+Posts__2[[#This Row],[Comments]]+Posts__2[[#This Row],[Shares]] ) / Posts__2[[#This Row],[Impressions]]</f>
        <v>0.10652531529884847</v>
      </c>
      <c r="O166" s="14">
        <f>_xlfn.XLOOKUP(Posts__2[[#This Row],[Campaign_Name]],'Campaign Metadata'!A:A,'Campaign Metadata'!B:B)</f>
        <v>45627</v>
      </c>
      <c r="P166" s="14">
        <f>_xlfn.XLOOKUP(Posts__2[[#This Row],[Campaign_Name]],'Campaign Metadata'!A:A,'Campaign Metadata'!C:C)</f>
        <v>45657</v>
      </c>
      <c r="Q166" t="str">
        <f>IF(AND(Posts__2[[#This Row],[Date]]&gt;=Posts__2[[#This Row],[Campaign start date]],Posts__2[[#This Row],[Date]]&lt;=Posts__2[[#This Row],[Campaign end date]]),"During","Before")</f>
        <v>Before</v>
      </c>
    </row>
    <row r="167" spans="1:17" x14ac:dyDescent="0.3">
      <c r="A167" t="s">
        <v>230</v>
      </c>
      <c r="B167" t="s">
        <v>42</v>
      </c>
      <c r="C167" s="14">
        <v>45387</v>
      </c>
      <c r="D167" t="s">
        <v>43</v>
      </c>
      <c r="E167" t="s">
        <v>52</v>
      </c>
      <c r="F167">
        <v>4383</v>
      </c>
      <c r="G167">
        <v>352</v>
      </c>
      <c r="H167">
        <v>176</v>
      </c>
      <c r="I167">
        <v>53239</v>
      </c>
      <c r="J167">
        <v>34168</v>
      </c>
      <c r="K167">
        <v>288</v>
      </c>
      <c r="L167" t="s">
        <v>48</v>
      </c>
      <c r="M167" t="s">
        <v>21</v>
      </c>
      <c r="N167">
        <f>(  Posts__2[[#This Row],[Likes]]+Posts__2[[#This Row],[Comments]]+Posts__2[[#This Row],[Shares]] ) / Posts__2[[#This Row],[Impressions]]</f>
        <v>9.2244407295403744E-2</v>
      </c>
      <c r="O167" s="14">
        <f>_xlfn.XLOOKUP(Posts__2[[#This Row],[Campaign_Name]],'Campaign Metadata'!A:A,'Campaign Metadata'!B:B)</f>
        <v>45717</v>
      </c>
      <c r="P167" s="14">
        <f>_xlfn.XLOOKUP(Posts__2[[#This Row],[Campaign_Name]],'Campaign Metadata'!A:A,'Campaign Metadata'!C:C)</f>
        <v>45747</v>
      </c>
      <c r="Q167" t="str">
        <f>IF(AND(Posts__2[[#This Row],[Date]]&gt;=Posts__2[[#This Row],[Campaign start date]],Posts__2[[#This Row],[Date]]&lt;=Posts__2[[#This Row],[Campaign end date]]),"During","Before")</f>
        <v>Before</v>
      </c>
    </row>
    <row r="168" spans="1:17" x14ac:dyDescent="0.3">
      <c r="A168" t="s">
        <v>231</v>
      </c>
      <c r="B168" t="s">
        <v>57</v>
      </c>
      <c r="C168" s="14">
        <v>45684</v>
      </c>
      <c r="D168" t="s">
        <v>43</v>
      </c>
      <c r="E168" t="s">
        <v>55</v>
      </c>
      <c r="F168">
        <v>4294</v>
      </c>
      <c r="G168">
        <v>423</v>
      </c>
      <c r="H168">
        <v>93</v>
      </c>
      <c r="I168">
        <v>29828</v>
      </c>
      <c r="J168">
        <v>73144</v>
      </c>
      <c r="K168">
        <v>298</v>
      </c>
      <c r="L168" t="s">
        <v>59</v>
      </c>
      <c r="M168" t="s">
        <v>21</v>
      </c>
      <c r="N168">
        <f>(  Posts__2[[#This Row],[Likes]]+Posts__2[[#This Row],[Comments]]+Posts__2[[#This Row],[Shares]] ) / Posts__2[[#This Row],[Impressions]]</f>
        <v>0.1612578785034196</v>
      </c>
      <c r="O168" s="14">
        <f>_xlfn.XLOOKUP(Posts__2[[#This Row],[Campaign_Name]],'Campaign Metadata'!A:A,'Campaign Metadata'!B:B)</f>
        <v>45717</v>
      </c>
      <c r="P168" s="14">
        <f>_xlfn.XLOOKUP(Posts__2[[#This Row],[Campaign_Name]],'Campaign Metadata'!A:A,'Campaign Metadata'!C:C)</f>
        <v>45747</v>
      </c>
      <c r="Q168" t="str">
        <f>IF(AND(Posts__2[[#This Row],[Date]]&gt;=Posts__2[[#This Row],[Campaign start date]],Posts__2[[#This Row],[Date]]&lt;=Posts__2[[#This Row],[Campaign end date]]),"During","Before")</f>
        <v>Before</v>
      </c>
    </row>
    <row r="169" spans="1:17" x14ac:dyDescent="0.3">
      <c r="A169" t="s">
        <v>232</v>
      </c>
      <c r="B169" t="s">
        <v>42</v>
      </c>
      <c r="C169" s="14">
        <v>45385</v>
      </c>
      <c r="D169" t="s">
        <v>43</v>
      </c>
      <c r="E169" t="s">
        <v>67</v>
      </c>
      <c r="F169">
        <v>2762</v>
      </c>
      <c r="G169">
        <v>339</v>
      </c>
      <c r="H169">
        <v>323</v>
      </c>
      <c r="I169">
        <v>33757</v>
      </c>
      <c r="J169">
        <v>68511</v>
      </c>
      <c r="K169">
        <v>121</v>
      </c>
      <c r="L169" t="s">
        <v>45</v>
      </c>
      <c r="M169" t="s">
        <v>19</v>
      </c>
      <c r="N169">
        <f>(  Posts__2[[#This Row],[Likes]]+Posts__2[[#This Row],[Comments]]+Posts__2[[#This Row],[Shares]] ) / Posts__2[[#This Row],[Impressions]]</f>
        <v>0.10143081434961637</v>
      </c>
      <c r="O169" s="14">
        <f>_xlfn.XLOOKUP(Posts__2[[#This Row],[Campaign_Name]],'Campaign Metadata'!A:A,'Campaign Metadata'!B:B)</f>
        <v>45667</v>
      </c>
      <c r="P169" s="14">
        <f>_xlfn.XLOOKUP(Posts__2[[#This Row],[Campaign_Name]],'Campaign Metadata'!A:A,'Campaign Metadata'!C:C)</f>
        <v>45698</v>
      </c>
      <c r="Q169" t="str">
        <f>IF(AND(Posts__2[[#This Row],[Date]]&gt;=Posts__2[[#This Row],[Campaign start date]],Posts__2[[#This Row],[Date]]&lt;=Posts__2[[#This Row],[Campaign end date]]),"During","Before")</f>
        <v>Before</v>
      </c>
    </row>
    <row r="170" spans="1:17" x14ac:dyDescent="0.3">
      <c r="A170" t="s">
        <v>233</v>
      </c>
      <c r="B170" t="s">
        <v>57</v>
      </c>
      <c r="C170" s="14">
        <v>45660</v>
      </c>
      <c r="D170" t="s">
        <v>43</v>
      </c>
      <c r="E170" t="s">
        <v>52</v>
      </c>
      <c r="F170">
        <v>3782</v>
      </c>
      <c r="G170">
        <v>484</v>
      </c>
      <c r="H170">
        <v>144</v>
      </c>
      <c r="I170">
        <v>52172</v>
      </c>
      <c r="J170">
        <v>59386</v>
      </c>
      <c r="K170">
        <v>175</v>
      </c>
      <c r="L170" t="s">
        <v>59</v>
      </c>
      <c r="M170" t="s">
        <v>21</v>
      </c>
      <c r="N170">
        <f>(  Posts__2[[#This Row],[Likes]]+Posts__2[[#This Row],[Comments]]+Posts__2[[#This Row],[Shares]] ) / Posts__2[[#This Row],[Impressions]]</f>
        <v>8.4528099363643333E-2</v>
      </c>
      <c r="O170" s="14">
        <f>_xlfn.XLOOKUP(Posts__2[[#This Row],[Campaign_Name]],'Campaign Metadata'!A:A,'Campaign Metadata'!B:B)</f>
        <v>45717</v>
      </c>
      <c r="P170" s="14">
        <f>_xlfn.XLOOKUP(Posts__2[[#This Row],[Campaign_Name]],'Campaign Metadata'!A:A,'Campaign Metadata'!C:C)</f>
        <v>45747</v>
      </c>
      <c r="Q170" t="str">
        <f>IF(AND(Posts__2[[#This Row],[Date]]&gt;=Posts__2[[#This Row],[Campaign start date]],Posts__2[[#This Row],[Date]]&lt;=Posts__2[[#This Row],[Campaign end date]]),"During","Before")</f>
        <v>Before</v>
      </c>
    </row>
    <row r="171" spans="1:17" x14ac:dyDescent="0.3">
      <c r="A171" t="s">
        <v>234</v>
      </c>
      <c r="B171" t="s">
        <v>50</v>
      </c>
      <c r="C171" s="14">
        <v>45619</v>
      </c>
      <c r="D171" t="s">
        <v>43</v>
      </c>
      <c r="E171" t="s">
        <v>52</v>
      </c>
      <c r="F171">
        <v>4318</v>
      </c>
      <c r="G171">
        <v>371</v>
      </c>
      <c r="H171">
        <v>329</v>
      </c>
      <c r="I171">
        <v>32347</v>
      </c>
      <c r="J171">
        <v>68956</v>
      </c>
      <c r="K171">
        <v>259</v>
      </c>
      <c r="L171" t="s">
        <v>71</v>
      </c>
      <c r="M171" t="s">
        <v>21</v>
      </c>
      <c r="N171">
        <f>(  Posts__2[[#This Row],[Likes]]+Posts__2[[#This Row],[Comments]]+Posts__2[[#This Row],[Shares]] ) / Posts__2[[#This Row],[Impressions]]</f>
        <v>0.15513030574705536</v>
      </c>
      <c r="O171" s="14">
        <f>_xlfn.XLOOKUP(Posts__2[[#This Row],[Campaign_Name]],'Campaign Metadata'!A:A,'Campaign Metadata'!B:B)</f>
        <v>45717</v>
      </c>
      <c r="P171" s="14">
        <f>_xlfn.XLOOKUP(Posts__2[[#This Row],[Campaign_Name]],'Campaign Metadata'!A:A,'Campaign Metadata'!C:C)</f>
        <v>45747</v>
      </c>
      <c r="Q171" t="str">
        <f>IF(AND(Posts__2[[#This Row],[Date]]&gt;=Posts__2[[#This Row],[Campaign start date]],Posts__2[[#This Row],[Date]]&lt;=Posts__2[[#This Row],[Campaign end date]]),"During","Before")</f>
        <v>Before</v>
      </c>
    </row>
    <row r="172" spans="1:17" x14ac:dyDescent="0.3">
      <c r="A172" t="s">
        <v>235</v>
      </c>
      <c r="B172" t="s">
        <v>42</v>
      </c>
      <c r="C172" s="14">
        <v>45536</v>
      </c>
      <c r="D172" t="s">
        <v>51</v>
      </c>
      <c r="E172" t="s">
        <v>55</v>
      </c>
      <c r="F172">
        <v>2335</v>
      </c>
      <c r="G172">
        <v>150</v>
      </c>
      <c r="H172">
        <v>75</v>
      </c>
      <c r="I172">
        <v>26114</v>
      </c>
      <c r="J172">
        <v>57549</v>
      </c>
      <c r="K172">
        <v>135</v>
      </c>
      <c r="L172" t="s">
        <v>68</v>
      </c>
      <c r="M172" t="s">
        <v>24</v>
      </c>
      <c r="N172">
        <f>(  Posts__2[[#This Row],[Likes]]+Posts__2[[#This Row],[Comments]]+Posts__2[[#This Row],[Shares]] ) / Posts__2[[#This Row],[Impressions]]</f>
        <v>9.8031707130274953E-2</v>
      </c>
      <c r="O172" s="14">
        <f>_xlfn.XLOOKUP(Posts__2[[#This Row],[Campaign_Name]],'Campaign Metadata'!A:A,'Campaign Metadata'!B:B)</f>
        <v>45627</v>
      </c>
      <c r="P172" s="14">
        <f>_xlfn.XLOOKUP(Posts__2[[#This Row],[Campaign_Name]],'Campaign Metadata'!A:A,'Campaign Metadata'!C:C)</f>
        <v>45657</v>
      </c>
      <c r="Q172" t="str">
        <f>IF(AND(Posts__2[[#This Row],[Date]]&gt;=Posts__2[[#This Row],[Campaign start date]],Posts__2[[#This Row],[Date]]&lt;=Posts__2[[#This Row],[Campaign end date]]),"During","Before")</f>
        <v>Before</v>
      </c>
    </row>
    <row r="173" spans="1:17" x14ac:dyDescent="0.3">
      <c r="A173" t="s">
        <v>236</v>
      </c>
      <c r="B173" t="s">
        <v>57</v>
      </c>
      <c r="C173" s="14">
        <v>45400</v>
      </c>
      <c r="D173" t="s">
        <v>43</v>
      </c>
      <c r="E173" t="s">
        <v>47</v>
      </c>
      <c r="F173">
        <v>4023</v>
      </c>
      <c r="G173">
        <v>293</v>
      </c>
      <c r="H173">
        <v>91</v>
      </c>
      <c r="I173">
        <v>26795</v>
      </c>
      <c r="J173">
        <v>28924</v>
      </c>
      <c r="K173">
        <v>278</v>
      </c>
      <c r="L173" t="s">
        <v>59</v>
      </c>
      <c r="M173" t="s">
        <v>21</v>
      </c>
      <c r="N173">
        <f>(  Posts__2[[#This Row],[Likes]]+Posts__2[[#This Row],[Comments]]+Posts__2[[#This Row],[Shares]] ) / Posts__2[[#This Row],[Impressions]]</f>
        <v>0.16447098339242397</v>
      </c>
      <c r="O173" s="14">
        <f>_xlfn.XLOOKUP(Posts__2[[#This Row],[Campaign_Name]],'Campaign Metadata'!A:A,'Campaign Metadata'!B:B)</f>
        <v>45717</v>
      </c>
      <c r="P173" s="14">
        <f>_xlfn.XLOOKUP(Posts__2[[#This Row],[Campaign_Name]],'Campaign Metadata'!A:A,'Campaign Metadata'!C:C)</f>
        <v>45747</v>
      </c>
      <c r="Q173" t="str">
        <f>IF(AND(Posts__2[[#This Row],[Date]]&gt;=Posts__2[[#This Row],[Campaign start date]],Posts__2[[#This Row],[Date]]&lt;=Posts__2[[#This Row],[Campaign end date]]),"During","Before")</f>
        <v>Before</v>
      </c>
    </row>
    <row r="174" spans="1:17" x14ac:dyDescent="0.3">
      <c r="A174" t="s">
        <v>237</v>
      </c>
      <c r="B174" t="s">
        <v>42</v>
      </c>
      <c r="C174" s="14">
        <v>45447</v>
      </c>
      <c r="D174" t="s">
        <v>43</v>
      </c>
      <c r="E174" t="s">
        <v>63</v>
      </c>
      <c r="F174">
        <v>3948</v>
      </c>
      <c r="G174">
        <v>151</v>
      </c>
      <c r="H174">
        <v>249</v>
      </c>
      <c r="I174">
        <v>43147</v>
      </c>
      <c r="J174">
        <v>63136</v>
      </c>
      <c r="K174">
        <v>230</v>
      </c>
      <c r="L174" t="s">
        <v>48</v>
      </c>
      <c r="M174" t="s">
        <v>21</v>
      </c>
      <c r="N174">
        <f>(  Posts__2[[#This Row],[Likes]]+Posts__2[[#This Row],[Comments]]+Posts__2[[#This Row],[Shares]] ) / Posts__2[[#This Row],[Impressions]]</f>
        <v>0.10077178019329269</v>
      </c>
      <c r="O174" s="14">
        <f>_xlfn.XLOOKUP(Posts__2[[#This Row],[Campaign_Name]],'Campaign Metadata'!A:A,'Campaign Metadata'!B:B)</f>
        <v>45717</v>
      </c>
      <c r="P174" s="14">
        <f>_xlfn.XLOOKUP(Posts__2[[#This Row],[Campaign_Name]],'Campaign Metadata'!A:A,'Campaign Metadata'!C:C)</f>
        <v>45747</v>
      </c>
      <c r="Q174" t="str">
        <f>IF(AND(Posts__2[[#This Row],[Date]]&gt;=Posts__2[[#This Row],[Campaign start date]],Posts__2[[#This Row],[Date]]&lt;=Posts__2[[#This Row],[Campaign end date]]),"During","Before")</f>
        <v>Before</v>
      </c>
    </row>
    <row r="175" spans="1:17" x14ac:dyDescent="0.3">
      <c r="A175" t="s">
        <v>238</v>
      </c>
      <c r="B175" t="s">
        <v>57</v>
      </c>
      <c r="C175" s="14">
        <v>45749</v>
      </c>
      <c r="D175" t="s">
        <v>43</v>
      </c>
      <c r="E175" t="s">
        <v>55</v>
      </c>
      <c r="F175">
        <v>4598</v>
      </c>
      <c r="G175">
        <v>455</v>
      </c>
      <c r="H175">
        <v>378</v>
      </c>
      <c r="I175">
        <v>52952</v>
      </c>
      <c r="J175">
        <v>58504</v>
      </c>
      <c r="K175">
        <v>269</v>
      </c>
      <c r="L175" t="s">
        <v>59</v>
      </c>
      <c r="M175" t="s">
        <v>21</v>
      </c>
      <c r="N175">
        <f>(  Posts__2[[#This Row],[Likes]]+Posts__2[[#This Row],[Comments]]+Posts__2[[#This Row],[Shares]] ) / Posts__2[[#This Row],[Impressions]]</f>
        <v>0.10256458679558846</v>
      </c>
      <c r="O175" s="14">
        <f>_xlfn.XLOOKUP(Posts__2[[#This Row],[Campaign_Name]],'Campaign Metadata'!A:A,'Campaign Metadata'!B:B)</f>
        <v>45717</v>
      </c>
      <c r="P175" s="14">
        <f>_xlfn.XLOOKUP(Posts__2[[#This Row],[Campaign_Name]],'Campaign Metadata'!A:A,'Campaign Metadata'!C:C)</f>
        <v>45747</v>
      </c>
      <c r="Q175" t="str">
        <f>IF(AND(Posts__2[[#This Row],[Date]]&gt;=Posts__2[[#This Row],[Campaign start date]],Posts__2[[#This Row],[Date]]&lt;=Posts__2[[#This Row],[Campaign end date]]),"During","Before")</f>
        <v>Before</v>
      </c>
    </row>
    <row r="176" spans="1:17" x14ac:dyDescent="0.3">
      <c r="A176" t="s">
        <v>239</v>
      </c>
      <c r="B176" t="s">
        <v>50</v>
      </c>
      <c r="C176" s="14">
        <v>45748</v>
      </c>
      <c r="D176" t="s">
        <v>51</v>
      </c>
      <c r="E176" t="s">
        <v>58</v>
      </c>
      <c r="F176">
        <v>2665</v>
      </c>
      <c r="G176">
        <v>143</v>
      </c>
      <c r="H176">
        <v>315</v>
      </c>
      <c r="I176">
        <v>54808</v>
      </c>
      <c r="J176">
        <v>29818</v>
      </c>
      <c r="K176">
        <v>98</v>
      </c>
      <c r="L176" t="s">
        <v>65</v>
      </c>
      <c r="M176" t="s">
        <v>19</v>
      </c>
      <c r="N176">
        <f>(  Posts__2[[#This Row],[Likes]]+Posts__2[[#This Row],[Comments]]+Posts__2[[#This Row],[Shares]] ) / Posts__2[[#This Row],[Impressions]]</f>
        <v>5.6980732739746021E-2</v>
      </c>
      <c r="O176" s="14">
        <f>_xlfn.XLOOKUP(Posts__2[[#This Row],[Campaign_Name]],'Campaign Metadata'!A:A,'Campaign Metadata'!B:B)</f>
        <v>45667</v>
      </c>
      <c r="P176" s="14">
        <f>_xlfn.XLOOKUP(Posts__2[[#This Row],[Campaign_Name]],'Campaign Metadata'!A:A,'Campaign Metadata'!C:C)</f>
        <v>45698</v>
      </c>
      <c r="Q176" t="str">
        <f>IF(AND(Posts__2[[#This Row],[Date]]&gt;=Posts__2[[#This Row],[Campaign start date]],Posts__2[[#This Row],[Date]]&lt;=Posts__2[[#This Row],[Campaign end date]]),"During","Before")</f>
        <v>Before</v>
      </c>
    </row>
    <row r="177" spans="1:17" x14ac:dyDescent="0.3">
      <c r="A177" t="s">
        <v>240</v>
      </c>
      <c r="B177" t="s">
        <v>42</v>
      </c>
      <c r="C177" s="14">
        <v>45475</v>
      </c>
      <c r="D177" t="s">
        <v>43</v>
      </c>
      <c r="E177" t="s">
        <v>67</v>
      </c>
      <c r="F177">
        <v>3469</v>
      </c>
      <c r="G177">
        <v>371</v>
      </c>
      <c r="H177">
        <v>76</v>
      </c>
      <c r="I177">
        <v>46493</v>
      </c>
      <c r="J177">
        <v>26906</v>
      </c>
      <c r="K177">
        <v>150</v>
      </c>
      <c r="L177" t="s">
        <v>45</v>
      </c>
      <c r="M177" t="s">
        <v>19</v>
      </c>
      <c r="N177">
        <f>(  Posts__2[[#This Row],[Likes]]+Posts__2[[#This Row],[Comments]]+Posts__2[[#This Row],[Shares]] ) / Posts__2[[#This Row],[Impressions]]</f>
        <v>8.4227733207149463E-2</v>
      </c>
      <c r="O177" s="14">
        <f>_xlfn.XLOOKUP(Posts__2[[#This Row],[Campaign_Name]],'Campaign Metadata'!A:A,'Campaign Metadata'!B:B)</f>
        <v>45667</v>
      </c>
      <c r="P177" s="14">
        <f>_xlfn.XLOOKUP(Posts__2[[#This Row],[Campaign_Name]],'Campaign Metadata'!A:A,'Campaign Metadata'!C:C)</f>
        <v>45698</v>
      </c>
      <c r="Q177" t="str">
        <f>IF(AND(Posts__2[[#This Row],[Date]]&gt;=Posts__2[[#This Row],[Campaign start date]],Posts__2[[#This Row],[Date]]&lt;=Posts__2[[#This Row],[Campaign end date]]),"During","Before")</f>
        <v>Before</v>
      </c>
    </row>
    <row r="178" spans="1:17" x14ac:dyDescent="0.3">
      <c r="A178" t="s">
        <v>241</v>
      </c>
      <c r="B178" t="s">
        <v>50</v>
      </c>
      <c r="C178" s="14">
        <v>45606</v>
      </c>
      <c r="D178" t="s">
        <v>43</v>
      </c>
      <c r="E178" t="s">
        <v>47</v>
      </c>
      <c r="F178">
        <v>4823</v>
      </c>
      <c r="G178">
        <v>489</v>
      </c>
      <c r="H178">
        <v>302</v>
      </c>
      <c r="I178">
        <v>32470</v>
      </c>
      <c r="J178">
        <v>31861</v>
      </c>
      <c r="K178">
        <v>178</v>
      </c>
      <c r="L178" t="s">
        <v>71</v>
      </c>
      <c r="M178" t="s">
        <v>21</v>
      </c>
      <c r="N178">
        <f>(  Posts__2[[#This Row],[Likes]]+Posts__2[[#This Row],[Comments]]+Posts__2[[#This Row],[Shares]] ) / Posts__2[[#This Row],[Impressions]]</f>
        <v>0.1728980597474592</v>
      </c>
      <c r="O178" s="14">
        <f>_xlfn.XLOOKUP(Posts__2[[#This Row],[Campaign_Name]],'Campaign Metadata'!A:A,'Campaign Metadata'!B:B)</f>
        <v>45717</v>
      </c>
      <c r="P178" s="14">
        <f>_xlfn.XLOOKUP(Posts__2[[#This Row],[Campaign_Name]],'Campaign Metadata'!A:A,'Campaign Metadata'!C:C)</f>
        <v>45747</v>
      </c>
      <c r="Q178" t="str">
        <f>IF(AND(Posts__2[[#This Row],[Date]]&gt;=Posts__2[[#This Row],[Campaign start date]],Posts__2[[#This Row],[Date]]&lt;=Posts__2[[#This Row],[Campaign end date]]),"During","Before")</f>
        <v>Before</v>
      </c>
    </row>
    <row r="179" spans="1:17" x14ac:dyDescent="0.3">
      <c r="A179" t="s">
        <v>242</v>
      </c>
      <c r="B179" t="s">
        <v>42</v>
      </c>
      <c r="C179" s="14">
        <v>45640</v>
      </c>
      <c r="D179" t="s">
        <v>51</v>
      </c>
      <c r="E179" t="s">
        <v>75</v>
      </c>
      <c r="F179">
        <v>3812</v>
      </c>
      <c r="G179">
        <v>321</v>
      </c>
      <c r="H179">
        <v>289</v>
      </c>
      <c r="I179">
        <v>59838</v>
      </c>
      <c r="J179">
        <v>36337</v>
      </c>
      <c r="K179">
        <v>161</v>
      </c>
      <c r="L179" t="s">
        <v>68</v>
      </c>
      <c r="M179" t="s">
        <v>24</v>
      </c>
      <c r="N179">
        <f>(  Posts__2[[#This Row],[Likes]]+Posts__2[[#This Row],[Comments]]+Posts__2[[#This Row],[Shares]] ) / Posts__2[[#This Row],[Impressions]]</f>
        <v>7.3899528727564417E-2</v>
      </c>
      <c r="O179" s="14">
        <f>_xlfn.XLOOKUP(Posts__2[[#This Row],[Campaign_Name]],'Campaign Metadata'!A:A,'Campaign Metadata'!B:B)</f>
        <v>45627</v>
      </c>
      <c r="P179" s="14">
        <f>_xlfn.XLOOKUP(Posts__2[[#This Row],[Campaign_Name]],'Campaign Metadata'!A:A,'Campaign Metadata'!C:C)</f>
        <v>45657</v>
      </c>
      <c r="Q179" t="str">
        <f>IF(AND(Posts__2[[#This Row],[Date]]&gt;=Posts__2[[#This Row],[Campaign start date]],Posts__2[[#This Row],[Date]]&lt;=Posts__2[[#This Row],[Campaign end date]]),"During","Before")</f>
        <v>During</v>
      </c>
    </row>
    <row r="180" spans="1:17" x14ac:dyDescent="0.3">
      <c r="A180" t="s">
        <v>243</v>
      </c>
      <c r="B180" t="s">
        <v>50</v>
      </c>
      <c r="C180" s="14">
        <v>45615</v>
      </c>
      <c r="D180" t="s">
        <v>43</v>
      </c>
      <c r="E180" t="s">
        <v>47</v>
      </c>
      <c r="F180">
        <v>2387</v>
      </c>
      <c r="G180">
        <v>353</v>
      </c>
      <c r="H180">
        <v>78</v>
      </c>
      <c r="I180">
        <v>39745</v>
      </c>
      <c r="J180">
        <v>69226</v>
      </c>
      <c r="K180">
        <v>208</v>
      </c>
      <c r="L180" t="s">
        <v>71</v>
      </c>
      <c r="M180" t="s">
        <v>21</v>
      </c>
      <c r="N180">
        <f>(  Posts__2[[#This Row],[Likes]]+Posts__2[[#This Row],[Comments]]+Posts__2[[#This Row],[Shares]] ) / Posts__2[[#This Row],[Impressions]]</f>
        <v>7.090200025160398E-2</v>
      </c>
      <c r="O180" s="14">
        <f>_xlfn.XLOOKUP(Posts__2[[#This Row],[Campaign_Name]],'Campaign Metadata'!A:A,'Campaign Metadata'!B:B)</f>
        <v>45717</v>
      </c>
      <c r="P180" s="14">
        <f>_xlfn.XLOOKUP(Posts__2[[#This Row],[Campaign_Name]],'Campaign Metadata'!A:A,'Campaign Metadata'!C:C)</f>
        <v>45747</v>
      </c>
      <c r="Q180" t="str">
        <f>IF(AND(Posts__2[[#This Row],[Date]]&gt;=Posts__2[[#This Row],[Campaign start date]],Posts__2[[#This Row],[Date]]&lt;=Posts__2[[#This Row],[Campaign end date]]),"During","Before")</f>
        <v>Before</v>
      </c>
    </row>
    <row r="181" spans="1:17" x14ac:dyDescent="0.3">
      <c r="A181" t="s">
        <v>244</v>
      </c>
      <c r="B181" t="s">
        <v>50</v>
      </c>
      <c r="C181" s="14">
        <v>45777</v>
      </c>
      <c r="D181" t="s">
        <v>51</v>
      </c>
      <c r="E181" t="s">
        <v>55</v>
      </c>
      <c r="F181">
        <v>3929</v>
      </c>
      <c r="G181">
        <v>275</v>
      </c>
      <c r="H181">
        <v>330</v>
      </c>
      <c r="I181">
        <v>58329</v>
      </c>
      <c r="J181">
        <v>33196</v>
      </c>
      <c r="K181">
        <v>85</v>
      </c>
      <c r="L181" t="s">
        <v>53</v>
      </c>
      <c r="M181" t="s">
        <v>19</v>
      </c>
      <c r="N181">
        <f>(  Posts__2[[#This Row],[Likes]]+Posts__2[[#This Row],[Comments]]+Posts__2[[#This Row],[Shares]] ) / Posts__2[[#This Row],[Impressions]]</f>
        <v>7.7731488624869283E-2</v>
      </c>
      <c r="O181" s="14">
        <f>_xlfn.XLOOKUP(Posts__2[[#This Row],[Campaign_Name]],'Campaign Metadata'!A:A,'Campaign Metadata'!B:B)</f>
        <v>45667</v>
      </c>
      <c r="P181" s="14">
        <f>_xlfn.XLOOKUP(Posts__2[[#This Row],[Campaign_Name]],'Campaign Metadata'!A:A,'Campaign Metadata'!C:C)</f>
        <v>45698</v>
      </c>
      <c r="Q181" t="str">
        <f>IF(AND(Posts__2[[#This Row],[Date]]&gt;=Posts__2[[#This Row],[Campaign start date]],Posts__2[[#This Row],[Date]]&lt;=Posts__2[[#This Row],[Campaign end date]]),"During","Before")</f>
        <v>Before</v>
      </c>
    </row>
    <row r="182" spans="1:17" x14ac:dyDescent="0.3">
      <c r="A182" t="s">
        <v>245</v>
      </c>
      <c r="B182" t="s">
        <v>50</v>
      </c>
      <c r="C182" s="14">
        <v>45370</v>
      </c>
      <c r="D182" t="s">
        <v>43</v>
      </c>
      <c r="E182" t="s">
        <v>75</v>
      </c>
      <c r="F182">
        <v>2191</v>
      </c>
      <c r="G182">
        <v>288</v>
      </c>
      <c r="H182">
        <v>83</v>
      </c>
      <c r="I182">
        <v>59606</v>
      </c>
      <c r="J182">
        <v>24765</v>
      </c>
      <c r="K182">
        <v>281</v>
      </c>
      <c r="L182" t="s">
        <v>71</v>
      </c>
      <c r="M182" t="s">
        <v>21</v>
      </c>
      <c r="N182">
        <f>(  Posts__2[[#This Row],[Likes]]+Posts__2[[#This Row],[Comments]]+Posts__2[[#This Row],[Shares]] ) / Posts__2[[#This Row],[Impressions]]</f>
        <v>4.2982250109049422E-2</v>
      </c>
      <c r="O182" s="14">
        <f>_xlfn.XLOOKUP(Posts__2[[#This Row],[Campaign_Name]],'Campaign Metadata'!A:A,'Campaign Metadata'!B:B)</f>
        <v>45717</v>
      </c>
      <c r="P182" s="14">
        <f>_xlfn.XLOOKUP(Posts__2[[#This Row],[Campaign_Name]],'Campaign Metadata'!A:A,'Campaign Metadata'!C:C)</f>
        <v>45747</v>
      </c>
      <c r="Q182" t="str">
        <f>IF(AND(Posts__2[[#This Row],[Date]]&gt;=Posts__2[[#This Row],[Campaign start date]],Posts__2[[#This Row],[Date]]&lt;=Posts__2[[#This Row],[Campaign end date]]),"During","Before")</f>
        <v>Before</v>
      </c>
    </row>
    <row r="183" spans="1:17" x14ac:dyDescent="0.3">
      <c r="A183" t="s">
        <v>246</v>
      </c>
      <c r="B183" t="s">
        <v>42</v>
      </c>
      <c r="C183" s="14">
        <v>45370</v>
      </c>
      <c r="D183" t="s">
        <v>43</v>
      </c>
      <c r="E183" t="s">
        <v>75</v>
      </c>
      <c r="F183">
        <v>2878</v>
      </c>
      <c r="G183">
        <v>278</v>
      </c>
      <c r="H183">
        <v>255</v>
      </c>
      <c r="I183">
        <v>47235</v>
      </c>
      <c r="J183">
        <v>57922</v>
      </c>
      <c r="K183">
        <v>112</v>
      </c>
      <c r="L183" t="s">
        <v>45</v>
      </c>
      <c r="M183" t="s">
        <v>19</v>
      </c>
      <c r="N183">
        <f>(  Posts__2[[#This Row],[Likes]]+Posts__2[[#This Row],[Comments]]+Posts__2[[#This Row],[Shares]] ) / Posts__2[[#This Row],[Impressions]]</f>
        <v>7.2213401079707848E-2</v>
      </c>
      <c r="O183" s="14">
        <f>_xlfn.XLOOKUP(Posts__2[[#This Row],[Campaign_Name]],'Campaign Metadata'!A:A,'Campaign Metadata'!B:B)</f>
        <v>45667</v>
      </c>
      <c r="P183" s="14">
        <f>_xlfn.XLOOKUP(Posts__2[[#This Row],[Campaign_Name]],'Campaign Metadata'!A:A,'Campaign Metadata'!C:C)</f>
        <v>45698</v>
      </c>
      <c r="Q183" t="str">
        <f>IF(AND(Posts__2[[#This Row],[Date]]&gt;=Posts__2[[#This Row],[Campaign start date]],Posts__2[[#This Row],[Date]]&lt;=Posts__2[[#This Row],[Campaign end date]]),"During","Before")</f>
        <v>Before</v>
      </c>
    </row>
    <row r="184" spans="1:17" x14ac:dyDescent="0.3">
      <c r="A184" t="s">
        <v>247</v>
      </c>
      <c r="B184" t="s">
        <v>50</v>
      </c>
      <c r="C184" s="14">
        <v>45496</v>
      </c>
      <c r="D184" t="s">
        <v>43</v>
      </c>
      <c r="E184" t="s">
        <v>67</v>
      </c>
      <c r="F184">
        <v>3204</v>
      </c>
      <c r="G184">
        <v>398</v>
      </c>
      <c r="H184">
        <v>85</v>
      </c>
      <c r="I184">
        <v>22020</v>
      </c>
      <c r="J184">
        <v>58353</v>
      </c>
      <c r="K184">
        <v>286</v>
      </c>
      <c r="L184" t="s">
        <v>71</v>
      </c>
      <c r="M184" t="s">
        <v>21</v>
      </c>
      <c r="N184">
        <f>(  Posts__2[[#This Row],[Likes]]+Posts__2[[#This Row],[Comments]]+Posts__2[[#This Row],[Shares]] ) / Posts__2[[#This Row],[Impressions]]</f>
        <v>0.16743869209809265</v>
      </c>
      <c r="O184" s="14">
        <f>_xlfn.XLOOKUP(Posts__2[[#This Row],[Campaign_Name]],'Campaign Metadata'!A:A,'Campaign Metadata'!B:B)</f>
        <v>45717</v>
      </c>
      <c r="P184" s="14">
        <f>_xlfn.XLOOKUP(Posts__2[[#This Row],[Campaign_Name]],'Campaign Metadata'!A:A,'Campaign Metadata'!C:C)</f>
        <v>45747</v>
      </c>
      <c r="Q184" t="str">
        <f>IF(AND(Posts__2[[#This Row],[Date]]&gt;=Posts__2[[#This Row],[Campaign start date]],Posts__2[[#This Row],[Date]]&lt;=Posts__2[[#This Row],[Campaign end date]]),"During","Before")</f>
        <v>Before</v>
      </c>
    </row>
    <row r="185" spans="1:17" x14ac:dyDescent="0.3">
      <c r="A185" t="s">
        <v>248</v>
      </c>
      <c r="B185" t="s">
        <v>50</v>
      </c>
      <c r="C185" s="14">
        <v>45486</v>
      </c>
      <c r="D185" t="s">
        <v>51</v>
      </c>
      <c r="E185" t="s">
        <v>63</v>
      </c>
      <c r="F185">
        <v>2408</v>
      </c>
      <c r="G185">
        <v>323</v>
      </c>
      <c r="H185">
        <v>251</v>
      </c>
      <c r="I185">
        <v>47599</v>
      </c>
      <c r="J185">
        <v>35543</v>
      </c>
      <c r="K185">
        <v>287</v>
      </c>
      <c r="L185" t="s">
        <v>53</v>
      </c>
      <c r="M185" t="s">
        <v>19</v>
      </c>
      <c r="N185">
        <f>(  Posts__2[[#This Row],[Likes]]+Posts__2[[#This Row],[Comments]]+Posts__2[[#This Row],[Shares]] ) / Posts__2[[#This Row],[Impressions]]</f>
        <v>6.2648374965860634E-2</v>
      </c>
      <c r="O185" s="14">
        <f>_xlfn.XLOOKUP(Posts__2[[#This Row],[Campaign_Name]],'Campaign Metadata'!A:A,'Campaign Metadata'!B:B)</f>
        <v>45667</v>
      </c>
      <c r="P185" s="14">
        <f>_xlfn.XLOOKUP(Posts__2[[#This Row],[Campaign_Name]],'Campaign Metadata'!A:A,'Campaign Metadata'!C:C)</f>
        <v>45698</v>
      </c>
      <c r="Q185" t="str">
        <f>IF(AND(Posts__2[[#This Row],[Date]]&gt;=Posts__2[[#This Row],[Campaign start date]],Posts__2[[#This Row],[Date]]&lt;=Posts__2[[#This Row],[Campaign end date]]),"During","Before")</f>
        <v>Before</v>
      </c>
    </row>
    <row r="186" spans="1:17" x14ac:dyDescent="0.3">
      <c r="A186" t="s">
        <v>249</v>
      </c>
      <c r="B186" t="s">
        <v>57</v>
      </c>
      <c r="C186" s="14">
        <v>45769</v>
      </c>
      <c r="D186" t="s">
        <v>82</v>
      </c>
      <c r="E186" t="s">
        <v>52</v>
      </c>
      <c r="F186">
        <v>2733</v>
      </c>
      <c r="G186">
        <v>297</v>
      </c>
      <c r="H186">
        <v>235</v>
      </c>
      <c r="I186">
        <v>37980</v>
      </c>
      <c r="J186">
        <v>33058</v>
      </c>
      <c r="K186">
        <v>219</v>
      </c>
      <c r="L186" t="s">
        <v>83</v>
      </c>
      <c r="M186" t="s">
        <v>20</v>
      </c>
      <c r="N186">
        <f>(  Posts__2[[#This Row],[Likes]]+Posts__2[[#This Row],[Comments]]+Posts__2[[#This Row],[Shares]] ) / Posts__2[[#This Row],[Impressions]]</f>
        <v>8.5966298051606105E-2</v>
      </c>
      <c r="O186" s="14">
        <f>_xlfn.XLOOKUP(Posts__2[[#This Row],[Campaign_Name]],'Campaign Metadata'!A:A,'Campaign Metadata'!B:B)</f>
        <v>45458</v>
      </c>
      <c r="P186" s="14">
        <f>_xlfn.XLOOKUP(Posts__2[[#This Row],[Campaign_Name]],'Campaign Metadata'!A:A,'Campaign Metadata'!C:C)</f>
        <v>45488</v>
      </c>
      <c r="Q186" t="str">
        <f>IF(AND(Posts__2[[#This Row],[Date]]&gt;=Posts__2[[#This Row],[Campaign start date]],Posts__2[[#This Row],[Date]]&lt;=Posts__2[[#This Row],[Campaign end date]]),"During","Before")</f>
        <v>Before</v>
      </c>
    </row>
    <row r="187" spans="1:17" x14ac:dyDescent="0.3">
      <c r="A187" t="s">
        <v>250</v>
      </c>
      <c r="B187" t="s">
        <v>50</v>
      </c>
      <c r="C187" s="14">
        <v>45459</v>
      </c>
      <c r="D187" t="s">
        <v>51</v>
      </c>
      <c r="E187" t="s">
        <v>47</v>
      </c>
      <c r="F187">
        <v>4618</v>
      </c>
      <c r="G187">
        <v>312</v>
      </c>
      <c r="H187">
        <v>254</v>
      </c>
      <c r="I187">
        <v>22571</v>
      </c>
      <c r="J187">
        <v>29453</v>
      </c>
      <c r="K187">
        <v>197</v>
      </c>
      <c r="L187" t="s">
        <v>53</v>
      </c>
      <c r="M187" t="s">
        <v>19</v>
      </c>
      <c r="N187">
        <f>(  Posts__2[[#This Row],[Likes]]+Posts__2[[#This Row],[Comments]]+Posts__2[[#This Row],[Shares]] ) / Posts__2[[#This Row],[Impressions]]</f>
        <v>0.22967524699836073</v>
      </c>
      <c r="O187" s="14">
        <f>_xlfn.XLOOKUP(Posts__2[[#This Row],[Campaign_Name]],'Campaign Metadata'!A:A,'Campaign Metadata'!B:B)</f>
        <v>45667</v>
      </c>
      <c r="P187" s="14">
        <f>_xlfn.XLOOKUP(Posts__2[[#This Row],[Campaign_Name]],'Campaign Metadata'!A:A,'Campaign Metadata'!C:C)</f>
        <v>45698</v>
      </c>
      <c r="Q187" t="str">
        <f>IF(AND(Posts__2[[#This Row],[Date]]&gt;=Posts__2[[#This Row],[Campaign start date]],Posts__2[[#This Row],[Date]]&lt;=Posts__2[[#This Row],[Campaign end date]]),"During","Before")</f>
        <v>Before</v>
      </c>
    </row>
    <row r="188" spans="1:17" x14ac:dyDescent="0.3">
      <c r="A188" t="s">
        <v>251</v>
      </c>
      <c r="B188" t="s">
        <v>57</v>
      </c>
      <c r="C188" s="14">
        <v>45795</v>
      </c>
      <c r="D188" t="s">
        <v>82</v>
      </c>
      <c r="E188" t="s">
        <v>55</v>
      </c>
      <c r="F188">
        <v>4210</v>
      </c>
      <c r="G188">
        <v>319</v>
      </c>
      <c r="H188">
        <v>350</v>
      </c>
      <c r="I188">
        <v>37762</v>
      </c>
      <c r="J188">
        <v>55162</v>
      </c>
      <c r="K188">
        <v>204</v>
      </c>
      <c r="L188" t="s">
        <v>83</v>
      </c>
      <c r="M188" t="s">
        <v>20</v>
      </c>
      <c r="N188">
        <f>(  Posts__2[[#This Row],[Likes]]+Posts__2[[#This Row],[Comments]]+Posts__2[[#This Row],[Shares]] ) / Posts__2[[#This Row],[Impressions]]</f>
        <v>0.12920396165457337</v>
      </c>
      <c r="O188" s="14">
        <f>_xlfn.XLOOKUP(Posts__2[[#This Row],[Campaign_Name]],'Campaign Metadata'!A:A,'Campaign Metadata'!B:B)</f>
        <v>45458</v>
      </c>
      <c r="P188" s="14">
        <f>_xlfn.XLOOKUP(Posts__2[[#This Row],[Campaign_Name]],'Campaign Metadata'!A:A,'Campaign Metadata'!C:C)</f>
        <v>45488</v>
      </c>
      <c r="Q188" t="str">
        <f>IF(AND(Posts__2[[#This Row],[Date]]&gt;=Posts__2[[#This Row],[Campaign start date]],Posts__2[[#This Row],[Date]]&lt;=Posts__2[[#This Row],[Campaign end date]]),"During","Before")</f>
        <v>Before</v>
      </c>
    </row>
    <row r="189" spans="1:17" x14ac:dyDescent="0.3">
      <c r="A189" t="s">
        <v>252</v>
      </c>
      <c r="B189" t="s">
        <v>42</v>
      </c>
      <c r="C189" s="14">
        <v>45814</v>
      </c>
      <c r="D189" t="s">
        <v>43</v>
      </c>
      <c r="E189" t="s">
        <v>55</v>
      </c>
      <c r="F189">
        <v>3987</v>
      </c>
      <c r="G189">
        <v>171</v>
      </c>
      <c r="H189">
        <v>274</v>
      </c>
      <c r="I189">
        <v>45122</v>
      </c>
      <c r="J189">
        <v>65431</v>
      </c>
      <c r="K189">
        <v>168</v>
      </c>
      <c r="L189" t="s">
        <v>48</v>
      </c>
      <c r="M189" t="s">
        <v>21</v>
      </c>
      <c r="N189">
        <f>(  Posts__2[[#This Row],[Likes]]+Posts__2[[#This Row],[Comments]]+Posts__2[[#This Row],[Shares]] ) / Posts__2[[#This Row],[Impressions]]</f>
        <v>9.8222596516111871E-2</v>
      </c>
      <c r="O189" s="14">
        <f>_xlfn.XLOOKUP(Posts__2[[#This Row],[Campaign_Name]],'Campaign Metadata'!A:A,'Campaign Metadata'!B:B)</f>
        <v>45717</v>
      </c>
      <c r="P189" s="14">
        <f>_xlfn.XLOOKUP(Posts__2[[#This Row],[Campaign_Name]],'Campaign Metadata'!A:A,'Campaign Metadata'!C:C)</f>
        <v>45747</v>
      </c>
      <c r="Q189" t="str">
        <f>IF(AND(Posts__2[[#This Row],[Date]]&gt;=Posts__2[[#This Row],[Campaign start date]],Posts__2[[#This Row],[Date]]&lt;=Posts__2[[#This Row],[Campaign end date]]),"During","Before")</f>
        <v>Before</v>
      </c>
    </row>
    <row r="190" spans="1:17" x14ac:dyDescent="0.3">
      <c r="A190" t="s">
        <v>253</v>
      </c>
      <c r="B190" t="s">
        <v>57</v>
      </c>
      <c r="C190" s="14">
        <v>45708</v>
      </c>
      <c r="D190" t="s">
        <v>82</v>
      </c>
      <c r="E190" t="s">
        <v>63</v>
      </c>
      <c r="F190">
        <v>4957</v>
      </c>
      <c r="G190">
        <v>262</v>
      </c>
      <c r="H190">
        <v>365</v>
      </c>
      <c r="I190">
        <v>49199</v>
      </c>
      <c r="J190">
        <v>40314</v>
      </c>
      <c r="K190">
        <v>216</v>
      </c>
      <c r="L190" t="s">
        <v>83</v>
      </c>
      <c r="M190" t="s">
        <v>20</v>
      </c>
      <c r="N190">
        <f>(  Posts__2[[#This Row],[Likes]]+Posts__2[[#This Row],[Comments]]+Posts__2[[#This Row],[Shares]] ) / Posts__2[[#This Row],[Impressions]]</f>
        <v>0.11349824183418362</v>
      </c>
      <c r="O190" s="14">
        <f>_xlfn.XLOOKUP(Posts__2[[#This Row],[Campaign_Name]],'Campaign Metadata'!A:A,'Campaign Metadata'!B:B)</f>
        <v>45458</v>
      </c>
      <c r="P190" s="14">
        <f>_xlfn.XLOOKUP(Posts__2[[#This Row],[Campaign_Name]],'Campaign Metadata'!A:A,'Campaign Metadata'!C:C)</f>
        <v>45488</v>
      </c>
      <c r="Q190" t="str">
        <f>IF(AND(Posts__2[[#This Row],[Date]]&gt;=Posts__2[[#This Row],[Campaign start date]],Posts__2[[#This Row],[Date]]&lt;=Posts__2[[#This Row],[Campaign end date]]),"During","Before")</f>
        <v>Before</v>
      </c>
    </row>
    <row r="191" spans="1:17" x14ac:dyDescent="0.3">
      <c r="A191" t="s">
        <v>254</v>
      </c>
      <c r="B191" t="s">
        <v>42</v>
      </c>
      <c r="C191" s="14">
        <v>45673</v>
      </c>
      <c r="D191" t="s">
        <v>43</v>
      </c>
      <c r="E191" t="s">
        <v>58</v>
      </c>
      <c r="F191">
        <v>2605</v>
      </c>
      <c r="G191">
        <v>282</v>
      </c>
      <c r="H191">
        <v>148</v>
      </c>
      <c r="I191">
        <v>32201</v>
      </c>
      <c r="J191">
        <v>49583</v>
      </c>
      <c r="K191">
        <v>241</v>
      </c>
      <c r="L191" t="s">
        <v>45</v>
      </c>
      <c r="M191" t="s">
        <v>19</v>
      </c>
      <c r="N191">
        <f>(  Posts__2[[#This Row],[Likes]]+Posts__2[[#This Row],[Comments]]+Posts__2[[#This Row],[Shares]] ) / Posts__2[[#This Row],[Impressions]]</f>
        <v>9.4251731312692155E-2</v>
      </c>
      <c r="O191" s="14">
        <f>_xlfn.XLOOKUP(Posts__2[[#This Row],[Campaign_Name]],'Campaign Metadata'!A:A,'Campaign Metadata'!B:B)</f>
        <v>45667</v>
      </c>
      <c r="P191" s="14">
        <f>_xlfn.XLOOKUP(Posts__2[[#This Row],[Campaign_Name]],'Campaign Metadata'!A:A,'Campaign Metadata'!C:C)</f>
        <v>45698</v>
      </c>
      <c r="Q191" t="str">
        <f>IF(AND(Posts__2[[#This Row],[Date]]&gt;=Posts__2[[#This Row],[Campaign start date]],Posts__2[[#This Row],[Date]]&lt;=Posts__2[[#This Row],[Campaign end date]]),"During","Before")</f>
        <v>During</v>
      </c>
    </row>
    <row r="192" spans="1:17" x14ac:dyDescent="0.3">
      <c r="A192" t="s">
        <v>255</v>
      </c>
      <c r="B192" t="s">
        <v>57</v>
      </c>
      <c r="C192" s="14">
        <v>45346</v>
      </c>
      <c r="D192" t="s">
        <v>82</v>
      </c>
      <c r="E192" t="s">
        <v>44</v>
      </c>
      <c r="F192">
        <v>4221</v>
      </c>
      <c r="G192">
        <v>307</v>
      </c>
      <c r="H192">
        <v>58</v>
      </c>
      <c r="I192">
        <v>45080</v>
      </c>
      <c r="J192">
        <v>37214</v>
      </c>
      <c r="K192">
        <v>240</v>
      </c>
      <c r="L192" t="s">
        <v>83</v>
      </c>
      <c r="M192" t="s">
        <v>20</v>
      </c>
      <c r="N192">
        <f>(  Posts__2[[#This Row],[Likes]]+Posts__2[[#This Row],[Comments]]+Posts__2[[#This Row],[Shares]] ) / Posts__2[[#This Row],[Impressions]]</f>
        <v>0.10173025732031943</v>
      </c>
      <c r="O192" s="14">
        <f>_xlfn.XLOOKUP(Posts__2[[#This Row],[Campaign_Name]],'Campaign Metadata'!A:A,'Campaign Metadata'!B:B)</f>
        <v>45458</v>
      </c>
      <c r="P192" s="14">
        <f>_xlfn.XLOOKUP(Posts__2[[#This Row],[Campaign_Name]],'Campaign Metadata'!A:A,'Campaign Metadata'!C:C)</f>
        <v>45488</v>
      </c>
      <c r="Q192" t="str">
        <f>IF(AND(Posts__2[[#This Row],[Date]]&gt;=Posts__2[[#This Row],[Campaign start date]],Posts__2[[#This Row],[Date]]&lt;=Posts__2[[#This Row],[Campaign end date]]),"During","Before")</f>
        <v>Before</v>
      </c>
    </row>
    <row r="193" spans="1:17" x14ac:dyDescent="0.3">
      <c r="A193" t="s">
        <v>256</v>
      </c>
      <c r="B193" t="s">
        <v>50</v>
      </c>
      <c r="C193" s="14">
        <v>45551</v>
      </c>
      <c r="D193" t="s">
        <v>51</v>
      </c>
      <c r="E193" t="s">
        <v>61</v>
      </c>
      <c r="F193">
        <v>4422</v>
      </c>
      <c r="G193">
        <v>434</v>
      </c>
      <c r="H193">
        <v>156</v>
      </c>
      <c r="I193">
        <v>56165</v>
      </c>
      <c r="J193">
        <v>52431</v>
      </c>
      <c r="K193">
        <v>173</v>
      </c>
      <c r="L193" t="s">
        <v>65</v>
      </c>
      <c r="M193" t="s">
        <v>19</v>
      </c>
      <c r="N193">
        <f>(  Posts__2[[#This Row],[Likes]]+Posts__2[[#This Row],[Comments]]+Posts__2[[#This Row],[Shares]] ) / Posts__2[[#This Row],[Impressions]]</f>
        <v>8.9237069349238848E-2</v>
      </c>
      <c r="O193" s="14">
        <f>_xlfn.XLOOKUP(Posts__2[[#This Row],[Campaign_Name]],'Campaign Metadata'!A:A,'Campaign Metadata'!B:B)</f>
        <v>45667</v>
      </c>
      <c r="P193" s="14">
        <f>_xlfn.XLOOKUP(Posts__2[[#This Row],[Campaign_Name]],'Campaign Metadata'!A:A,'Campaign Metadata'!C:C)</f>
        <v>45698</v>
      </c>
      <c r="Q193" t="str">
        <f>IF(AND(Posts__2[[#This Row],[Date]]&gt;=Posts__2[[#This Row],[Campaign start date]],Posts__2[[#This Row],[Date]]&lt;=Posts__2[[#This Row],[Campaign end date]]),"During","Before")</f>
        <v>Before</v>
      </c>
    </row>
    <row r="194" spans="1:17" x14ac:dyDescent="0.3">
      <c r="A194" t="s">
        <v>257</v>
      </c>
      <c r="B194" t="s">
        <v>57</v>
      </c>
      <c r="C194" s="14">
        <v>45447</v>
      </c>
      <c r="D194" t="s">
        <v>82</v>
      </c>
      <c r="E194" t="s">
        <v>55</v>
      </c>
      <c r="F194">
        <v>1211</v>
      </c>
      <c r="G194">
        <v>431</v>
      </c>
      <c r="H194">
        <v>83</v>
      </c>
      <c r="I194">
        <v>26532</v>
      </c>
      <c r="J194">
        <v>47305</v>
      </c>
      <c r="K194">
        <v>232</v>
      </c>
      <c r="L194" t="s">
        <v>83</v>
      </c>
      <c r="M194" t="s">
        <v>20</v>
      </c>
      <c r="N194">
        <f>(  Posts__2[[#This Row],[Likes]]+Posts__2[[#This Row],[Comments]]+Posts__2[[#This Row],[Shares]] ) / Posts__2[[#This Row],[Impressions]]</f>
        <v>6.5015829941203071E-2</v>
      </c>
      <c r="O194" s="14">
        <f>_xlfn.XLOOKUP(Posts__2[[#This Row],[Campaign_Name]],'Campaign Metadata'!A:A,'Campaign Metadata'!B:B)</f>
        <v>45458</v>
      </c>
      <c r="P194" s="14">
        <f>_xlfn.XLOOKUP(Posts__2[[#This Row],[Campaign_Name]],'Campaign Metadata'!A:A,'Campaign Metadata'!C:C)</f>
        <v>45488</v>
      </c>
      <c r="Q194" t="str">
        <f>IF(AND(Posts__2[[#This Row],[Date]]&gt;=Posts__2[[#This Row],[Campaign start date]],Posts__2[[#This Row],[Date]]&lt;=Posts__2[[#This Row],[Campaign end date]]),"During","Before")</f>
        <v>Before</v>
      </c>
    </row>
    <row r="195" spans="1:17" x14ac:dyDescent="0.3">
      <c r="A195" t="s">
        <v>258</v>
      </c>
      <c r="B195" t="s">
        <v>50</v>
      </c>
      <c r="C195" s="14">
        <v>45422</v>
      </c>
      <c r="D195" t="s">
        <v>51</v>
      </c>
      <c r="E195" t="s">
        <v>47</v>
      </c>
      <c r="F195">
        <v>2784</v>
      </c>
      <c r="G195">
        <v>111</v>
      </c>
      <c r="H195">
        <v>399</v>
      </c>
      <c r="I195">
        <v>58366</v>
      </c>
      <c r="J195">
        <v>69512</v>
      </c>
      <c r="K195">
        <v>269</v>
      </c>
      <c r="L195" t="s">
        <v>53</v>
      </c>
      <c r="M195" t="s">
        <v>19</v>
      </c>
      <c r="N195">
        <f>(  Posts__2[[#This Row],[Likes]]+Posts__2[[#This Row],[Comments]]+Posts__2[[#This Row],[Shares]] ) / Posts__2[[#This Row],[Impressions]]</f>
        <v>5.6436966727204191E-2</v>
      </c>
      <c r="O195" s="14">
        <f>_xlfn.XLOOKUP(Posts__2[[#This Row],[Campaign_Name]],'Campaign Metadata'!A:A,'Campaign Metadata'!B:B)</f>
        <v>45667</v>
      </c>
      <c r="P195" s="14">
        <f>_xlfn.XLOOKUP(Posts__2[[#This Row],[Campaign_Name]],'Campaign Metadata'!A:A,'Campaign Metadata'!C:C)</f>
        <v>45698</v>
      </c>
      <c r="Q195" t="str">
        <f>IF(AND(Posts__2[[#This Row],[Date]]&gt;=Posts__2[[#This Row],[Campaign start date]],Posts__2[[#This Row],[Date]]&lt;=Posts__2[[#This Row],[Campaign end date]]),"During","Before")</f>
        <v>Before</v>
      </c>
    </row>
    <row r="196" spans="1:17" x14ac:dyDescent="0.3">
      <c r="A196" t="s">
        <v>259</v>
      </c>
      <c r="B196" t="s">
        <v>57</v>
      </c>
      <c r="C196" s="14">
        <v>45305</v>
      </c>
      <c r="D196" t="s">
        <v>43</v>
      </c>
      <c r="E196" t="s">
        <v>52</v>
      </c>
      <c r="F196">
        <v>3634</v>
      </c>
      <c r="G196">
        <v>280</v>
      </c>
      <c r="H196">
        <v>399</v>
      </c>
      <c r="I196">
        <v>40256</v>
      </c>
      <c r="J196">
        <v>52605</v>
      </c>
      <c r="K196">
        <v>213</v>
      </c>
      <c r="L196" t="s">
        <v>59</v>
      </c>
      <c r="M196" t="s">
        <v>21</v>
      </c>
      <c r="N196">
        <f>(  Posts__2[[#This Row],[Likes]]+Posts__2[[#This Row],[Comments]]+Posts__2[[#This Row],[Shares]] ) / Posts__2[[#This Row],[Impressions]]</f>
        <v>0.10713930842607314</v>
      </c>
      <c r="O196" s="14">
        <f>_xlfn.XLOOKUP(Posts__2[[#This Row],[Campaign_Name]],'Campaign Metadata'!A:A,'Campaign Metadata'!B:B)</f>
        <v>45717</v>
      </c>
      <c r="P196" s="14">
        <f>_xlfn.XLOOKUP(Posts__2[[#This Row],[Campaign_Name]],'Campaign Metadata'!A:A,'Campaign Metadata'!C:C)</f>
        <v>45747</v>
      </c>
      <c r="Q196" t="str">
        <f>IF(AND(Posts__2[[#This Row],[Date]]&gt;=Posts__2[[#This Row],[Campaign start date]],Posts__2[[#This Row],[Date]]&lt;=Posts__2[[#This Row],[Campaign end date]]),"During","Before")</f>
        <v>Before</v>
      </c>
    </row>
    <row r="197" spans="1:17" x14ac:dyDescent="0.3">
      <c r="A197" t="s">
        <v>260</v>
      </c>
      <c r="B197" t="s">
        <v>42</v>
      </c>
      <c r="C197" s="14">
        <v>45669</v>
      </c>
      <c r="D197" t="s">
        <v>43</v>
      </c>
      <c r="E197" t="s">
        <v>75</v>
      </c>
      <c r="F197">
        <v>1771</v>
      </c>
      <c r="G197">
        <v>487</v>
      </c>
      <c r="H197">
        <v>272</v>
      </c>
      <c r="I197">
        <v>48810</v>
      </c>
      <c r="J197">
        <v>48084</v>
      </c>
      <c r="K197">
        <v>272</v>
      </c>
      <c r="L197" t="s">
        <v>45</v>
      </c>
      <c r="M197" t="s">
        <v>19</v>
      </c>
      <c r="N197">
        <f>(  Posts__2[[#This Row],[Likes]]+Posts__2[[#This Row],[Comments]]+Posts__2[[#This Row],[Shares]] ) / Posts__2[[#This Row],[Impressions]]</f>
        <v>5.1833640647408315E-2</v>
      </c>
      <c r="O197" s="14">
        <f>_xlfn.XLOOKUP(Posts__2[[#This Row],[Campaign_Name]],'Campaign Metadata'!A:A,'Campaign Metadata'!B:B)</f>
        <v>45667</v>
      </c>
      <c r="P197" s="14">
        <f>_xlfn.XLOOKUP(Posts__2[[#This Row],[Campaign_Name]],'Campaign Metadata'!A:A,'Campaign Metadata'!C:C)</f>
        <v>45698</v>
      </c>
      <c r="Q197" t="str">
        <f>IF(AND(Posts__2[[#This Row],[Date]]&gt;=Posts__2[[#This Row],[Campaign start date]],Posts__2[[#This Row],[Date]]&lt;=Posts__2[[#This Row],[Campaign end date]]),"During","Before")</f>
        <v>During</v>
      </c>
    </row>
    <row r="198" spans="1:17" x14ac:dyDescent="0.3">
      <c r="A198" t="s">
        <v>261</v>
      </c>
      <c r="B198" t="s">
        <v>57</v>
      </c>
      <c r="C198" s="14">
        <v>45634</v>
      </c>
      <c r="D198" t="s">
        <v>43</v>
      </c>
      <c r="E198" t="s">
        <v>67</v>
      </c>
      <c r="F198">
        <v>1424</v>
      </c>
      <c r="G198">
        <v>396</v>
      </c>
      <c r="H198">
        <v>312</v>
      </c>
      <c r="I198">
        <v>59517</v>
      </c>
      <c r="J198">
        <v>46102</v>
      </c>
      <c r="K198">
        <v>239</v>
      </c>
      <c r="L198" t="s">
        <v>59</v>
      </c>
      <c r="M198" t="s">
        <v>21</v>
      </c>
      <c r="N198">
        <f>(  Posts__2[[#This Row],[Likes]]+Posts__2[[#This Row],[Comments]]+Posts__2[[#This Row],[Shares]] ) / Posts__2[[#This Row],[Impressions]]</f>
        <v>3.5821698002251455E-2</v>
      </c>
      <c r="O198" s="14">
        <f>_xlfn.XLOOKUP(Posts__2[[#This Row],[Campaign_Name]],'Campaign Metadata'!A:A,'Campaign Metadata'!B:B)</f>
        <v>45717</v>
      </c>
      <c r="P198" s="14">
        <f>_xlfn.XLOOKUP(Posts__2[[#This Row],[Campaign_Name]],'Campaign Metadata'!A:A,'Campaign Metadata'!C:C)</f>
        <v>45747</v>
      </c>
      <c r="Q198" t="str">
        <f>IF(AND(Posts__2[[#This Row],[Date]]&gt;=Posts__2[[#This Row],[Campaign start date]],Posts__2[[#This Row],[Date]]&lt;=Posts__2[[#This Row],[Campaign end date]]),"During","Before")</f>
        <v>Before</v>
      </c>
    </row>
    <row r="199" spans="1:17" x14ac:dyDescent="0.3">
      <c r="A199" t="s">
        <v>262</v>
      </c>
      <c r="B199" t="s">
        <v>50</v>
      </c>
      <c r="C199" s="14">
        <v>45689</v>
      </c>
      <c r="D199" t="s">
        <v>51</v>
      </c>
      <c r="E199" t="s">
        <v>67</v>
      </c>
      <c r="F199">
        <v>1079</v>
      </c>
      <c r="G199">
        <v>265</v>
      </c>
      <c r="H199">
        <v>190</v>
      </c>
      <c r="I199">
        <v>43786</v>
      </c>
      <c r="J199">
        <v>72428</v>
      </c>
      <c r="K199">
        <v>222</v>
      </c>
      <c r="L199" t="s">
        <v>45</v>
      </c>
      <c r="M199" t="s">
        <v>19</v>
      </c>
      <c r="N199">
        <f>(  Posts__2[[#This Row],[Likes]]+Posts__2[[#This Row],[Comments]]+Posts__2[[#This Row],[Shares]] ) / Posts__2[[#This Row],[Impressions]]</f>
        <v>3.5034029141734799E-2</v>
      </c>
      <c r="O199" s="14">
        <f>_xlfn.XLOOKUP(Posts__2[[#This Row],[Campaign_Name]],'Campaign Metadata'!A:A,'Campaign Metadata'!B:B)</f>
        <v>45667</v>
      </c>
      <c r="P199" s="14">
        <f>_xlfn.XLOOKUP(Posts__2[[#This Row],[Campaign_Name]],'Campaign Metadata'!A:A,'Campaign Metadata'!C:C)</f>
        <v>45698</v>
      </c>
      <c r="Q199" t="str">
        <f>IF(AND(Posts__2[[#This Row],[Date]]&gt;=Posts__2[[#This Row],[Campaign start date]],Posts__2[[#This Row],[Date]]&lt;=Posts__2[[#This Row],[Campaign end date]]),"During","Before")</f>
        <v>During</v>
      </c>
    </row>
    <row r="200" spans="1:17" x14ac:dyDescent="0.3">
      <c r="A200" t="s">
        <v>263</v>
      </c>
      <c r="B200" t="s">
        <v>50</v>
      </c>
      <c r="C200" s="14">
        <v>45484</v>
      </c>
      <c r="D200" t="s">
        <v>51</v>
      </c>
      <c r="E200" t="s">
        <v>63</v>
      </c>
      <c r="F200">
        <v>4247</v>
      </c>
      <c r="G200">
        <v>179</v>
      </c>
      <c r="H200">
        <v>175</v>
      </c>
      <c r="I200">
        <v>32991</v>
      </c>
      <c r="J200">
        <v>70120</v>
      </c>
      <c r="K200">
        <v>276</v>
      </c>
      <c r="L200" t="s">
        <v>45</v>
      </c>
      <c r="M200" t="s">
        <v>19</v>
      </c>
      <c r="N200">
        <f>(  Posts__2[[#This Row],[Likes]]+Posts__2[[#This Row],[Comments]]+Posts__2[[#This Row],[Shares]] ) / Posts__2[[#This Row],[Impressions]]</f>
        <v>0.13946227759085811</v>
      </c>
      <c r="O200" s="14">
        <f>_xlfn.XLOOKUP(Posts__2[[#This Row],[Campaign_Name]],'Campaign Metadata'!A:A,'Campaign Metadata'!B:B)</f>
        <v>45667</v>
      </c>
      <c r="P200" s="14">
        <f>_xlfn.XLOOKUP(Posts__2[[#This Row],[Campaign_Name]],'Campaign Metadata'!A:A,'Campaign Metadata'!C:C)</f>
        <v>45698</v>
      </c>
      <c r="Q200" t="str">
        <f>IF(AND(Posts__2[[#This Row],[Date]]&gt;=Posts__2[[#This Row],[Campaign start date]],Posts__2[[#This Row],[Date]]&lt;=Posts__2[[#This Row],[Campaign end date]]),"During","Before")</f>
        <v>Before</v>
      </c>
    </row>
    <row r="201" spans="1:17" x14ac:dyDescent="0.3">
      <c r="A201" t="s">
        <v>264</v>
      </c>
      <c r="B201" t="s">
        <v>50</v>
      </c>
      <c r="C201" s="14">
        <v>45369</v>
      </c>
      <c r="D201" t="s">
        <v>43</v>
      </c>
      <c r="E201" t="s">
        <v>52</v>
      </c>
      <c r="F201">
        <v>2033</v>
      </c>
      <c r="G201">
        <v>420</v>
      </c>
      <c r="H201">
        <v>94</v>
      </c>
      <c r="I201">
        <v>56290</v>
      </c>
      <c r="J201">
        <v>57391</v>
      </c>
      <c r="K201">
        <v>196</v>
      </c>
      <c r="L201" t="s">
        <v>68</v>
      </c>
      <c r="M201" t="s">
        <v>19</v>
      </c>
      <c r="N201">
        <f>(  Posts__2[[#This Row],[Likes]]+Posts__2[[#This Row],[Comments]]+Posts__2[[#This Row],[Shares]] ) / Posts__2[[#This Row],[Impressions]]</f>
        <v>4.5247823769763724E-2</v>
      </c>
      <c r="O201" s="14">
        <f>_xlfn.XLOOKUP(Posts__2[[#This Row],[Campaign_Name]],'Campaign Metadata'!A:A,'Campaign Metadata'!B:B)</f>
        <v>45667</v>
      </c>
      <c r="P201" s="14">
        <f>_xlfn.XLOOKUP(Posts__2[[#This Row],[Campaign_Name]],'Campaign Metadata'!A:A,'Campaign Metadata'!C:C)</f>
        <v>45698</v>
      </c>
      <c r="Q201" t="str">
        <f>IF(AND(Posts__2[[#This Row],[Date]]&gt;=Posts__2[[#This Row],[Campaign start date]],Posts__2[[#This Row],[Date]]&lt;=Posts__2[[#This Row],[Campaign end date]]),"During","Before")</f>
        <v>Before</v>
      </c>
    </row>
    <row r="202" spans="1:17" x14ac:dyDescent="0.3">
      <c r="A202" t="s">
        <v>265</v>
      </c>
      <c r="B202" t="s">
        <v>50</v>
      </c>
      <c r="C202" s="14">
        <v>45547</v>
      </c>
      <c r="D202" t="s">
        <v>51</v>
      </c>
      <c r="E202" t="s">
        <v>55</v>
      </c>
      <c r="F202">
        <v>1839</v>
      </c>
      <c r="G202">
        <v>223</v>
      </c>
      <c r="H202">
        <v>171</v>
      </c>
      <c r="I202">
        <v>35459</v>
      </c>
      <c r="J202">
        <v>69988</v>
      </c>
      <c r="K202">
        <v>114</v>
      </c>
      <c r="L202" t="s">
        <v>53</v>
      </c>
      <c r="M202" t="s">
        <v>19</v>
      </c>
      <c r="N202">
        <f>(  Posts__2[[#This Row],[Likes]]+Posts__2[[#This Row],[Comments]]+Posts__2[[#This Row],[Shares]] ) / Posts__2[[#This Row],[Impressions]]</f>
        <v>6.2974139146620034E-2</v>
      </c>
      <c r="O202" s="14">
        <f>_xlfn.XLOOKUP(Posts__2[[#This Row],[Campaign_Name]],'Campaign Metadata'!A:A,'Campaign Metadata'!B:B)</f>
        <v>45667</v>
      </c>
      <c r="P202" s="14">
        <f>_xlfn.XLOOKUP(Posts__2[[#This Row],[Campaign_Name]],'Campaign Metadata'!A:A,'Campaign Metadata'!C:C)</f>
        <v>45698</v>
      </c>
      <c r="Q202" t="str">
        <f>IF(AND(Posts__2[[#This Row],[Date]]&gt;=Posts__2[[#This Row],[Campaign start date]],Posts__2[[#This Row],[Date]]&lt;=Posts__2[[#This Row],[Campaign end date]]),"During","Before")</f>
        <v>Before</v>
      </c>
    </row>
    <row r="203" spans="1:17" x14ac:dyDescent="0.3">
      <c r="A203" t="s">
        <v>266</v>
      </c>
      <c r="B203" t="s">
        <v>50</v>
      </c>
      <c r="C203" s="14">
        <v>45302</v>
      </c>
      <c r="D203" t="s">
        <v>51</v>
      </c>
      <c r="E203" t="s">
        <v>55</v>
      </c>
      <c r="F203">
        <v>2340</v>
      </c>
      <c r="G203">
        <v>141</v>
      </c>
      <c r="H203">
        <v>206</v>
      </c>
      <c r="I203">
        <v>24916</v>
      </c>
      <c r="J203">
        <v>30582</v>
      </c>
      <c r="K203">
        <v>157</v>
      </c>
      <c r="L203" t="s">
        <v>45</v>
      </c>
      <c r="M203" t="s">
        <v>19</v>
      </c>
      <c r="N203">
        <f>(  Posts__2[[#This Row],[Likes]]+Posts__2[[#This Row],[Comments]]+Posts__2[[#This Row],[Shares]] ) / Posts__2[[#This Row],[Impressions]]</f>
        <v>0.10784235029699792</v>
      </c>
      <c r="O203" s="14">
        <f>_xlfn.XLOOKUP(Posts__2[[#This Row],[Campaign_Name]],'Campaign Metadata'!A:A,'Campaign Metadata'!B:B)</f>
        <v>45667</v>
      </c>
      <c r="P203" s="14">
        <f>_xlfn.XLOOKUP(Posts__2[[#This Row],[Campaign_Name]],'Campaign Metadata'!A:A,'Campaign Metadata'!C:C)</f>
        <v>45698</v>
      </c>
      <c r="Q203" t="str">
        <f>IF(AND(Posts__2[[#This Row],[Date]]&gt;=Posts__2[[#This Row],[Campaign start date]],Posts__2[[#This Row],[Date]]&lt;=Posts__2[[#This Row],[Campaign end date]]),"During","Before")</f>
        <v>Before</v>
      </c>
    </row>
    <row r="204" spans="1:17" x14ac:dyDescent="0.3">
      <c r="A204" t="s">
        <v>267</v>
      </c>
      <c r="B204" t="s">
        <v>42</v>
      </c>
      <c r="C204" s="14">
        <v>45571</v>
      </c>
      <c r="D204" t="s">
        <v>43</v>
      </c>
      <c r="E204" t="s">
        <v>67</v>
      </c>
      <c r="F204">
        <v>2080</v>
      </c>
      <c r="G204">
        <v>389</v>
      </c>
      <c r="H204">
        <v>92</v>
      </c>
      <c r="I204">
        <v>30971</v>
      </c>
      <c r="J204">
        <v>25347</v>
      </c>
      <c r="K204">
        <v>111</v>
      </c>
      <c r="L204" t="s">
        <v>48</v>
      </c>
      <c r="M204" t="s">
        <v>21</v>
      </c>
      <c r="N204">
        <f>(  Posts__2[[#This Row],[Likes]]+Posts__2[[#This Row],[Comments]]+Posts__2[[#This Row],[Shares]] ) / Posts__2[[#This Row],[Impressions]]</f>
        <v>8.2690258629040073E-2</v>
      </c>
      <c r="O204" s="14">
        <f>_xlfn.XLOOKUP(Posts__2[[#This Row],[Campaign_Name]],'Campaign Metadata'!A:A,'Campaign Metadata'!B:B)</f>
        <v>45717</v>
      </c>
      <c r="P204" s="14">
        <f>_xlfn.XLOOKUP(Posts__2[[#This Row],[Campaign_Name]],'Campaign Metadata'!A:A,'Campaign Metadata'!C:C)</f>
        <v>45747</v>
      </c>
      <c r="Q204" t="str">
        <f>IF(AND(Posts__2[[#This Row],[Date]]&gt;=Posts__2[[#This Row],[Campaign start date]],Posts__2[[#This Row],[Date]]&lt;=Posts__2[[#This Row],[Campaign end date]]),"During","Before")</f>
        <v>Before</v>
      </c>
    </row>
    <row r="205" spans="1:17" x14ac:dyDescent="0.3">
      <c r="A205" t="s">
        <v>268</v>
      </c>
      <c r="B205" t="s">
        <v>50</v>
      </c>
      <c r="C205" s="14">
        <v>45656</v>
      </c>
      <c r="D205" t="s">
        <v>43</v>
      </c>
      <c r="E205" t="s">
        <v>63</v>
      </c>
      <c r="F205">
        <v>4214</v>
      </c>
      <c r="G205">
        <v>286</v>
      </c>
      <c r="H205">
        <v>127</v>
      </c>
      <c r="I205">
        <v>47293</v>
      </c>
      <c r="J205">
        <v>27184</v>
      </c>
      <c r="K205">
        <v>232</v>
      </c>
      <c r="L205" t="s">
        <v>68</v>
      </c>
      <c r="M205" t="s">
        <v>19</v>
      </c>
      <c r="N205">
        <f>(  Posts__2[[#This Row],[Likes]]+Posts__2[[#This Row],[Comments]]+Posts__2[[#This Row],[Shares]] ) / Posts__2[[#This Row],[Impressions]]</f>
        <v>9.7836889180216949E-2</v>
      </c>
      <c r="O205" s="14">
        <f>_xlfn.XLOOKUP(Posts__2[[#This Row],[Campaign_Name]],'Campaign Metadata'!A:A,'Campaign Metadata'!B:B)</f>
        <v>45667</v>
      </c>
      <c r="P205" s="14">
        <f>_xlfn.XLOOKUP(Posts__2[[#This Row],[Campaign_Name]],'Campaign Metadata'!A:A,'Campaign Metadata'!C:C)</f>
        <v>45698</v>
      </c>
      <c r="Q205" t="str">
        <f>IF(AND(Posts__2[[#This Row],[Date]]&gt;=Posts__2[[#This Row],[Campaign start date]],Posts__2[[#This Row],[Date]]&lt;=Posts__2[[#This Row],[Campaign end date]]),"During","Before")</f>
        <v>Before</v>
      </c>
    </row>
    <row r="206" spans="1:17" x14ac:dyDescent="0.3">
      <c r="A206" t="s">
        <v>269</v>
      </c>
      <c r="B206" t="s">
        <v>50</v>
      </c>
      <c r="C206" s="14">
        <v>45763</v>
      </c>
      <c r="D206" t="s">
        <v>43</v>
      </c>
      <c r="E206" t="s">
        <v>55</v>
      </c>
      <c r="F206">
        <v>3792</v>
      </c>
      <c r="G206">
        <v>315</v>
      </c>
      <c r="H206">
        <v>120</v>
      </c>
      <c r="I206">
        <v>54592</v>
      </c>
      <c r="J206">
        <v>67886</v>
      </c>
      <c r="K206">
        <v>117</v>
      </c>
      <c r="L206" t="s">
        <v>71</v>
      </c>
      <c r="M206" t="s">
        <v>21</v>
      </c>
      <c r="N206">
        <f>(  Posts__2[[#This Row],[Likes]]+Posts__2[[#This Row],[Comments]]+Posts__2[[#This Row],[Shares]] ) / Posts__2[[#This Row],[Impressions]]</f>
        <v>7.7428927315357568E-2</v>
      </c>
      <c r="O206" s="14">
        <f>_xlfn.XLOOKUP(Posts__2[[#This Row],[Campaign_Name]],'Campaign Metadata'!A:A,'Campaign Metadata'!B:B)</f>
        <v>45717</v>
      </c>
      <c r="P206" s="14">
        <f>_xlfn.XLOOKUP(Posts__2[[#This Row],[Campaign_Name]],'Campaign Metadata'!A:A,'Campaign Metadata'!C:C)</f>
        <v>45747</v>
      </c>
      <c r="Q206" t="str">
        <f>IF(AND(Posts__2[[#This Row],[Date]]&gt;=Posts__2[[#This Row],[Campaign start date]],Posts__2[[#This Row],[Date]]&lt;=Posts__2[[#This Row],[Campaign end date]]),"During","Before")</f>
        <v>Before</v>
      </c>
    </row>
    <row r="207" spans="1:17" x14ac:dyDescent="0.3">
      <c r="A207" t="s">
        <v>270</v>
      </c>
      <c r="B207" t="s">
        <v>50</v>
      </c>
      <c r="C207" s="14">
        <v>45525</v>
      </c>
      <c r="D207" t="s">
        <v>51</v>
      </c>
      <c r="E207" t="s">
        <v>47</v>
      </c>
      <c r="F207">
        <v>3989</v>
      </c>
      <c r="G207">
        <v>476</v>
      </c>
      <c r="H207">
        <v>128</v>
      </c>
      <c r="I207">
        <v>57569</v>
      </c>
      <c r="J207">
        <v>40193</v>
      </c>
      <c r="K207">
        <v>222</v>
      </c>
      <c r="L207" t="s">
        <v>65</v>
      </c>
      <c r="M207" t="s">
        <v>19</v>
      </c>
      <c r="N207">
        <f>(  Posts__2[[#This Row],[Likes]]+Posts__2[[#This Row],[Comments]]+Posts__2[[#This Row],[Shares]] ) / Posts__2[[#This Row],[Impressions]]</f>
        <v>7.9782521843353188E-2</v>
      </c>
      <c r="O207" s="14">
        <f>_xlfn.XLOOKUP(Posts__2[[#This Row],[Campaign_Name]],'Campaign Metadata'!A:A,'Campaign Metadata'!B:B)</f>
        <v>45667</v>
      </c>
      <c r="P207" s="14">
        <f>_xlfn.XLOOKUP(Posts__2[[#This Row],[Campaign_Name]],'Campaign Metadata'!A:A,'Campaign Metadata'!C:C)</f>
        <v>45698</v>
      </c>
      <c r="Q207" t="str">
        <f>IF(AND(Posts__2[[#This Row],[Date]]&gt;=Posts__2[[#This Row],[Campaign start date]],Posts__2[[#This Row],[Date]]&lt;=Posts__2[[#This Row],[Campaign end date]]),"During","Before")</f>
        <v>Before</v>
      </c>
    </row>
    <row r="208" spans="1:17" x14ac:dyDescent="0.3">
      <c r="A208" t="s">
        <v>271</v>
      </c>
      <c r="B208" t="s">
        <v>50</v>
      </c>
      <c r="C208" s="14">
        <v>45387</v>
      </c>
      <c r="D208" t="s">
        <v>51</v>
      </c>
      <c r="E208" t="s">
        <v>55</v>
      </c>
      <c r="F208">
        <v>2857</v>
      </c>
      <c r="G208">
        <v>443</v>
      </c>
      <c r="H208">
        <v>359</v>
      </c>
      <c r="I208">
        <v>51519</v>
      </c>
      <c r="J208">
        <v>28256</v>
      </c>
      <c r="K208">
        <v>155</v>
      </c>
      <c r="L208" t="s">
        <v>45</v>
      </c>
      <c r="M208" t="s">
        <v>19</v>
      </c>
      <c r="N208">
        <f>(  Posts__2[[#This Row],[Likes]]+Posts__2[[#This Row],[Comments]]+Posts__2[[#This Row],[Shares]] ) / Posts__2[[#This Row],[Impressions]]</f>
        <v>7.1022341272152026E-2</v>
      </c>
      <c r="O208" s="14">
        <f>_xlfn.XLOOKUP(Posts__2[[#This Row],[Campaign_Name]],'Campaign Metadata'!A:A,'Campaign Metadata'!B:B)</f>
        <v>45667</v>
      </c>
      <c r="P208" s="14">
        <f>_xlfn.XLOOKUP(Posts__2[[#This Row],[Campaign_Name]],'Campaign Metadata'!A:A,'Campaign Metadata'!C:C)</f>
        <v>45698</v>
      </c>
      <c r="Q208" t="str">
        <f>IF(AND(Posts__2[[#This Row],[Date]]&gt;=Posts__2[[#This Row],[Campaign start date]],Posts__2[[#This Row],[Date]]&lt;=Posts__2[[#This Row],[Campaign end date]]),"During","Before")</f>
        <v>Before</v>
      </c>
    </row>
    <row r="209" spans="1:17" x14ac:dyDescent="0.3">
      <c r="A209" t="s">
        <v>272</v>
      </c>
      <c r="B209" t="s">
        <v>50</v>
      </c>
      <c r="C209" s="14">
        <v>45754</v>
      </c>
      <c r="D209" t="s">
        <v>43</v>
      </c>
      <c r="E209" t="s">
        <v>75</v>
      </c>
      <c r="F209">
        <v>1403</v>
      </c>
      <c r="G209">
        <v>385</v>
      </c>
      <c r="H209">
        <v>344</v>
      </c>
      <c r="I209">
        <v>54223</v>
      </c>
      <c r="J209">
        <v>72595</v>
      </c>
      <c r="K209">
        <v>239</v>
      </c>
      <c r="L209" t="s">
        <v>71</v>
      </c>
      <c r="M209" t="s">
        <v>21</v>
      </c>
      <c r="N209">
        <f>(  Posts__2[[#This Row],[Likes]]+Posts__2[[#This Row],[Comments]]+Posts__2[[#This Row],[Shares]] ) / Posts__2[[#This Row],[Impressions]]</f>
        <v>3.9319108127547353E-2</v>
      </c>
      <c r="O209" s="14">
        <f>_xlfn.XLOOKUP(Posts__2[[#This Row],[Campaign_Name]],'Campaign Metadata'!A:A,'Campaign Metadata'!B:B)</f>
        <v>45717</v>
      </c>
      <c r="P209" s="14">
        <f>_xlfn.XLOOKUP(Posts__2[[#This Row],[Campaign_Name]],'Campaign Metadata'!A:A,'Campaign Metadata'!C:C)</f>
        <v>45747</v>
      </c>
      <c r="Q209" t="str">
        <f>IF(AND(Posts__2[[#This Row],[Date]]&gt;=Posts__2[[#This Row],[Campaign start date]],Posts__2[[#This Row],[Date]]&lt;=Posts__2[[#This Row],[Campaign end date]]),"During","Before")</f>
        <v>Before</v>
      </c>
    </row>
    <row r="210" spans="1:17" x14ac:dyDescent="0.3">
      <c r="A210" t="s">
        <v>273</v>
      </c>
      <c r="B210" t="s">
        <v>50</v>
      </c>
      <c r="C210" s="14">
        <v>45492</v>
      </c>
      <c r="D210" t="s">
        <v>51</v>
      </c>
      <c r="E210" t="s">
        <v>61</v>
      </c>
      <c r="F210">
        <v>3071</v>
      </c>
      <c r="G210">
        <v>126</v>
      </c>
      <c r="H210">
        <v>200</v>
      </c>
      <c r="I210">
        <v>44013</v>
      </c>
      <c r="J210">
        <v>44679</v>
      </c>
      <c r="K210">
        <v>118</v>
      </c>
      <c r="L210" t="s">
        <v>65</v>
      </c>
      <c r="M210" t="s">
        <v>19</v>
      </c>
      <c r="N210">
        <f>(  Posts__2[[#This Row],[Likes]]+Posts__2[[#This Row],[Comments]]+Posts__2[[#This Row],[Shares]] ) / Posts__2[[#This Row],[Impressions]]</f>
        <v>7.7181741758116915E-2</v>
      </c>
      <c r="O210" s="14">
        <f>_xlfn.XLOOKUP(Posts__2[[#This Row],[Campaign_Name]],'Campaign Metadata'!A:A,'Campaign Metadata'!B:B)</f>
        <v>45667</v>
      </c>
      <c r="P210" s="14">
        <f>_xlfn.XLOOKUP(Posts__2[[#This Row],[Campaign_Name]],'Campaign Metadata'!A:A,'Campaign Metadata'!C:C)</f>
        <v>45698</v>
      </c>
      <c r="Q210" t="str">
        <f>IF(AND(Posts__2[[#This Row],[Date]]&gt;=Posts__2[[#This Row],[Campaign start date]],Posts__2[[#This Row],[Date]]&lt;=Posts__2[[#This Row],[Campaign end date]]),"During","Before")</f>
        <v>Before</v>
      </c>
    </row>
    <row r="211" spans="1:17" x14ac:dyDescent="0.3">
      <c r="A211" t="s">
        <v>274</v>
      </c>
      <c r="B211" t="s">
        <v>50</v>
      </c>
      <c r="C211" s="14">
        <v>45780</v>
      </c>
      <c r="D211" t="s">
        <v>51</v>
      </c>
      <c r="E211" t="s">
        <v>67</v>
      </c>
      <c r="F211">
        <v>1010</v>
      </c>
      <c r="G211">
        <v>361</v>
      </c>
      <c r="H211">
        <v>240</v>
      </c>
      <c r="I211">
        <v>47229</v>
      </c>
      <c r="J211">
        <v>72573</v>
      </c>
      <c r="K211">
        <v>275</v>
      </c>
      <c r="L211" t="s">
        <v>45</v>
      </c>
      <c r="M211" t="s">
        <v>19</v>
      </c>
      <c r="N211">
        <f>(  Posts__2[[#This Row],[Likes]]+Posts__2[[#This Row],[Comments]]+Posts__2[[#This Row],[Shares]] ) / Posts__2[[#This Row],[Impressions]]</f>
        <v>3.4110398272247981E-2</v>
      </c>
      <c r="O211" s="14">
        <f>_xlfn.XLOOKUP(Posts__2[[#This Row],[Campaign_Name]],'Campaign Metadata'!A:A,'Campaign Metadata'!B:B)</f>
        <v>45667</v>
      </c>
      <c r="P211" s="14">
        <f>_xlfn.XLOOKUP(Posts__2[[#This Row],[Campaign_Name]],'Campaign Metadata'!A:A,'Campaign Metadata'!C:C)</f>
        <v>45698</v>
      </c>
      <c r="Q211" t="str">
        <f>IF(AND(Posts__2[[#This Row],[Date]]&gt;=Posts__2[[#This Row],[Campaign start date]],Posts__2[[#This Row],[Date]]&lt;=Posts__2[[#This Row],[Campaign end date]]),"During","Before")</f>
        <v>Before</v>
      </c>
    </row>
    <row r="212" spans="1:17" x14ac:dyDescent="0.3">
      <c r="A212" t="s">
        <v>275</v>
      </c>
      <c r="B212" t="s">
        <v>50</v>
      </c>
      <c r="C212" s="14">
        <v>45396</v>
      </c>
      <c r="D212" t="s">
        <v>51</v>
      </c>
      <c r="E212" t="s">
        <v>44</v>
      </c>
      <c r="F212">
        <v>1295</v>
      </c>
      <c r="G212">
        <v>153</v>
      </c>
      <c r="H212">
        <v>81</v>
      </c>
      <c r="I212">
        <v>48350</v>
      </c>
      <c r="J212">
        <v>61033</v>
      </c>
      <c r="K212">
        <v>232</v>
      </c>
      <c r="L212" t="s">
        <v>65</v>
      </c>
      <c r="M212" t="s">
        <v>19</v>
      </c>
      <c r="N212">
        <f>(  Posts__2[[#This Row],[Likes]]+Posts__2[[#This Row],[Comments]]+Posts__2[[#This Row],[Shares]] ) / Posts__2[[#This Row],[Impressions]]</f>
        <v>3.1623578076525334E-2</v>
      </c>
      <c r="O212" s="14">
        <f>_xlfn.XLOOKUP(Posts__2[[#This Row],[Campaign_Name]],'Campaign Metadata'!A:A,'Campaign Metadata'!B:B)</f>
        <v>45667</v>
      </c>
      <c r="P212" s="14">
        <f>_xlfn.XLOOKUP(Posts__2[[#This Row],[Campaign_Name]],'Campaign Metadata'!A:A,'Campaign Metadata'!C:C)</f>
        <v>45698</v>
      </c>
      <c r="Q212" t="str">
        <f>IF(AND(Posts__2[[#This Row],[Date]]&gt;=Posts__2[[#This Row],[Campaign start date]],Posts__2[[#This Row],[Date]]&lt;=Posts__2[[#This Row],[Campaign end date]]),"During","Before")</f>
        <v>Before</v>
      </c>
    </row>
    <row r="213" spans="1:17" x14ac:dyDescent="0.3">
      <c r="A213" t="s">
        <v>276</v>
      </c>
      <c r="B213" t="s">
        <v>50</v>
      </c>
      <c r="C213" s="14">
        <v>45827</v>
      </c>
      <c r="D213" t="s">
        <v>51</v>
      </c>
      <c r="E213" t="s">
        <v>61</v>
      </c>
      <c r="F213">
        <v>1433</v>
      </c>
      <c r="G213">
        <v>452</v>
      </c>
      <c r="H213">
        <v>305</v>
      </c>
      <c r="I213">
        <v>54541</v>
      </c>
      <c r="J213">
        <v>63700</v>
      </c>
      <c r="K213">
        <v>296</v>
      </c>
      <c r="L213" t="s">
        <v>65</v>
      </c>
      <c r="M213" t="s">
        <v>19</v>
      </c>
      <c r="N213">
        <f>(  Posts__2[[#This Row],[Likes]]+Posts__2[[#This Row],[Comments]]+Posts__2[[#This Row],[Shares]] ) / Posts__2[[#This Row],[Impressions]]</f>
        <v>4.0153279184466734E-2</v>
      </c>
      <c r="O213" s="14">
        <f>_xlfn.XLOOKUP(Posts__2[[#This Row],[Campaign_Name]],'Campaign Metadata'!A:A,'Campaign Metadata'!B:B)</f>
        <v>45667</v>
      </c>
      <c r="P213" s="14">
        <f>_xlfn.XLOOKUP(Posts__2[[#This Row],[Campaign_Name]],'Campaign Metadata'!A:A,'Campaign Metadata'!C:C)</f>
        <v>45698</v>
      </c>
      <c r="Q213" t="str">
        <f>IF(AND(Posts__2[[#This Row],[Date]]&gt;=Posts__2[[#This Row],[Campaign start date]],Posts__2[[#This Row],[Date]]&lt;=Posts__2[[#This Row],[Campaign end date]]),"During","Before")</f>
        <v>Before</v>
      </c>
    </row>
    <row r="214" spans="1:17" x14ac:dyDescent="0.3">
      <c r="A214" t="s">
        <v>277</v>
      </c>
      <c r="B214" t="s">
        <v>42</v>
      </c>
      <c r="C214" s="14">
        <v>45832</v>
      </c>
      <c r="D214" t="s">
        <v>51</v>
      </c>
      <c r="E214" t="s">
        <v>63</v>
      </c>
      <c r="F214">
        <v>4902</v>
      </c>
      <c r="G214">
        <v>422</v>
      </c>
      <c r="H214">
        <v>376</v>
      </c>
      <c r="I214">
        <v>31674</v>
      </c>
      <c r="J214">
        <v>53225</v>
      </c>
      <c r="K214">
        <v>147</v>
      </c>
      <c r="L214" t="s">
        <v>68</v>
      </c>
      <c r="M214" t="s">
        <v>24</v>
      </c>
      <c r="N214">
        <f>(  Posts__2[[#This Row],[Likes]]+Posts__2[[#This Row],[Comments]]+Posts__2[[#This Row],[Shares]] ) / Posts__2[[#This Row],[Impressions]]</f>
        <v>0.17995832544042431</v>
      </c>
      <c r="O214" s="14">
        <f>_xlfn.XLOOKUP(Posts__2[[#This Row],[Campaign_Name]],'Campaign Metadata'!A:A,'Campaign Metadata'!B:B)</f>
        <v>45627</v>
      </c>
      <c r="P214" s="14">
        <f>_xlfn.XLOOKUP(Posts__2[[#This Row],[Campaign_Name]],'Campaign Metadata'!A:A,'Campaign Metadata'!C:C)</f>
        <v>45657</v>
      </c>
      <c r="Q214" t="str">
        <f>IF(AND(Posts__2[[#This Row],[Date]]&gt;=Posts__2[[#This Row],[Campaign start date]],Posts__2[[#This Row],[Date]]&lt;=Posts__2[[#This Row],[Campaign end date]]),"During","Before")</f>
        <v>Before</v>
      </c>
    </row>
    <row r="215" spans="1:17" x14ac:dyDescent="0.3">
      <c r="A215" t="s">
        <v>278</v>
      </c>
      <c r="B215" t="s">
        <v>50</v>
      </c>
      <c r="C215" s="14">
        <v>45574</v>
      </c>
      <c r="D215" t="s">
        <v>43</v>
      </c>
      <c r="E215" t="s">
        <v>55</v>
      </c>
      <c r="F215">
        <v>2659</v>
      </c>
      <c r="G215">
        <v>167</v>
      </c>
      <c r="H215">
        <v>73</v>
      </c>
      <c r="I215">
        <v>23090</v>
      </c>
      <c r="J215">
        <v>25872</v>
      </c>
      <c r="K215">
        <v>293</v>
      </c>
      <c r="L215" t="s">
        <v>71</v>
      </c>
      <c r="M215" t="s">
        <v>21</v>
      </c>
      <c r="N215">
        <f>(  Posts__2[[#This Row],[Likes]]+Posts__2[[#This Row],[Comments]]+Posts__2[[#This Row],[Shares]] ) / Posts__2[[#This Row],[Impressions]]</f>
        <v>0.12555218709398008</v>
      </c>
      <c r="O215" s="14">
        <f>_xlfn.XLOOKUP(Posts__2[[#This Row],[Campaign_Name]],'Campaign Metadata'!A:A,'Campaign Metadata'!B:B)</f>
        <v>45717</v>
      </c>
      <c r="P215" s="14">
        <f>_xlfn.XLOOKUP(Posts__2[[#This Row],[Campaign_Name]],'Campaign Metadata'!A:A,'Campaign Metadata'!C:C)</f>
        <v>45747</v>
      </c>
      <c r="Q215" t="str">
        <f>IF(AND(Posts__2[[#This Row],[Date]]&gt;=Posts__2[[#This Row],[Campaign start date]],Posts__2[[#This Row],[Date]]&lt;=Posts__2[[#This Row],[Campaign end date]]),"During","Before")</f>
        <v>Before</v>
      </c>
    </row>
    <row r="216" spans="1:17" x14ac:dyDescent="0.3">
      <c r="A216" t="s">
        <v>279</v>
      </c>
      <c r="B216" t="s">
        <v>57</v>
      </c>
      <c r="C216" s="14">
        <v>45672</v>
      </c>
      <c r="D216" t="s">
        <v>43</v>
      </c>
      <c r="E216" t="s">
        <v>77</v>
      </c>
      <c r="F216">
        <v>2599</v>
      </c>
      <c r="G216">
        <v>324</v>
      </c>
      <c r="H216">
        <v>182</v>
      </c>
      <c r="I216">
        <v>37525</v>
      </c>
      <c r="J216">
        <v>37216</v>
      </c>
      <c r="K216">
        <v>186</v>
      </c>
      <c r="L216" t="s">
        <v>59</v>
      </c>
      <c r="M216" t="s">
        <v>21</v>
      </c>
      <c r="N216">
        <f>(  Posts__2[[#This Row],[Likes]]+Posts__2[[#This Row],[Comments]]+Posts__2[[#This Row],[Shares]] ) / Posts__2[[#This Row],[Impressions]]</f>
        <v>8.2744836775483013E-2</v>
      </c>
      <c r="O216" s="14">
        <f>_xlfn.XLOOKUP(Posts__2[[#This Row],[Campaign_Name]],'Campaign Metadata'!A:A,'Campaign Metadata'!B:B)</f>
        <v>45717</v>
      </c>
      <c r="P216" s="14">
        <f>_xlfn.XLOOKUP(Posts__2[[#This Row],[Campaign_Name]],'Campaign Metadata'!A:A,'Campaign Metadata'!C:C)</f>
        <v>45747</v>
      </c>
      <c r="Q216" t="str">
        <f>IF(AND(Posts__2[[#This Row],[Date]]&gt;=Posts__2[[#This Row],[Campaign start date]],Posts__2[[#This Row],[Date]]&lt;=Posts__2[[#This Row],[Campaign end date]]),"During","Before")</f>
        <v>Before</v>
      </c>
    </row>
    <row r="217" spans="1:17" x14ac:dyDescent="0.3">
      <c r="A217" t="s">
        <v>280</v>
      </c>
      <c r="B217" t="s">
        <v>50</v>
      </c>
      <c r="C217" s="14">
        <v>45669</v>
      </c>
      <c r="D217" t="s">
        <v>43</v>
      </c>
      <c r="E217" t="s">
        <v>58</v>
      </c>
      <c r="F217">
        <v>1765</v>
      </c>
      <c r="G217">
        <v>285</v>
      </c>
      <c r="H217">
        <v>100</v>
      </c>
      <c r="I217">
        <v>41313</v>
      </c>
      <c r="J217">
        <v>56575</v>
      </c>
      <c r="K217">
        <v>174</v>
      </c>
      <c r="L217" t="s">
        <v>71</v>
      </c>
      <c r="M217" t="s">
        <v>21</v>
      </c>
      <c r="N217">
        <f>(  Posts__2[[#This Row],[Likes]]+Posts__2[[#This Row],[Comments]]+Posts__2[[#This Row],[Shares]] ) / Posts__2[[#This Row],[Impressions]]</f>
        <v>5.2041730205988429E-2</v>
      </c>
      <c r="O217" s="14">
        <f>_xlfn.XLOOKUP(Posts__2[[#This Row],[Campaign_Name]],'Campaign Metadata'!A:A,'Campaign Metadata'!B:B)</f>
        <v>45717</v>
      </c>
      <c r="P217" s="14">
        <f>_xlfn.XLOOKUP(Posts__2[[#This Row],[Campaign_Name]],'Campaign Metadata'!A:A,'Campaign Metadata'!C:C)</f>
        <v>45747</v>
      </c>
      <c r="Q217" t="str">
        <f>IF(AND(Posts__2[[#This Row],[Date]]&gt;=Posts__2[[#This Row],[Campaign start date]],Posts__2[[#This Row],[Date]]&lt;=Posts__2[[#This Row],[Campaign end date]]),"During","Before")</f>
        <v>Before</v>
      </c>
    </row>
    <row r="218" spans="1:17" x14ac:dyDescent="0.3">
      <c r="A218" t="s">
        <v>281</v>
      </c>
      <c r="B218" t="s">
        <v>42</v>
      </c>
      <c r="C218" s="14">
        <v>45808</v>
      </c>
      <c r="D218" t="s">
        <v>43</v>
      </c>
      <c r="E218" t="s">
        <v>61</v>
      </c>
      <c r="F218">
        <v>2169</v>
      </c>
      <c r="G218">
        <v>240</v>
      </c>
      <c r="H218">
        <v>57</v>
      </c>
      <c r="I218">
        <v>26109</v>
      </c>
      <c r="J218">
        <v>46667</v>
      </c>
      <c r="K218">
        <v>133</v>
      </c>
      <c r="L218" t="s">
        <v>45</v>
      </c>
      <c r="M218" t="s">
        <v>19</v>
      </c>
      <c r="N218">
        <f>(  Posts__2[[#This Row],[Likes]]+Posts__2[[#This Row],[Comments]]+Posts__2[[#This Row],[Shares]] ) / Posts__2[[#This Row],[Impressions]]</f>
        <v>9.4450189589796618E-2</v>
      </c>
      <c r="O218" s="14">
        <f>_xlfn.XLOOKUP(Posts__2[[#This Row],[Campaign_Name]],'Campaign Metadata'!A:A,'Campaign Metadata'!B:B)</f>
        <v>45667</v>
      </c>
      <c r="P218" s="14">
        <f>_xlfn.XLOOKUP(Posts__2[[#This Row],[Campaign_Name]],'Campaign Metadata'!A:A,'Campaign Metadata'!C:C)</f>
        <v>45698</v>
      </c>
      <c r="Q218" t="str">
        <f>IF(AND(Posts__2[[#This Row],[Date]]&gt;=Posts__2[[#This Row],[Campaign start date]],Posts__2[[#This Row],[Date]]&lt;=Posts__2[[#This Row],[Campaign end date]]),"During","Before")</f>
        <v>Before</v>
      </c>
    </row>
    <row r="219" spans="1:17" x14ac:dyDescent="0.3">
      <c r="A219" t="s">
        <v>282</v>
      </c>
      <c r="B219" t="s">
        <v>50</v>
      </c>
      <c r="C219" s="14">
        <v>45579</v>
      </c>
      <c r="D219" t="s">
        <v>51</v>
      </c>
      <c r="E219" t="s">
        <v>47</v>
      </c>
      <c r="F219">
        <v>4303</v>
      </c>
      <c r="G219">
        <v>306</v>
      </c>
      <c r="H219">
        <v>302</v>
      </c>
      <c r="I219">
        <v>39575</v>
      </c>
      <c r="J219">
        <v>33762</v>
      </c>
      <c r="K219">
        <v>265</v>
      </c>
      <c r="L219" t="s">
        <v>65</v>
      </c>
      <c r="M219" t="s">
        <v>19</v>
      </c>
      <c r="N219">
        <f>(  Posts__2[[#This Row],[Likes]]+Posts__2[[#This Row],[Comments]]+Posts__2[[#This Row],[Shares]] ) / Posts__2[[#This Row],[Impressions]]</f>
        <v>0.12409349336702463</v>
      </c>
      <c r="O219" s="14">
        <f>_xlfn.XLOOKUP(Posts__2[[#This Row],[Campaign_Name]],'Campaign Metadata'!A:A,'Campaign Metadata'!B:B)</f>
        <v>45667</v>
      </c>
      <c r="P219" s="14">
        <f>_xlfn.XLOOKUP(Posts__2[[#This Row],[Campaign_Name]],'Campaign Metadata'!A:A,'Campaign Metadata'!C:C)</f>
        <v>45698</v>
      </c>
      <c r="Q219" t="str">
        <f>IF(AND(Posts__2[[#This Row],[Date]]&gt;=Posts__2[[#This Row],[Campaign start date]],Posts__2[[#This Row],[Date]]&lt;=Posts__2[[#This Row],[Campaign end date]]),"During","Before")</f>
        <v>Before</v>
      </c>
    </row>
    <row r="220" spans="1:17" x14ac:dyDescent="0.3">
      <c r="A220" t="s">
        <v>283</v>
      </c>
      <c r="B220" t="s">
        <v>50</v>
      </c>
      <c r="C220" s="14">
        <v>45332</v>
      </c>
      <c r="D220" t="s">
        <v>43</v>
      </c>
      <c r="E220" t="s">
        <v>75</v>
      </c>
      <c r="F220">
        <v>1519</v>
      </c>
      <c r="G220">
        <v>456</v>
      </c>
      <c r="H220">
        <v>379</v>
      </c>
      <c r="I220">
        <v>51611</v>
      </c>
      <c r="J220">
        <v>45880</v>
      </c>
      <c r="K220">
        <v>176</v>
      </c>
      <c r="L220" t="s">
        <v>71</v>
      </c>
      <c r="M220" t="s">
        <v>21</v>
      </c>
      <c r="N220">
        <f>(  Posts__2[[#This Row],[Likes]]+Posts__2[[#This Row],[Comments]]+Posts__2[[#This Row],[Shares]] ) / Posts__2[[#This Row],[Impressions]]</f>
        <v>4.5610431884675749E-2</v>
      </c>
      <c r="O220" s="14">
        <f>_xlfn.XLOOKUP(Posts__2[[#This Row],[Campaign_Name]],'Campaign Metadata'!A:A,'Campaign Metadata'!B:B)</f>
        <v>45717</v>
      </c>
      <c r="P220" s="14">
        <f>_xlfn.XLOOKUP(Posts__2[[#This Row],[Campaign_Name]],'Campaign Metadata'!A:A,'Campaign Metadata'!C:C)</f>
        <v>45747</v>
      </c>
      <c r="Q220" t="str">
        <f>IF(AND(Posts__2[[#This Row],[Date]]&gt;=Posts__2[[#This Row],[Campaign start date]],Posts__2[[#This Row],[Date]]&lt;=Posts__2[[#This Row],[Campaign end date]]),"During","Before")</f>
        <v>Before</v>
      </c>
    </row>
    <row r="221" spans="1:17" x14ac:dyDescent="0.3">
      <c r="A221" t="s">
        <v>284</v>
      </c>
      <c r="B221" t="s">
        <v>57</v>
      </c>
      <c r="C221" s="14">
        <v>45636</v>
      </c>
      <c r="D221" t="s">
        <v>43</v>
      </c>
      <c r="E221" t="s">
        <v>61</v>
      </c>
      <c r="F221">
        <v>2569</v>
      </c>
      <c r="G221">
        <v>140</v>
      </c>
      <c r="H221">
        <v>375</v>
      </c>
      <c r="I221">
        <v>38372</v>
      </c>
      <c r="J221">
        <v>22102</v>
      </c>
      <c r="K221">
        <v>255</v>
      </c>
      <c r="L221" t="s">
        <v>59</v>
      </c>
      <c r="M221" t="s">
        <v>21</v>
      </c>
      <c r="N221">
        <f>(  Posts__2[[#This Row],[Likes]]+Posts__2[[#This Row],[Comments]]+Posts__2[[#This Row],[Shares]] ) / Posts__2[[#This Row],[Impressions]]</f>
        <v>8.0371103929948923E-2</v>
      </c>
      <c r="O221" s="14">
        <f>_xlfn.XLOOKUP(Posts__2[[#This Row],[Campaign_Name]],'Campaign Metadata'!A:A,'Campaign Metadata'!B:B)</f>
        <v>45717</v>
      </c>
      <c r="P221" s="14">
        <f>_xlfn.XLOOKUP(Posts__2[[#This Row],[Campaign_Name]],'Campaign Metadata'!A:A,'Campaign Metadata'!C:C)</f>
        <v>45747</v>
      </c>
      <c r="Q221" t="str">
        <f>IF(AND(Posts__2[[#This Row],[Date]]&gt;=Posts__2[[#This Row],[Campaign start date]],Posts__2[[#This Row],[Date]]&lt;=Posts__2[[#This Row],[Campaign end date]]),"During","Before")</f>
        <v>Before</v>
      </c>
    </row>
    <row r="222" spans="1:17" x14ac:dyDescent="0.3">
      <c r="A222" t="s">
        <v>285</v>
      </c>
      <c r="B222" t="s">
        <v>50</v>
      </c>
      <c r="C222" s="14">
        <v>45786</v>
      </c>
      <c r="D222" t="s">
        <v>51</v>
      </c>
      <c r="E222" t="s">
        <v>58</v>
      </c>
      <c r="F222">
        <v>2778</v>
      </c>
      <c r="G222">
        <v>241</v>
      </c>
      <c r="H222">
        <v>317</v>
      </c>
      <c r="I222">
        <v>26247</v>
      </c>
      <c r="J222">
        <v>20677</v>
      </c>
      <c r="K222">
        <v>282</v>
      </c>
      <c r="L222" t="s">
        <v>53</v>
      </c>
      <c r="M222" t="s">
        <v>19</v>
      </c>
      <c r="N222">
        <f>(  Posts__2[[#This Row],[Likes]]+Posts__2[[#This Row],[Comments]]+Posts__2[[#This Row],[Shares]] ) / Posts__2[[#This Row],[Impressions]]</f>
        <v>0.1271002400274317</v>
      </c>
      <c r="O222" s="14">
        <f>_xlfn.XLOOKUP(Posts__2[[#This Row],[Campaign_Name]],'Campaign Metadata'!A:A,'Campaign Metadata'!B:B)</f>
        <v>45667</v>
      </c>
      <c r="P222" s="14">
        <f>_xlfn.XLOOKUP(Posts__2[[#This Row],[Campaign_Name]],'Campaign Metadata'!A:A,'Campaign Metadata'!C:C)</f>
        <v>45698</v>
      </c>
      <c r="Q222" t="str">
        <f>IF(AND(Posts__2[[#This Row],[Date]]&gt;=Posts__2[[#This Row],[Campaign start date]],Posts__2[[#This Row],[Date]]&lt;=Posts__2[[#This Row],[Campaign end date]]),"During","Before")</f>
        <v>Before</v>
      </c>
    </row>
    <row r="223" spans="1:17" x14ac:dyDescent="0.3">
      <c r="A223" t="s">
        <v>286</v>
      </c>
      <c r="B223" t="s">
        <v>50</v>
      </c>
      <c r="C223" s="14">
        <v>45829</v>
      </c>
      <c r="D223" t="s">
        <v>43</v>
      </c>
      <c r="E223" t="s">
        <v>47</v>
      </c>
      <c r="F223">
        <v>3611</v>
      </c>
      <c r="G223">
        <v>127</v>
      </c>
      <c r="H223">
        <v>139</v>
      </c>
      <c r="I223">
        <v>44768</v>
      </c>
      <c r="J223">
        <v>29435</v>
      </c>
      <c r="K223">
        <v>178</v>
      </c>
      <c r="L223" t="s">
        <v>68</v>
      </c>
      <c r="M223" t="s">
        <v>19</v>
      </c>
      <c r="N223">
        <f>(  Posts__2[[#This Row],[Likes]]+Posts__2[[#This Row],[Comments]]+Posts__2[[#This Row],[Shares]] ) / Posts__2[[#This Row],[Impressions]]</f>
        <v>8.6602037169406718E-2</v>
      </c>
      <c r="O223" s="14">
        <f>_xlfn.XLOOKUP(Posts__2[[#This Row],[Campaign_Name]],'Campaign Metadata'!A:A,'Campaign Metadata'!B:B)</f>
        <v>45667</v>
      </c>
      <c r="P223" s="14">
        <f>_xlfn.XLOOKUP(Posts__2[[#This Row],[Campaign_Name]],'Campaign Metadata'!A:A,'Campaign Metadata'!C:C)</f>
        <v>45698</v>
      </c>
      <c r="Q223" t="str">
        <f>IF(AND(Posts__2[[#This Row],[Date]]&gt;=Posts__2[[#This Row],[Campaign start date]],Posts__2[[#This Row],[Date]]&lt;=Posts__2[[#This Row],[Campaign end date]]),"During","Before")</f>
        <v>Before</v>
      </c>
    </row>
    <row r="224" spans="1:17" x14ac:dyDescent="0.3">
      <c r="A224" t="s">
        <v>287</v>
      </c>
      <c r="B224" t="s">
        <v>50</v>
      </c>
      <c r="C224" s="14">
        <v>45462</v>
      </c>
      <c r="D224" t="s">
        <v>43</v>
      </c>
      <c r="E224" t="s">
        <v>61</v>
      </c>
      <c r="F224">
        <v>1224</v>
      </c>
      <c r="G224">
        <v>168</v>
      </c>
      <c r="H224">
        <v>199</v>
      </c>
      <c r="I224">
        <v>54232</v>
      </c>
      <c r="J224">
        <v>52844</v>
      </c>
      <c r="K224">
        <v>271</v>
      </c>
      <c r="L224" t="s">
        <v>71</v>
      </c>
      <c r="M224" t="s">
        <v>21</v>
      </c>
      <c r="N224">
        <f>(  Posts__2[[#This Row],[Likes]]+Posts__2[[#This Row],[Comments]]+Posts__2[[#This Row],[Shares]] ) / Posts__2[[#This Row],[Impressions]]</f>
        <v>2.9336922849977874E-2</v>
      </c>
      <c r="O224" s="14">
        <f>_xlfn.XLOOKUP(Posts__2[[#This Row],[Campaign_Name]],'Campaign Metadata'!A:A,'Campaign Metadata'!B:B)</f>
        <v>45717</v>
      </c>
      <c r="P224" s="14">
        <f>_xlfn.XLOOKUP(Posts__2[[#This Row],[Campaign_Name]],'Campaign Metadata'!A:A,'Campaign Metadata'!C:C)</f>
        <v>45747</v>
      </c>
      <c r="Q224" t="str">
        <f>IF(AND(Posts__2[[#This Row],[Date]]&gt;=Posts__2[[#This Row],[Campaign start date]],Posts__2[[#This Row],[Date]]&lt;=Posts__2[[#This Row],[Campaign end date]]),"During","Before")</f>
        <v>Before</v>
      </c>
    </row>
    <row r="225" spans="1:17" x14ac:dyDescent="0.3">
      <c r="A225" t="s">
        <v>288</v>
      </c>
      <c r="B225" t="s">
        <v>50</v>
      </c>
      <c r="C225" s="14">
        <v>45636</v>
      </c>
      <c r="D225" t="s">
        <v>43</v>
      </c>
      <c r="E225" t="s">
        <v>75</v>
      </c>
      <c r="F225">
        <v>4673</v>
      </c>
      <c r="G225">
        <v>270</v>
      </c>
      <c r="H225">
        <v>93</v>
      </c>
      <c r="I225">
        <v>45260</v>
      </c>
      <c r="J225">
        <v>57513</v>
      </c>
      <c r="K225">
        <v>103</v>
      </c>
      <c r="L225" t="s">
        <v>68</v>
      </c>
      <c r="M225" t="s">
        <v>19</v>
      </c>
      <c r="N225">
        <f>(  Posts__2[[#This Row],[Likes]]+Posts__2[[#This Row],[Comments]]+Posts__2[[#This Row],[Shares]] ) / Posts__2[[#This Row],[Impressions]]</f>
        <v>0.11126822801590809</v>
      </c>
      <c r="O225" s="14">
        <f>_xlfn.XLOOKUP(Posts__2[[#This Row],[Campaign_Name]],'Campaign Metadata'!A:A,'Campaign Metadata'!B:B)</f>
        <v>45667</v>
      </c>
      <c r="P225" s="14">
        <f>_xlfn.XLOOKUP(Posts__2[[#This Row],[Campaign_Name]],'Campaign Metadata'!A:A,'Campaign Metadata'!C:C)</f>
        <v>45698</v>
      </c>
      <c r="Q225" t="str">
        <f>IF(AND(Posts__2[[#This Row],[Date]]&gt;=Posts__2[[#This Row],[Campaign start date]],Posts__2[[#This Row],[Date]]&lt;=Posts__2[[#This Row],[Campaign end date]]),"During","Before")</f>
        <v>Before</v>
      </c>
    </row>
    <row r="226" spans="1:17" x14ac:dyDescent="0.3">
      <c r="A226" t="s">
        <v>289</v>
      </c>
      <c r="B226" t="s">
        <v>57</v>
      </c>
      <c r="C226" s="14">
        <v>45323</v>
      </c>
      <c r="D226" t="s">
        <v>43</v>
      </c>
      <c r="E226" t="s">
        <v>55</v>
      </c>
      <c r="F226">
        <v>1432</v>
      </c>
      <c r="G226">
        <v>437</v>
      </c>
      <c r="H226">
        <v>267</v>
      </c>
      <c r="I226">
        <v>40634</v>
      </c>
      <c r="J226">
        <v>54511</v>
      </c>
      <c r="K226">
        <v>197</v>
      </c>
      <c r="L226" t="s">
        <v>59</v>
      </c>
      <c r="M226" t="s">
        <v>21</v>
      </c>
      <c r="N226">
        <f>(  Posts__2[[#This Row],[Likes]]+Posts__2[[#This Row],[Comments]]+Posts__2[[#This Row],[Shares]] ) / Posts__2[[#This Row],[Impressions]]</f>
        <v>5.2566815966924252E-2</v>
      </c>
      <c r="O226" s="14">
        <f>_xlfn.XLOOKUP(Posts__2[[#This Row],[Campaign_Name]],'Campaign Metadata'!A:A,'Campaign Metadata'!B:B)</f>
        <v>45717</v>
      </c>
      <c r="P226" s="14">
        <f>_xlfn.XLOOKUP(Posts__2[[#This Row],[Campaign_Name]],'Campaign Metadata'!A:A,'Campaign Metadata'!C:C)</f>
        <v>45747</v>
      </c>
      <c r="Q226" t="str">
        <f>IF(AND(Posts__2[[#This Row],[Date]]&gt;=Posts__2[[#This Row],[Campaign start date]],Posts__2[[#This Row],[Date]]&lt;=Posts__2[[#This Row],[Campaign end date]]),"During","Before")</f>
        <v>Before</v>
      </c>
    </row>
    <row r="227" spans="1:17" x14ac:dyDescent="0.3">
      <c r="A227" t="s">
        <v>290</v>
      </c>
      <c r="B227" t="s">
        <v>50</v>
      </c>
      <c r="C227" s="14">
        <v>45308</v>
      </c>
      <c r="D227" t="s">
        <v>51</v>
      </c>
      <c r="E227" t="s">
        <v>52</v>
      </c>
      <c r="F227">
        <v>2174</v>
      </c>
      <c r="G227">
        <v>499</v>
      </c>
      <c r="H227">
        <v>212</v>
      </c>
      <c r="I227">
        <v>54938</v>
      </c>
      <c r="J227">
        <v>27190</v>
      </c>
      <c r="K227">
        <v>265</v>
      </c>
      <c r="L227" t="s">
        <v>53</v>
      </c>
      <c r="M227" t="s">
        <v>19</v>
      </c>
      <c r="N227">
        <f>(  Posts__2[[#This Row],[Likes]]+Posts__2[[#This Row],[Comments]]+Posts__2[[#This Row],[Shares]] ) / Posts__2[[#This Row],[Impressions]]</f>
        <v>5.2513742764570971E-2</v>
      </c>
      <c r="O227" s="14">
        <f>_xlfn.XLOOKUP(Posts__2[[#This Row],[Campaign_Name]],'Campaign Metadata'!A:A,'Campaign Metadata'!B:B)</f>
        <v>45667</v>
      </c>
      <c r="P227" s="14">
        <f>_xlfn.XLOOKUP(Posts__2[[#This Row],[Campaign_Name]],'Campaign Metadata'!A:A,'Campaign Metadata'!C:C)</f>
        <v>45698</v>
      </c>
      <c r="Q227" t="str">
        <f>IF(AND(Posts__2[[#This Row],[Date]]&gt;=Posts__2[[#This Row],[Campaign start date]],Posts__2[[#This Row],[Date]]&lt;=Posts__2[[#This Row],[Campaign end date]]),"During","Before")</f>
        <v>Before</v>
      </c>
    </row>
    <row r="228" spans="1:17" x14ac:dyDescent="0.3">
      <c r="A228" t="s">
        <v>291</v>
      </c>
      <c r="B228" t="s">
        <v>57</v>
      </c>
      <c r="C228" s="14">
        <v>45738</v>
      </c>
      <c r="D228" t="s">
        <v>43</v>
      </c>
      <c r="E228" t="s">
        <v>58</v>
      </c>
      <c r="F228">
        <v>4308</v>
      </c>
      <c r="G228">
        <v>171</v>
      </c>
      <c r="H228">
        <v>106</v>
      </c>
      <c r="I228">
        <v>36955</v>
      </c>
      <c r="J228">
        <v>23949</v>
      </c>
      <c r="K228">
        <v>294</v>
      </c>
      <c r="L228" t="s">
        <v>59</v>
      </c>
      <c r="M228" t="s">
        <v>21</v>
      </c>
      <c r="N228">
        <f>(  Posts__2[[#This Row],[Likes]]+Posts__2[[#This Row],[Comments]]+Posts__2[[#This Row],[Shares]] ) / Posts__2[[#This Row],[Impressions]]</f>
        <v>0.12406981463942633</v>
      </c>
      <c r="O228" s="14">
        <f>_xlfn.XLOOKUP(Posts__2[[#This Row],[Campaign_Name]],'Campaign Metadata'!A:A,'Campaign Metadata'!B:B)</f>
        <v>45717</v>
      </c>
      <c r="P228" s="14">
        <f>_xlfn.XLOOKUP(Posts__2[[#This Row],[Campaign_Name]],'Campaign Metadata'!A:A,'Campaign Metadata'!C:C)</f>
        <v>45747</v>
      </c>
      <c r="Q228" t="str">
        <f>IF(AND(Posts__2[[#This Row],[Date]]&gt;=Posts__2[[#This Row],[Campaign start date]],Posts__2[[#This Row],[Date]]&lt;=Posts__2[[#This Row],[Campaign end date]]),"During","Before")</f>
        <v>During</v>
      </c>
    </row>
    <row r="229" spans="1:17" x14ac:dyDescent="0.3">
      <c r="A229" t="s">
        <v>292</v>
      </c>
      <c r="B229" t="s">
        <v>57</v>
      </c>
      <c r="C229" s="14">
        <v>45442</v>
      </c>
      <c r="D229" t="s">
        <v>82</v>
      </c>
      <c r="E229" t="s">
        <v>61</v>
      </c>
      <c r="F229">
        <v>1060</v>
      </c>
      <c r="G229">
        <v>442</v>
      </c>
      <c r="H229">
        <v>319</v>
      </c>
      <c r="I229">
        <v>57194</v>
      </c>
      <c r="J229">
        <v>24258</v>
      </c>
      <c r="K229">
        <v>101</v>
      </c>
      <c r="L229" t="s">
        <v>83</v>
      </c>
      <c r="M229" t="s">
        <v>20</v>
      </c>
      <c r="N229">
        <f>(  Posts__2[[#This Row],[Likes]]+Posts__2[[#This Row],[Comments]]+Posts__2[[#This Row],[Shares]] ) / Posts__2[[#This Row],[Impressions]]</f>
        <v>3.1839004091338254E-2</v>
      </c>
      <c r="O229" s="14">
        <f>_xlfn.XLOOKUP(Posts__2[[#This Row],[Campaign_Name]],'Campaign Metadata'!A:A,'Campaign Metadata'!B:B)</f>
        <v>45458</v>
      </c>
      <c r="P229" s="14">
        <f>_xlfn.XLOOKUP(Posts__2[[#This Row],[Campaign_Name]],'Campaign Metadata'!A:A,'Campaign Metadata'!C:C)</f>
        <v>45488</v>
      </c>
      <c r="Q229" t="str">
        <f>IF(AND(Posts__2[[#This Row],[Date]]&gt;=Posts__2[[#This Row],[Campaign start date]],Posts__2[[#This Row],[Date]]&lt;=Posts__2[[#This Row],[Campaign end date]]),"During","Before")</f>
        <v>Before</v>
      </c>
    </row>
    <row r="230" spans="1:17" x14ac:dyDescent="0.3">
      <c r="A230" t="s">
        <v>293</v>
      </c>
      <c r="B230" t="s">
        <v>57</v>
      </c>
      <c r="C230" s="14">
        <v>45346</v>
      </c>
      <c r="D230" t="s">
        <v>43</v>
      </c>
      <c r="E230" t="s">
        <v>58</v>
      </c>
      <c r="F230">
        <v>4653</v>
      </c>
      <c r="G230">
        <v>226</v>
      </c>
      <c r="H230">
        <v>349</v>
      </c>
      <c r="I230">
        <v>56876</v>
      </c>
      <c r="J230">
        <v>28452</v>
      </c>
      <c r="K230">
        <v>257</v>
      </c>
      <c r="L230" t="s">
        <v>59</v>
      </c>
      <c r="M230" t="s">
        <v>21</v>
      </c>
      <c r="N230">
        <f>(  Posts__2[[#This Row],[Likes]]+Posts__2[[#This Row],[Comments]]+Posts__2[[#This Row],[Shares]] ) / Posts__2[[#This Row],[Impressions]]</f>
        <v>9.191926295801392E-2</v>
      </c>
      <c r="O230" s="14">
        <f>_xlfn.XLOOKUP(Posts__2[[#This Row],[Campaign_Name]],'Campaign Metadata'!A:A,'Campaign Metadata'!B:B)</f>
        <v>45717</v>
      </c>
      <c r="P230" s="14">
        <f>_xlfn.XLOOKUP(Posts__2[[#This Row],[Campaign_Name]],'Campaign Metadata'!A:A,'Campaign Metadata'!C:C)</f>
        <v>45747</v>
      </c>
      <c r="Q230" t="str">
        <f>IF(AND(Posts__2[[#This Row],[Date]]&gt;=Posts__2[[#This Row],[Campaign start date]],Posts__2[[#This Row],[Date]]&lt;=Posts__2[[#This Row],[Campaign end date]]),"During","Before")</f>
        <v>Before</v>
      </c>
    </row>
    <row r="231" spans="1:17" x14ac:dyDescent="0.3">
      <c r="A231" t="s">
        <v>294</v>
      </c>
      <c r="B231" t="s">
        <v>57</v>
      </c>
      <c r="C231" s="14">
        <v>45791</v>
      </c>
      <c r="D231" t="s">
        <v>43</v>
      </c>
      <c r="E231" t="s">
        <v>44</v>
      </c>
      <c r="F231">
        <v>1701</v>
      </c>
      <c r="G231">
        <v>272</v>
      </c>
      <c r="H231">
        <v>385</v>
      </c>
      <c r="I231">
        <v>47496</v>
      </c>
      <c r="J231">
        <v>40832</v>
      </c>
      <c r="K231">
        <v>246</v>
      </c>
      <c r="L231" t="s">
        <v>59</v>
      </c>
      <c r="M231" t="s">
        <v>21</v>
      </c>
      <c r="N231">
        <f>(  Posts__2[[#This Row],[Likes]]+Posts__2[[#This Row],[Comments]]+Posts__2[[#This Row],[Shares]] ) / Posts__2[[#This Row],[Impressions]]</f>
        <v>4.9646286003031836E-2</v>
      </c>
      <c r="O231" s="14">
        <f>_xlfn.XLOOKUP(Posts__2[[#This Row],[Campaign_Name]],'Campaign Metadata'!A:A,'Campaign Metadata'!B:B)</f>
        <v>45717</v>
      </c>
      <c r="P231" s="14">
        <f>_xlfn.XLOOKUP(Posts__2[[#This Row],[Campaign_Name]],'Campaign Metadata'!A:A,'Campaign Metadata'!C:C)</f>
        <v>45747</v>
      </c>
      <c r="Q231" t="str">
        <f>IF(AND(Posts__2[[#This Row],[Date]]&gt;=Posts__2[[#This Row],[Campaign start date]],Posts__2[[#This Row],[Date]]&lt;=Posts__2[[#This Row],[Campaign end date]]),"During","Before")</f>
        <v>Before</v>
      </c>
    </row>
    <row r="232" spans="1:17" x14ac:dyDescent="0.3">
      <c r="A232" t="s">
        <v>295</v>
      </c>
      <c r="B232" t="s">
        <v>42</v>
      </c>
      <c r="C232" s="14">
        <v>45379</v>
      </c>
      <c r="D232" t="s">
        <v>43</v>
      </c>
      <c r="E232" t="s">
        <v>61</v>
      </c>
      <c r="F232">
        <v>1673</v>
      </c>
      <c r="G232">
        <v>280</v>
      </c>
      <c r="H232">
        <v>67</v>
      </c>
      <c r="I232">
        <v>29847</v>
      </c>
      <c r="J232">
        <v>48016</v>
      </c>
      <c r="K232">
        <v>213</v>
      </c>
      <c r="L232" t="s">
        <v>45</v>
      </c>
      <c r="M232" t="s">
        <v>19</v>
      </c>
      <c r="N232">
        <f>(  Posts__2[[#This Row],[Likes]]+Posts__2[[#This Row],[Comments]]+Posts__2[[#This Row],[Shares]] ) / Posts__2[[#This Row],[Impressions]]</f>
        <v>6.76784936509532E-2</v>
      </c>
      <c r="O232" s="14">
        <f>_xlfn.XLOOKUP(Posts__2[[#This Row],[Campaign_Name]],'Campaign Metadata'!A:A,'Campaign Metadata'!B:B)</f>
        <v>45667</v>
      </c>
      <c r="P232" s="14">
        <f>_xlfn.XLOOKUP(Posts__2[[#This Row],[Campaign_Name]],'Campaign Metadata'!A:A,'Campaign Metadata'!C:C)</f>
        <v>45698</v>
      </c>
      <c r="Q232" t="str">
        <f>IF(AND(Posts__2[[#This Row],[Date]]&gt;=Posts__2[[#This Row],[Campaign start date]],Posts__2[[#This Row],[Date]]&lt;=Posts__2[[#This Row],[Campaign end date]]),"During","Before")</f>
        <v>Before</v>
      </c>
    </row>
    <row r="233" spans="1:17" x14ac:dyDescent="0.3">
      <c r="A233" t="s">
        <v>296</v>
      </c>
      <c r="B233" t="s">
        <v>57</v>
      </c>
      <c r="C233" s="14">
        <v>45723</v>
      </c>
      <c r="D233" t="s">
        <v>43</v>
      </c>
      <c r="E233" t="s">
        <v>67</v>
      </c>
      <c r="F233">
        <v>4310</v>
      </c>
      <c r="G233">
        <v>284</v>
      </c>
      <c r="H233">
        <v>306</v>
      </c>
      <c r="I233">
        <v>44606</v>
      </c>
      <c r="J233">
        <v>42604</v>
      </c>
      <c r="K233">
        <v>290</v>
      </c>
      <c r="L233" t="s">
        <v>59</v>
      </c>
      <c r="M233" t="s">
        <v>21</v>
      </c>
      <c r="N233">
        <f>(  Posts__2[[#This Row],[Likes]]+Posts__2[[#This Row],[Comments]]+Posts__2[[#This Row],[Shares]] ) / Posts__2[[#This Row],[Impressions]]</f>
        <v>0.10985069273191947</v>
      </c>
      <c r="O233" s="14">
        <f>_xlfn.XLOOKUP(Posts__2[[#This Row],[Campaign_Name]],'Campaign Metadata'!A:A,'Campaign Metadata'!B:B)</f>
        <v>45717</v>
      </c>
      <c r="P233" s="14">
        <f>_xlfn.XLOOKUP(Posts__2[[#This Row],[Campaign_Name]],'Campaign Metadata'!A:A,'Campaign Metadata'!C:C)</f>
        <v>45747</v>
      </c>
      <c r="Q233" t="str">
        <f>IF(AND(Posts__2[[#This Row],[Date]]&gt;=Posts__2[[#This Row],[Campaign start date]],Posts__2[[#This Row],[Date]]&lt;=Posts__2[[#This Row],[Campaign end date]]),"During","Before")</f>
        <v>During</v>
      </c>
    </row>
    <row r="234" spans="1:17" x14ac:dyDescent="0.3">
      <c r="A234" t="s">
        <v>297</v>
      </c>
      <c r="B234" t="s">
        <v>50</v>
      </c>
      <c r="C234" s="14">
        <v>45585</v>
      </c>
      <c r="D234" t="s">
        <v>43</v>
      </c>
      <c r="E234" t="s">
        <v>75</v>
      </c>
      <c r="F234">
        <v>2752</v>
      </c>
      <c r="G234">
        <v>309</v>
      </c>
      <c r="H234">
        <v>91</v>
      </c>
      <c r="I234">
        <v>39038</v>
      </c>
      <c r="J234">
        <v>28095</v>
      </c>
      <c r="K234">
        <v>277</v>
      </c>
      <c r="L234" t="s">
        <v>68</v>
      </c>
      <c r="M234" t="s">
        <v>19</v>
      </c>
      <c r="N234">
        <f>(  Posts__2[[#This Row],[Likes]]+Posts__2[[#This Row],[Comments]]+Posts__2[[#This Row],[Shares]] ) / Posts__2[[#This Row],[Impressions]]</f>
        <v>8.0741841282852611E-2</v>
      </c>
      <c r="O234" s="14">
        <f>_xlfn.XLOOKUP(Posts__2[[#This Row],[Campaign_Name]],'Campaign Metadata'!A:A,'Campaign Metadata'!B:B)</f>
        <v>45667</v>
      </c>
      <c r="P234" s="14">
        <f>_xlfn.XLOOKUP(Posts__2[[#This Row],[Campaign_Name]],'Campaign Metadata'!A:A,'Campaign Metadata'!C:C)</f>
        <v>45698</v>
      </c>
      <c r="Q234" t="str">
        <f>IF(AND(Posts__2[[#This Row],[Date]]&gt;=Posts__2[[#This Row],[Campaign start date]],Posts__2[[#This Row],[Date]]&lt;=Posts__2[[#This Row],[Campaign end date]]),"During","Before")</f>
        <v>Before</v>
      </c>
    </row>
    <row r="235" spans="1:17" x14ac:dyDescent="0.3">
      <c r="A235" t="s">
        <v>298</v>
      </c>
      <c r="B235" t="s">
        <v>50</v>
      </c>
      <c r="C235" s="14">
        <v>45324</v>
      </c>
      <c r="D235" t="s">
        <v>43</v>
      </c>
      <c r="E235" t="s">
        <v>75</v>
      </c>
      <c r="F235">
        <v>3818</v>
      </c>
      <c r="G235">
        <v>115</v>
      </c>
      <c r="H235">
        <v>286</v>
      </c>
      <c r="I235">
        <v>25127</v>
      </c>
      <c r="J235">
        <v>22277</v>
      </c>
      <c r="K235">
        <v>263</v>
      </c>
      <c r="L235" t="s">
        <v>68</v>
      </c>
      <c r="M235" t="s">
        <v>19</v>
      </c>
      <c r="N235">
        <f>(  Posts__2[[#This Row],[Likes]]+Posts__2[[#This Row],[Comments]]+Posts__2[[#This Row],[Shares]] ) / Posts__2[[#This Row],[Impressions]]</f>
        <v>0.16790703227603773</v>
      </c>
      <c r="O235" s="14">
        <f>_xlfn.XLOOKUP(Posts__2[[#This Row],[Campaign_Name]],'Campaign Metadata'!A:A,'Campaign Metadata'!B:B)</f>
        <v>45667</v>
      </c>
      <c r="P235" s="14">
        <f>_xlfn.XLOOKUP(Posts__2[[#This Row],[Campaign_Name]],'Campaign Metadata'!A:A,'Campaign Metadata'!C:C)</f>
        <v>45698</v>
      </c>
      <c r="Q235" t="str">
        <f>IF(AND(Posts__2[[#This Row],[Date]]&gt;=Posts__2[[#This Row],[Campaign start date]],Posts__2[[#This Row],[Date]]&lt;=Posts__2[[#This Row],[Campaign end date]]),"During","Before")</f>
        <v>Before</v>
      </c>
    </row>
    <row r="236" spans="1:17" x14ac:dyDescent="0.3">
      <c r="A236" t="s">
        <v>299</v>
      </c>
      <c r="B236" t="s">
        <v>57</v>
      </c>
      <c r="C236" s="14">
        <v>45542</v>
      </c>
      <c r="D236" t="s">
        <v>43</v>
      </c>
      <c r="E236" t="s">
        <v>77</v>
      </c>
      <c r="F236">
        <v>2101</v>
      </c>
      <c r="G236">
        <v>411</v>
      </c>
      <c r="H236">
        <v>190</v>
      </c>
      <c r="I236">
        <v>41791</v>
      </c>
      <c r="J236">
        <v>57090</v>
      </c>
      <c r="K236">
        <v>172</v>
      </c>
      <c r="L236" t="s">
        <v>59</v>
      </c>
      <c r="M236" t="s">
        <v>21</v>
      </c>
      <c r="N236">
        <f>(  Posts__2[[#This Row],[Likes]]+Posts__2[[#This Row],[Comments]]+Posts__2[[#This Row],[Shares]] ) / Posts__2[[#This Row],[Impressions]]</f>
        <v>6.4655069273288512E-2</v>
      </c>
      <c r="O236" s="14">
        <f>_xlfn.XLOOKUP(Posts__2[[#This Row],[Campaign_Name]],'Campaign Metadata'!A:A,'Campaign Metadata'!B:B)</f>
        <v>45717</v>
      </c>
      <c r="P236" s="14">
        <f>_xlfn.XLOOKUP(Posts__2[[#This Row],[Campaign_Name]],'Campaign Metadata'!A:A,'Campaign Metadata'!C:C)</f>
        <v>45747</v>
      </c>
      <c r="Q236" t="str">
        <f>IF(AND(Posts__2[[#This Row],[Date]]&gt;=Posts__2[[#This Row],[Campaign start date]],Posts__2[[#This Row],[Date]]&lt;=Posts__2[[#This Row],[Campaign end date]]),"During","Before")</f>
        <v>Before</v>
      </c>
    </row>
    <row r="237" spans="1:17" x14ac:dyDescent="0.3">
      <c r="A237" t="s">
        <v>300</v>
      </c>
      <c r="B237" t="s">
        <v>42</v>
      </c>
      <c r="C237" s="14">
        <v>45646</v>
      </c>
      <c r="D237" t="s">
        <v>43</v>
      </c>
      <c r="E237" t="s">
        <v>44</v>
      </c>
      <c r="F237">
        <v>2519</v>
      </c>
      <c r="G237">
        <v>202</v>
      </c>
      <c r="H237">
        <v>239</v>
      </c>
      <c r="I237">
        <v>36245</v>
      </c>
      <c r="J237">
        <v>48606</v>
      </c>
      <c r="K237">
        <v>145</v>
      </c>
      <c r="L237" t="s">
        <v>48</v>
      </c>
      <c r="M237" t="s">
        <v>21</v>
      </c>
      <c r="N237">
        <f>(  Posts__2[[#This Row],[Likes]]+Posts__2[[#This Row],[Comments]]+Posts__2[[#This Row],[Shares]] ) / Posts__2[[#This Row],[Impressions]]</f>
        <v>8.1666436749896543E-2</v>
      </c>
      <c r="O237" s="14">
        <f>_xlfn.XLOOKUP(Posts__2[[#This Row],[Campaign_Name]],'Campaign Metadata'!A:A,'Campaign Metadata'!B:B)</f>
        <v>45717</v>
      </c>
      <c r="P237" s="14">
        <f>_xlfn.XLOOKUP(Posts__2[[#This Row],[Campaign_Name]],'Campaign Metadata'!A:A,'Campaign Metadata'!C:C)</f>
        <v>45747</v>
      </c>
      <c r="Q237" t="str">
        <f>IF(AND(Posts__2[[#This Row],[Date]]&gt;=Posts__2[[#This Row],[Campaign start date]],Posts__2[[#This Row],[Date]]&lt;=Posts__2[[#This Row],[Campaign end date]]),"During","Before")</f>
        <v>Before</v>
      </c>
    </row>
    <row r="238" spans="1:17" x14ac:dyDescent="0.3">
      <c r="A238" t="s">
        <v>301</v>
      </c>
      <c r="B238" t="s">
        <v>57</v>
      </c>
      <c r="C238" s="14">
        <v>45305</v>
      </c>
      <c r="D238" t="s">
        <v>43</v>
      </c>
      <c r="E238" t="s">
        <v>61</v>
      </c>
      <c r="F238">
        <v>4502</v>
      </c>
      <c r="G238">
        <v>238</v>
      </c>
      <c r="H238">
        <v>386</v>
      </c>
      <c r="I238">
        <v>39198</v>
      </c>
      <c r="J238">
        <v>25050</v>
      </c>
      <c r="K238">
        <v>297</v>
      </c>
      <c r="L238" t="s">
        <v>59</v>
      </c>
      <c r="M238" t="s">
        <v>21</v>
      </c>
      <c r="N238">
        <f>(  Posts__2[[#This Row],[Likes]]+Posts__2[[#This Row],[Comments]]+Posts__2[[#This Row],[Shares]] ) / Posts__2[[#This Row],[Impressions]]</f>
        <v>0.13077197816215114</v>
      </c>
      <c r="O238" s="14">
        <f>_xlfn.XLOOKUP(Posts__2[[#This Row],[Campaign_Name]],'Campaign Metadata'!A:A,'Campaign Metadata'!B:B)</f>
        <v>45717</v>
      </c>
      <c r="P238" s="14">
        <f>_xlfn.XLOOKUP(Posts__2[[#This Row],[Campaign_Name]],'Campaign Metadata'!A:A,'Campaign Metadata'!C:C)</f>
        <v>45747</v>
      </c>
      <c r="Q238" t="str">
        <f>IF(AND(Posts__2[[#This Row],[Date]]&gt;=Posts__2[[#This Row],[Campaign start date]],Posts__2[[#This Row],[Date]]&lt;=Posts__2[[#This Row],[Campaign end date]]),"During","Before")</f>
        <v>Before</v>
      </c>
    </row>
    <row r="239" spans="1:17" x14ac:dyDescent="0.3">
      <c r="A239" t="s">
        <v>302</v>
      </c>
      <c r="B239" t="s">
        <v>42</v>
      </c>
      <c r="C239" s="14">
        <v>45823</v>
      </c>
      <c r="D239" t="s">
        <v>43</v>
      </c>
      <c r="E239" t="s">
        <v>47</v>
      </c>
      <c r="F239">
        <v>2478</v>
      </c>
      <c r="G239">
        <v>427</v>
      </c>
      <c r="H239">
        <v>242</v>
      </c>
      <c r="I239">
        <v>59272</v>
      </c>
      <c r="J239">
        <v>37833</v>
      </c>
      <c r="K239">
        <v>214</v>
      </c>
      <c r="L239" t="s">
        <v>45</v>
      </c>
      <c r="M239" t="s">
        <v>19</v>
      </c>
      <c r="N239">
        <f>(  Posts__2[[#This Row],[Likes]]+Posts__2[[#This Row],[Comments]]+Posts__2[[#This Row],[Shares]] ) / Posts__2[[#This Row],[Impressions]]</f>
        <v>5.3094209744904843E-2</v>
      </c>
      <c r="O239" s="14">
        <f>_xlfn.XLOOKUP(Posts__2[[#This Row],[Campaign_Name]],'Campaign Metadata'!A:A,'Campaign Metadata'!B:B)</f>
        <v>45667</v>
      </c>
      <c r="P239" s="14">
        <f>_xlfn.XLOOKUP(Posts__2[[#This Row],[Campaign_Name]],'Campaign Metadata'!A:A,'Campaign Metadata'!C:C)</f>
        <v>45698</v>
      </c>
      <c r="Q239" t="str">
        <f>IF(AND(Posts__2[[#This Row],[Date]]&gt;=Posts__2[[#This Row],[Campaign start date]],Posts__2[[#This Row],[Date]]&lt;=Posts__2[[#This Row],[Campaign end date]]),"During","Before")</f>
        <v>Before</v>
      </c>
    </row>
    <row r="240" spans="1:17" x14ac:dyDescent="0.3">
      <c r="A240" t="s">
        <v>303</v>
      </c>
      <c r="B240" t="s">
        <v>50</v>
      </c>
      <c r="C240" s="14">
        <v>45639</v>
      </c>
      <c r="D240" t="s">
        <v>51</v>
      </c>
      <c r="E240" t="s">
        <v>52</v>
      </c>
      <c r="F240">
        <v>4984</v>
      </c>
      <c r="G240">
        <v>300</v>
      </c>
      <c r="H240">
        <v>338</v>
      </c>
      <c r="I240">
        <v>32900</v>
      </c>
      <c r="J240">
        <v>31691</v>
      </c>
      <c r="K240">
        <v>160</v>
      </c>
      <c r="L240" t="s">
        <v>53</v>
      </c>
      <c r="M240" t="s">
        <v>19</v>
      </c>
      <c r="N240">
        <f>(  Posts__2[[#This Row],[Likes]]+Posts__2[[#This Row],[Comments]]+Posts__2[[#This Row],[Shares]] ) / Posts__2[[#This Row],[Impressions]]</f>
        <v>0.17088145896656534</v>
      </c>
      <c r="O240" s="14">
        <f>_xlfn.XLOOKUP(Posts__2[[#This Row],[Campaign_Name]],'Campaign Metadata'!A:A,'Campaign Metadata'!B:B)</f>
        <v>45667</v>
      </c>
      <c r="P240" s="14">
        <f>_xlfn.XLOOKUP(Posts__2[[#This Row],[Campaign_Name]],'Campaign Metadata'!A:A,'Campaign Metadata'!C:C)</f>
        <v>45698</v>
      </c>
      <c r="Q240" t="str">
        <f>IF(AND(Posts__2[[#This Row],[Date]]&gt;=Posts__2[[#This Row],[Campaign start date]],Posts__2[[#This Row],[Date]]&lt;=Posts__2[[#This Row],[Campaign end date]]),"During","Before")</f>
        <v>Before</v>
      </c>
    </row>
    <row r="241" spans="1:17" x14ac:dyDescent="0.3">
      <c r="A241" t="s">
        <v>304</v>
      </c>
      <c r="B241" t="s">
        <v>57</v>
      </c>
      <c r="C241" s="14">
        <v>45533</v>
      </c>
      <c r="D241" t="s">
        <v>43</v>
      </c>
      <c r="E241" t="s">
        <v>55</v>
      </c>
      <c r="F241">
        <v>4774</v>
      </c>
      <c r="G241">
        <v>389</v>
      </c>
      <c r="H241">
        <v>358</v>
      </c>
      <c r="I241">
        <v>52346</v>
      </c>
      <c r="J241">
        <v>30518</v>
      </c>
      <c r="K241">
        <v>277</v>
      </c>
      <c r="L241" t="s">
        <v>59</v>
      </c>
      <c r="M241" t="s">
        <v>21</v>
      </c>
      <c r="N241">
        <f>(  Posts__2[[#This Row],[Likes]]+Posts__2[[#This Row],[Comments]]+Posts__2[[#This Row],[Shares]] ) / Posts__2[[#This Row],[Impressions]]</f>
        <v>0.10547128720437092</v>
      </c>
      <c r="O241" s="14">
        <f>_xlfn.XLOOKUP(Posts__2[[#This Row],[Campaign_Name]],'Campaign Metadata'!A:A,'Campaign Metadata'!B:B)</f>
        <v>45717</v>
      </c>
      <c r="P241" s="14">
        <f>_xlfn.XLOOKUP(Posts__2[[#This Row],[Campaign_Name]],'Campaign Metadata'!A:A,'Campaign Metadata'!C:C)</f>
        <v>45747</v>
      </c>
      <c r="Q241" t="str">
        <f>IF(AND(Posts__2[[#This Row],[Date]]&gt;=Posts__2[[#This Row],[Campaign start date]],Posts__2[[#This Row],[Date]]&lt;=Posts__2[[#This Row],[Campaign end date]]),"During","Before")</f>
        <v>Before</v>
      </c>
    </row>
    <row r="242" spans="1:17" x14ac:dyDescent="0.3">
      <c r="A242" t="s">
        <v>305</v>
      </c>
      <c r="B242" t="s">
        <v>50</v>
      </c>
      <c r="C242" s="14">
        <v>45550</v>
      </c>
      <c r="D242" t="s">
        <v>43</v>
      </c>
      <c r="E242" t="s">
        <v>63</v>
      </c>
      <c r="F242">
        <v>2145</v>
      </c>
      <c r="G242">
        <v>340</v>
      </c>
      <c r="H242">
        <v>85</v>
      </c>
      <c r="I242">
        <v>53323</v>
      </c>
      <c r="J242">
        <v>49938</v>
      </c>
      <c r="K242">
        <v>104</v>
      </c>
      <c r="L242" t="s">
        <v>68</v>
      </c>
      <c r="M242" t="s">
        <v>19</v>
      </c>
      <c r="N242">
        <f>(  Posts__2[[#This Row],[Likes]]+Posts__2[[#This Row],[Comments]]+Posts__2[[#This Row],[Shares]] ) / Posts__2[[#This Row],[Impressions]]</f>
        <v>4.819683813738912E-2</v>
      </c>
      <c r="O242" s="14">
        <f>_xlfn.XLOOKUP(Posts__2[[#This Row],[Campaign_Name]],'Campaign Metadata'!A:A,'Campaign Metadata'!B:B)</f>
        <v>45667</v>
      </c>
      <c r="P242" s="14">
        <f>_xlfn.XLOOKUP(Posts__2[[#This Row],[Campaign_Name]],'Campaign Metadata'!A:A,'Campaign Metadata'!C:C)</f>
        <v>45698</v>
      </c>
      <c r="Q242" t="str">
        <f>IF(AND(Posts__2[[#This Row],[Date]]&gt;=Posts__2[[#This Row],[Campaign start date]],Posts__2[[#This Row],[Date]]&lt;=Posts__2[[#This Row],[Campaign end date]]),"During","Before")</f>
        <v>Before</v>
      </c>
    </row>
    <row r="243" spans="1:17" x14ac:dyDescent="0.3">
      <c r="A243" t="s">
        <v>306</v>
      </c>
      <c r="B243" t="s">
        <v>50</v>
      </c>
      <c r="C243" s="14">
        <v>45759</v>
      </c>
      <c r="D243" t="s">
        <v>51</v>
      </c>
      <c r="E243" t="s">
        <v>75</v>
      </c>
      <c r="F243">
        <v>4315</v>
      </c>
      <c r="G243">
        <v>208</v>
      </c>
      <c r="H243">
        <v>273</v>
      </c>
      <c r="I243">
        <v>35780</v>
      </c>
      <c r="J243">
        <v>44349</v>
      </c>
      <c r="K243">
        <v>133</v>
      </c>
      <c r="L243" t="s">
        <v>65</v>
      </c>
      <c r="M243" t="s">
        <v>19</v>
      </c>
      <c r="N243">
        <f>(  Posts__2[[#This Row],[Likes]]+Posts__2[[#This Row],[Comments]]+Posts__2[[#This Row],[Shares]] ) / Posts__2[[#This Row],[Impressions]]</f>
        <v>0.13404136389044158</v>
      </c>
      <c r="O243" s="14">
        <f>_xlfn.XLOOKUP(Posts__2[[#This Row],[Campaign_Name]],'Campaign Metadata'!A:A,'Campaign Metadata'!B:B)</f>
        <v>45667</v>
      </c>
      <c r="P243" s="14">
        <f>_xlfn.XLOOKUP(Posts__2[[#This Row],[Campaign_Name]],'Campaign Metadata'!A:A,'Campaign Metadata'!C:C)</f>
        <v>45698</v>
      </c>
      <c r="Q243" t="str">
        <f>IF(AND(Posts__2[[#This Row],[Date]]&gt;=Posts__2[[#This Row],[Campaign start date]],Posts__2[[#This Row],[Date]]&lt;=Posts__2[[#This Row],[Campaign end date]]),"During","Before")</f>
        <v>Before</v>
      </c>
    </row>
    <row r="244" spans="1:17" x14ac:dyDescent="0.3">
      <c r="A244" t="s">
        <v>307</v>
      </c>
      <c r="B244" t="s">
        <v>50</v>
      </c>
      <c r="C244" s="14">
        <v>45636</v>
      </c>
      <c r="D244" t="s">
        <v>51</v>
      </c>
      <c r="E244" t="s">
        <v>55</v>
      </c>
      <c r="F244">
        <v>2267</v>
      </c>
      <c r="G244">
        <v>230</v>
      </c>
      <c r="H244">
        <v>243</v>
      </c>
      <c r="I244">
        <v>27904</v>
      </c>
      <c r="J244">
        <v>69771</v>
      </c>
      <c r="K244">
        <v>255</v>
      </c>
      <c r="L244" t="s">
        <v>65</v>
      </c>
      <c r="M244" t="s">
        <v>19</v>
      </c>
      <c r="N244">
        <f>(  Posts__2[[#This Row],[Likes]]+Posts__2[[#This Row],[Comments]]+Posts__2[[#This Row],[Shares]] ) / Posts__2[[#This Row],[Impressions]]</f>
        <v>9.8193807339449546E-2</v>
      </c>
      <c r="O244" s="14">
        <f>_xlfn.XLOOKUP(Posts__2[[#This Row],[Campaign_Name]],'Campaign Metadata'!A:A,'Campaign Metadata'!B:B)</f>
        <v>45667</v>
      </c>
      <c r="P244" s="14">
        <f>_xlfn.XLOOKUP(Posts__2[[#This Row],[Campaign_Name]],'Campaign Metadata'!A:A,'Campaign Metadata'!C:C)</f>
        <v>45698</v>
      </c>
      <c r="Q244" t="str">
        <f>IF(AND(Posts__2[[#This Row],[Date]]&gt;=Posts__2[[#This Row],[Campaign start date]],Posts__2[[#This Row],[Date]]&lt;=Posts__2[[#This Row],[Campaign end date]]),"During","Before")</f>
        <v>Before</v>
      </c>
    </row>
    <row r="245" spans="1:17" x14ac:dyDescent="0.3">
      <c r="A245" t="s">
        <v>308</v>
      </c>
      <c r="B245" t="s">
        <v>57</v>
      </c>
      <c r="C245" s="14">
        <v>45816</v>
      </c>
      <c r="D245" t="s">
        <v>43</v>
      </c>
      <c r="E245" t="s">
        <v>58</v>
      </c>
      <c r="F245">
        <v>4375</v>
      </c>
      <c r="G245">
        <v>303</v>
      </c>
      <c r="H245">
        <v>294</v>
      </c>
      <c r="I245">
        <v>57468</v>
      </c>
      <c r="J245">
        <v>53397</v>
      </c>
      <c r="K245">
        <v>159</v>
      </c>
      <c r="L245" t="s">
        <v>59</v>
      </c>
      <c r="M245" t="s">
        <v>21</v>
      </c>
      <c r="N245">
        <f>(  Posts__2[[#This Row],[Likes]]+Posts__2[[#This Row],[Comments]]+Posts__2[[#This Row],[Shares]] ) / Posts__2[[#This Row],[Impressions]]</f>
        <v>8.6517714206166912E-2</v>
      </c>
      <c r="O245" s="14">
        <f>_xlfn.XLOOKUP(Posts__2[[#This Row],[Campaign_Name]],'Campaign Metadata'!A:A,'Campaign Metadata'!B:B)</f>
        <v>45717</v>
      </c>
      <c r="P245" s="14">
        <f>_xlfn.XLOOKUP(Posts__2[[#This Row],[Campaign_Name]],'Campaign Metadata'!A:A,'Campaign Metadata'!C:C)</f>
        <v>45747</v>
      </c>
      <c r="Q245" t="str">
        <f>IF(AND(Posts__2[[#This Row],[Date]]&gt;=Posts__2[[#This Row],[Campaign start date]],Posts__2[[#This Row],[Date]]&lt;=Posts__2[[#This Row],[Campaign end date]]),"During","Before")</f>
        <v>Before</v>
      </c>
    </row>
    <row r="246" spans="1:17" x14ac:dyDescent="0.3">
      <c r="A246" t="s">
        <v>309</v>
      </c>
      <c r="B246" t="s">
        <v>50</v>
      </c>
      <c r="C246" s="14">
        <v>45666</v>
      </c>
      <c r="D246" t="s">
        <v>51</v>
      </c>
      <c r="E246" t="s">
        <v>77</v>
      </c>
      <c r="F246">
        <v>3817</v>
      </c>
      <c r="G246">
        <v>284</v>
      </c>
      <c r="H246">
        <v>204</v>
      </c>
      <c r="I246">
        <v>46434</v>
      </c>
      <c r="J246">
        <v>53396</v>
      </c>
      <c r="K246">
        <v>104</v>
      </c>
      <c r="L246" t="s">
        <v>53</v>
      </c>
      <c r="M246" t="s">
        <v>19</v>
      </c>
      <c r="N246">
        <f>(  Posts__2[[#This Row],[Likes]]+Posts__2[[#This Row],[Comments]]+Posts__2[[#This Row],[Shares]] ) / Posts__2[[#This Row],[Impressions]]</f>
        <v>9.2712236723090841E-2</v>
      </c>
      <c r="O246" s="14">
        <f>_xlfn.XLOOKUP(Posts__2[[#This Row],[Campaign_Name]],'Campaign Metadata'!A:A,'Campaign Metadata'!B:B)</f>
        <v>45667</v>
      </c>
      <c r="P246" s="14">
        <f>_xlfn.XLOOKUP(Posts__2[[#This Row],[Campaign_Name]],'Campaign Metadata'!A:A,'Campaign Metadata'!C:C)</f>
        <v>45698</v>
      </c>
      <c r="Q246" t="str">
        <f>IF(AND(Posts__2[[#This Row],[Date]]&gt;=Posts__2[[#This Row],[Campaign start date]],Posts__2[[#This Row],[Date]]&lt;=Posts__2[[#This Row],[Campaign end date]]),"During","Before")</f>
        <v>Before</v>
      </c>
    </row>
    <row r="247" spans="1:17" x14ac:dyDescent="0.3">
      <c r="A247" t="s">
        <v>310</v>
      </c>
      <c r="B247" t="s">
        <v>50</v>
      </c>
      <c r="C247" s="14">
        <v>45481</v>
      </c>
      <c r="D247" t="s">
        <v>51</v>
      </c>
      <c r="E247" t="s">
        <v>67</v>
      </c>
      <c r="F247">
        <v>2981</v>
      </c>
      <c r="G247">
        <v>258</v>
      </c>
      <c r="H247">
        <v>168</v>
      </c>
      <c r="I247">
        <v>20677</v>
      </c>
      <c r="J247">
        <v>68290</v>
      </c>
      <c r="K247">
        <v>130</v>
      </c>
      <c r="L247" t="s">
        <v>45</v>
      </c>
      <c r="M247" t="s">
        <v>19</v>
      </c>
      <c r="N247">
        <f>(  Posts__2[[#This Row],[Likes]]+Posts__2[[#This Row],[Comments]]+Posts__2[[#This Row],[Shares]] ) / Posts__2[[#This Row],[Impressions]]</f>
        <v>0.16477245248343569</v>
      </c>
      <c r="O247" s="14">
        <f>_xlfn.XLOOKUP(Posts__2[[#This Row],[Campaign_Name]],'Campaign Metadata'!A:A,'Campaign Metadata'!B:B)</f>
        <v>45667</v>
      </c>
      <c r="P247" s="14">
        <f>_xlfn.XLOOKUP(Posts__2[[#This Row],[Campaign_Name]],'Campaign Metadata'!A:A,'Campaign Metadata'!C:C)</f>
        <v>45698</v>
      </c>
      <c r="Q247" t="str">
        <f>IF(AND(Posts__2[[#This Row],[Date]]&gt;=Posts__2[[#This Row],[Campaign start date]],Posts__2[[#This Row],[Date]]&lt;=Posts__2[[#This Row],[Campaign end date]]),"During","Before")</f>
        <v>Before</v>
      </c>
    </row>
    <row r="248" spans="1:17" x14ac:dyDescent="0.3">
      <c r="A248" t="s">
        <v>311</v>
      </c>
      <c r="B248" t="s">
        <v>50</v>
      </c>
      <c r="C248" s="14">
        <v>45551</v>
      </c>
      <c r="D248" t="s">
        <v>51</v>
      </c>
      <c r="E248" t="s">
        <v>77</v>
      </c>
      <c r="F248">
        <v>3300</v>
      </c>
      <c r="G248">
        <v>354</v>
      </c>
      <c r="H248">
        <v>397</v>
      </c>
      <c r="I248">
        <v>56773</v>
      </c>
      <c r="J248">
        <v>72110</v>
      </c>
      <c r="K248">
        <v>163</v>
      </c>
      <c r="L248" t="s">
        <v>65</v>
      </c>
      <c r="M248" t="s">
        <v>19</v>
      </c>
      <c r="N248">
        <f>(  Posts__2[[#This Row],[Likes]]+Posts__2[[#This Row],[Comments]]+Posts__2[[#This Row],[Shares]] ) / Posts__2[[#This Row],[Impressions]]</f>
        <v>7.1354340971940891E-2</v>
      </c>
      <c r="O248" s="14">
        <f>_xlfn.XLOOKUP(Posts__2[[#This Row],[Campaign_Name]],'Campaign Metadata'!A:A,'Campaign Metadata'!B:B)</f>
        <v>45667</v>
      </c>
      <c r="P248" s="14">
        <f>_xlfn.XLOOKUP(Posts__2[[#This Row],[Campaign_Name]],'Campaign Metadata'!A:A,'Campaign Metadata'!C:C)</f>
        <v>45698</v>
      </c>
      <c r="Q248" t="str">
        <f>IF(AND(Posts__2[[#This Row],[Date]]&gt;=Posts__2[[#This Row],[Campaign start date]],Posts__2[[#This Row],[Date]]&lt;=Posts__2[[#This Row],[Campaign end date]]),"During","Before")</f>
        <v>Before</v>
      </c>
    </row>
    <row r="249" spans="1:17" x14ac:dyDescent="0.3">
      <c r="A249" t="s">
        <v>312</v>
      </c>
      <c r="B249" t="s">
        <v>57</v>
      </c>
      <c r="C249" s="14">
        <v>45457</v>
      </c>
      <c r="D249" t="s">
        <v>82</v>
      </c>
      <c r="E249" t="s">
        <v>55</v>
      </c>
      <c r="F249">
        <v>4722</v>
      </c>
      <c r="G249">
        <v>310</v>
      </c>
      <c r="H249">
        <v>344</v>
      </c>
      <c r="I249">
        <v>27911</v>
      </c>
      <c r="J249">
        <v>19000</v>
      </c>
      <c r="K249">
        <v>225</v>
      </c>
      <c r="L249" t="s">
        <v>83</v>
      </c>
      <c r="M249" t="s">
        <v>20</v>
      </c>
      <c r="N249">
        <f>(  Posts__2[[#This Row],[Likes]]+Posts__2[[#This Row],[Comments]]+Posts__2[[#This Row],[Shares]] ) / Posts__2[[#This Row],[Impressions]]</f>
        <v>0.19261223173659131</v>
      </c>
      <c r="O249" s="14">
        <f>_xlfn.XLOOKUP(Posts__2[[#This Row],[Campaign_Name]],'Campaign Metadata'!A:A,'Campaign Metadata'!B:B)</f>
        <v>45458</v>
      </c>
      <c r="P249" s="14">
        <f>_xlfn.XLOOKUP(Posts__2[[#This Row],[Campaign_Name]],'Campaign Metadata'!A:A,'Campaign Metadata'!C:C)</f>
        <v>45488</v>
      </c>
      <c r="Q249" t="str">
        <f>IF(AND(Posts__2[[#This Row],[Date]]&gt;=Posts__2[[#This Row],[Campaign start date]],Posts__2[[#This Row],[Date]]&lt;=Posts__2[[#This Row],[Campaign end date]]),"During","Before")</f>
        <v>Before</v>
      </c>
    </row>
    <row r="250" spans="1:17" x14ac:dyDescent="0.3">
      <c r="A250" t="s">
        <v>313</v>
      </c>
      <c r="B250" t="s">
        <v>42</v>
      </c>
      <c r="C250" s="14">
        <v>45357</v>
      </c>
      <c r="D250" t="s">
        <v>43</v>
      </c>
      <c r="E250" t="s">
        <v>61</v>
      </c>
      <c r="F250">
        <v>3529</v>
      </c>
      <c r="G250">
        <v>263</v>
      </c>
      <c r="H250">
        <v>107</v>
      </c>
      <c r="I250">
        <v>26570</v>
      </c>
      <c r="J250">
        <v>19367</v>
      </c>
      <c r="K250">
        <v>96</v>
      </c>
      <c r="L250" t="s">
        <v>48</v>
      </c>
      <c r="M250" t="s">
        <v>21</v>
      </c>
      <c r="N250">
        <f>(  Posts__2[[#This Row],[Likes]]+Posts__2[[#This Row],[Comments]]+Posts__2[[#This Row],[Shares]] ) / Posts__2[[#This Row],[Impressions]]</f>
        <v>0.14674444862627023</v>
      </c>
      <c r="O250" s="14">
        <f>_xlfn.XLOOKUP(Posts__2[[#This Row],[Campaign_Name]],'Campaign Metadata'!A:A,'Campaign Metadata'!B:B)</f>
        <v>45717</v>
      </c>
      <c r="P250" s="14">
        <f>_xlfn.XLOOKUP(Posts__2[[#This Row],[Campaign_Name]],'Campaign Metadata'!A:A,'Campaign Metadata'!C:C)</f>
        <v>45747</v>
      </c>
      <c r="Q250" t="str">
        <f>IF(AND(Posts__2[[#This Row],[Date]]&gt;=Posts__2[[#This Row],[Campaign start date]],Posts__2[[#This Row],[Date]]&lt;=Posts__2[[#This Row],[Campaign end date]]),"During","Before")</f>
        <v>Before</v>
      </c>
    </row>
    <row r="251" spans="1:17" x14ac:dyDescent="0.3">
      <c r="A251" t="s">
        <v>314</v>
      </c>
      <c r="B251" t="s">
        <v>50</v>
      </c>
      <c r="C251" s="14">
        <v>45792</v>
      </c>
      <c r="D251" t="s">
        <v>43</v>
      </c>
      <c r="E251" t="s">
        <v>77</v>
      </c>
      <c r="F251">
        <v>4782</v>
      </c>
      <c r="G251">
        <v>210</v>
      </c>
      <c r="H251">
        <v>311</v>
      </c>
      <c r="I251">
        <v>29793</v>
      </c>
      <c r="J251">
        <v>37543</v>
      </c>
      <c r="K251">
        <v>145</v>
      </c>
      <c r="L251" t="s">
        <v>68</v>
      </c>
      <c r="M251" t="s">
        <v>19</v>
      </c>
      <c r="N251">
        <f>(  Posts__2[[#This Row],[Likes]]+Posts__2[[#This Row],[Comments]]+Posts__2[[#This Row],[Shares]] ) / Posts__2[[#This Row],[Impressions]]</f>
        <v>0.17799483100057059</v>
      </c>
      <c r="O251" s="14">
        <f>_xlfn.XLOOKUP(Posts__2[[#This Row],[Campaign_Name]],'Campaign Metadata'!A:A,'Campaign Metadata'!B:B)</f>
        <v>45667</v>
      </c>
      <c r="P251" s="14">
        <f>_xlfn.XLOOKUP(Posts__2[[#This Row],[Campaign_Name]],'Campaign Metadata'!A:A,'Campaign Metadata'!C:C)</f>
        <v>45698</v>
      </c>
      <c r="Q251" t="str">
        <f>IF(AND(Posts__2[[#This Row],[Date]]&gt;=Posts__2[[#This Row],[Campaign start date]],Posts__2[[#This Row],[Date]]&lt;=Posts__2[[#This Row],[Campaign end date]]),"During","Before")</f>
        <v>Before</v>
      </c>
    </row>
    <row r="252" spans="1:17" x14ac:dyDescent="0.3">
      <c r="A252" t="s">
        <v>315</v>
      </c>
      <c r="B252" t="s">
        <v>50</v>
      </c>
      <c r="C252" s="14">
        <v>45480</v>
      </c>
      <c r="D252" t="s">
        <v>43</v>
      </c>
      <c r="E252" t="s">
        <v>61</v>
      </c>
      <c r="F252">
        <v>1848</v>
      </c>
      <c r="G252">
        <v>417</v>
      </c>
      <c r="H252">
        <v>294</v>
      </c>
      <c r="I252">
        <v>57819</v>
      </c>
      <c r="J252">
        <v>19798</v>
      </c>
      <c r="K252">
        <v>262</v>
      </c>
      <c r="L252" t="s">
        <v>71</v>
      </c>
      <c r="M252" t="s">
        <v>21</v>
      </c>
      <c r="N252">
        <f>(  Posts__2[[#This Row],[Likes]]+Posts__2[[#This Row],[Comments]]+Posts__2[[#This Row],[Shares]] ) / Posts__2[[#This Row],[Impressions]]</f>
        <v>4.4258807658382193E-2</v>
      </c>
      <c r="O252" s="14">
        <f>_xlfn.XLOOKUP(Posts__2[[#This Row],[Campaign_Name]],'Campaign Metadata'!A:A,'Campaign Metadata'!B:B)</f>
        <v>45717</v>
      </c>
      <c r="P252" s="14">
        <f>_xlfn.XLOOKUP(Posts__2[[#This Row],[Campaign_Name]],'Campaign Metadata'!A:A,'Campaign Metadata'!C:C)</f>
        <v>45747</v>
      </c>
      <c r="Q252" t="str">
        <f>IF(AND(Posts__2[[#This Row],[Date]]&gt;=Posts__2[[#This Row],[Campaign start date]],Posts__2[[#This Row],[Date]]&lt;=Posts__2[[#This Row],[Campaign end date]]),"During","Before")</f>
        <v>Before</v>
      </c>
    </row>
    <row r="253" spans="1:17" x14ac:dyDescent="0.3">
      <c r="A253" t="s">
        <v>316</v>
      </c>
      <c r="B253" t="s">
        <v>57</v>
      </c>
      <c r="C253" s="14">
        <v>45591</v>
      </c>
      <c r="D253" t="s">
        <v>43</v>
      </c>
      <c r="E253" t="s">
        <v>52</v>
      </c>
      <c r="F253">
        <v>4676</v>
      </c>
      <c r="G253">
        <v>211</v>
      </c>
      <c r="H253">
        <v>55</v>
      </c>
      <c r="I253">
        <v>45917</v>
      </c>
      <c r="J253">
        <v>73503</v>
      </c>
      <c r="K253">
        <v>248</v>
      </c>
      <c r="L253" t="s">
        <v>59</v>
      </c>
      <c r="M253" t="s">
        <v>21</v>
      </c>
      <c r="N253">
        <f>(  Posts__2[[#This Row],[Likes]]+Posts__2[[#This Row],[Comments]]+Posts__2[[#This Row],[Shares]] ) / Posts__2[[#This Row],[Impressions]]</f>
        <v>0.10762898272970794</v>
      </c>
      <c r="O253" s="14">
        <f>_xlfn.XLOOKUP(Posts__2[[#This Row],[Campaign_Name]],'Campaign Metadata'!A:A,'Campaign Metadata'!B:B)</f>
        <v>45717</v>
      </c>
      <c r="P253" s="14">
        <f>_xlfn.XLOOKUP(Posts__2[[#This Row],[Campaign_Name]],'Campaign Metadata'!A:A,'Campaign Metadata'!C:C)</f>
        <v>45747</v>
      </c>
      <c r="Q253" t="str">
        <f>IF(AND(Posts__2[[#This Row],[Date]]&gt;=Posts__2[[#This Row],[Campaign start date]],Posts__2[[#This Row],[Date]]&lt;=Posts__2[[#This Row],[Campaign end date]]),"During","Before")</f>
        <v>Before</v>
      </c>
    </row>
    <row r="254" spans="1:17" x14ac:dyDescent="0.3">
      <c r="A254" t="s">
        <v>317</v>
      </c>
      <c r="B254" t="s">
        <v>57</v>
      </c>
      <c r="C254" s="14">
        <v>45512</v>
      </c>
      <c r="D254" t="s">
        <v>43</v>
      </c>
      <c r="E254" t="s">
        <v>75</v>
      </c>
      <c r="F254">
        <v>1994</v>
      </c>
      <c r="G254">
        <v>197</v>
      </c>
      <c r="H254">
        <v>290</v>
      </c>
      <c r="I254">
        <v>49500</v>
      </c>
      <c r="J254">
        <v>23343</v>
      </c>
      <c r="K254">
        <v>160</v>
      </c>
      <c r="L254" t="s">
        <v>59</v>
      </c>
      <c r="M254" t="s">
        <v>21</v>
      </c>
      <c r="N254">
        <f>(  Posts__2[[#This Row],[Likes]]+Posts__2[[#This Row],[Comments]]+Posts__2[[#This Row],[Shares]] ) / Posts__2[[#This Row],[Impressions]]</f>
        <v>5.0121212121212122E-2</v>
      </c>
      <c r="O254" s="14">
        <f>_xlfn.XLOOKUP(Posts__2[[#This Row],[Campaign_Name]],'Campaign Metadata'!A:A,'Campaign Metadata'!B:B)</f>
        <v>45717</v>
      </c>
      <c r="P254" s="14">
        <f>_xlfn.XLOOKUP(Posts__2[[#This Row],[Campaign_Name]],'Campaign Metadata'!A:A,'Campaign Metadata'!C:C)</f>
        <v>45747</v>
      </c>
      <c r="Q254" t="str">
        <f>IF(AND(Posts__2[[#This Row],[Date]]&gt;=Posts__2[[#This Row],[Campaign start date]],Posts__2[[#This Row],[Date]]&lt;=Posts__2[[#This Row],[Campaign end date]]),"During","Before")</f>
        <v>Before</v>
      </c>
    </row>
    <row r="255" spans="1:17" x14ac:dyDescent="0.3">
      <c r="A255" t="s">
        <v>318</v>
      </c>
      <c r="B255" t="s">
        <v>50</v>
      </c>
      <c r="C255" s="14">
        <v>45691</v>
      </c>
      <c r="D255" t="s">
        <v>43</v>
      </c>
      <c r="E255" t="s">
        <v>61</v>
      </c>
      <c r="F255">
        <v>4995</v>
      </c>
      <c r="G255">
        <v>231</v>
      </c>
      <c r="H255">
        <v>94</v>
      </c>
      <c r="I255">
        <v>34431</v>
      </c>
      <c r="J255">
        <v>32560</v>
      </c>
      <c r="K255">
        <v>262</v>
      </c>
      <c r="L255" t="s">
        <v>68</v>
      </c>
      <c r="M255" t="s">
        <v>19</v>
      </c>
      <c r="N255">
        <f>(  Posts__2[[#This Row],[Likes]]+Posts__2[[#This Row],[Comments]]+Posts__2[[#This Row],[Shares]] ) / Posts__2[[#This Row],[Impressions]]</f>
        <v>0.15451192239551567</v>
      </c>
      <c r="O255" s="14">
        <f>_xlfn.XLOOKUP(Posts__2[[#This Row],[Campaign_Name]],'Campaign Metadata'!A:A,'Campaign Metadata'!B:B)</f>
        <v>45667</v>
      </c>
      <c r="P255" s="14">
        <f>_xlfn.XLOOKUP(Posts__2[[#This Row],[Campaign_Name]],'Campaign Metadata'!A:A,'Campaign Metadata'!C:C)</f>
        <v>45698</v>
      </c>
      <c r="Q255" t="str">
        <f>IF(AND(Posts__2[[#This Row],[Date]]&gt;=Posts__2[[#This Row],[Campaign start date]],Posts__2[[#This Row],[Date]]&lt;=Posts__2[[#This Row],[Campaign end date]]),"During","Before")</f>
        <v>During</v>
      </c>
    </row>
    <row r="256" spans="1:17" x14ac:dyDescent="0.3">
      <c r="A256" t="s">
        <v>319</v>
      </c>
      <c r="B256" t="s">
        <v>50</v>
      </c>
      <c r="C256" s="14">
        <v>45385</v>
      </c>
      <c r="D256" t="s">
        <v>51</v>
      </c>
      <c r="E256" t="s">
        <v>67</v>
      </c>
      <c r="F256">
        <v>2291</v>
      </c>
      <c r="G256">
        <v>146</v>
      </c>
      <c r="H256">
        <v>399</v>
      </c>
      <c r="I256">
        <v>49319</v>
      </c>
      <c r="J256">
        <v>28056</v>
      </c>
      <c r="K256">
        <v>90</v>
      </c>
      <c r="L256" t="s">
        <v>65</v>
      </c>
      <c r="M256" t="s">
        <v>19</v>
      </c>
      <c r="N256">
        <f>(  Posts__2[[#This Row],[Likes]]+Posts__2[[#This Row],[Comments]]+Posts__2[[#This Row],[Shares]] ) / Posts__2[[#This Row],[Impressions]]</f>
        <v>5.7503193495407452E-2</v>
      </c>
      <c r="O256" s="14">
        <f>_xlfn.XLOOKUP(Posts__2[[#This Row],[Campaign_Name]],'Campaign Metadata'!A:A,'Campaign Metadata'!B:B)</f>
        <v>45667</v>
      </c>
      <c r="P256" s="14">
        <f>_xlfn.XLOOKUP(Posts__2[[#This Row],[Campaign_Name]],'Campaign Metadata'!A:A,'Campaign Metadata'!C:C)</f>
        <v>45698</v>
      </c>
      <c r="Q256" t="str">
        <f>IF(AND(Posts__2[[#This Row],[Date]]&gt;=Posts__2[[#This Row],[Campaign start date]],Posts__2[[#This Row],[Date]]&lt;=Posts__2[[#This Row],[Campaign end date]]),"During","Before")</f>
        <v>Before</v>
      </c>
    </row>
    <row r="257" spans="1:17" x14ac:dyDescent="0.3">
      <c r="A257" t="s">
        <v>320</v>
      </c>
      <c r="B257" t="s">
        <v>50</v>
      </c>
      <c r="C257" s="14">
        <v>45481</v>
      </c>
      <c r="D257" t="s">
        <v>51</v>
      </c>
      <c r="E257" t="s">
        <v>55</v>
      </c>
      <c r="F257">
        <v>2304</v>
      </c>
      <c r="G257">
        <v>289</v>
      </c>
      <c r="H257">
        <v>161</v>
      </c>
      <c r="I257">
        <v>52645</v>
      </c>
      <c r="J257">
        <v>66262</v>
      </c>
      <c r="K257">
        <v>146</v>
      </c>
      <c r="L257" t="s">
        <v>53</v>
      </c>
      <c r="M257" t="s">
        <v>19</v>
      </c>
      <c r="N257">
        <f>(  Posts__2[[#This Row],[Likes]]+Posts__2[[#This Row],[Comments]]+Posts__2[[#This Row],[Shares]] ) / Posts__2[[#This Row],[Impressions]]</f>
        <v>5.2312660271630736E-2</v>
      </c>
      <c r="O257" s="14">
        <f>_xlfn.XLOOKUP(Posts__2[[#This Row],[Campaign_Name]],'Campaign Metadata'!A:A,'Campaign Metadata'!B:B)</f>
        <v>45667</v>
      </c>
      <c r="P257" s="14">
        <f>_xlfn.XLOOKUP(Posts__2[[#This Row],[Campaign_Name]],'Campaign Metadata'!A:A,'Campaign Metadata'!C:C)</f>
        <v>45698</v>
      </c>
      <c r="Q257" t="str">
        <f>IF(AND(Posts__2[[#This Row],[Date]]&gt;=Posts__2[[#This Row],[Campaign start date]],Posts__2[[#This Row],[Date]]&lt;=Posts__2[[#This Row],[Campaign end date]]),"During","Before")</f>
        <v>Before</v>
      </c>
    </row>
    <row r="258" spans="1:17" x14ac:dyDescent="0.3">
      <c r="A258" t="s">
        <v>321</v>
      </c>
      <c r="B258" t="s">
        <v>50</v>
      </c>
      <c r="C258" s="14">
        <v>45451</v>
      </c>
      <c r="D258" t="s">
        <v>51</v>
      </c>
      <c r="E258" t="s">
        <v>67</v>
      </c>
      <c r="F258">
        <v>3413</v>
      </c>
      <c r="G258">
        <v>326</v>
      </c>
      <c r="H258">
        <v>86</v>
      </c>
      <c r="I258">
        <v>44680</v>
      </c>
      <c r="J258">
        <v>52719</v>
      </c>
      <c r="K258">
        <v>272</v>
      </c>
      <c r="L258" t="s">
        <v>65</v>
      </c>
      <c r="M258" t="s">
        <v>19</v>
      </c>
      <c r="N258">
        <f>(  Posts__2[[#This Row],[Likes]]+Posts__2[[#This Row],[Comments]]+Posts__2[[#This Row],[Shares]] ) / Posts__2[[#This Row],[Impressions]]</f>
        <v>8.5608773500447627E-2</v>
      </c>
      <c r="O258" s="14">
        <f>_xlfn.XLOOKUP(Posts__2[[#This Row],[Campaign_Name]],'Campaign Metadata'!A:A,'Campaign Metadata'!B:B)</f>
        <v>45667</v>
      </c>
      <c r="P258" s="14">
        <f>_xlfn.XLOOKUP(Posts__2[[#This Row],[Campaign_Name]],'Campaign Metadata'!A:A,'Campaign Metadata'!C:C)</f>
        <v>45698</v>
      </c>
      <c r="Q258" t="str">
        <f>IF(AND(Posts__2[[#This Row],[Date]]&gt;=Posts__2[[#This Row],[Campaign start date]],Posts__2[[#This Row],[Date]]&lt;=Posts__2[[#This Row],[Campaign end date]]),"During","Before")</f>
        <v>Before</v>
      </c>
    </row>
    <row r="259" spans="1:17" x14ac:dyDescent="0.3">
      <c r="A259" t="s">
        <v>322</v>
      </c>
      <c r="B259" t="s">
        <v>57</v>
      </c>
      <c r="C259" s="14">
        <v>45736</v>
      </c>
      <c r="D259" t="s">
        <v>82</v>
      </c>
      <c r="E259" t="s">
        <v>75</v>
      </c>
      <c r="F259">
        <v>1453</v>
      </c>
      <c r="G259">
        <v>156</v>
      </c>
      <c r="H259">
        <v>178</v>
      </c>
      <c r="I259">
        <v>52980</v>
      </c>
      <c r="J259">
        <v>57180</v>
      </c>
      <c r="K259">
        <v>286</v>
      </c>
      <c r="L259" t="s">
        <v>83</v>
      </c>
      <c r="M259" t="s">
        <v>20</v>
      </c>
      <c r="N259">
        <f>(  Posts__2[[#This Row],[Likes]]+Posts__2[[#This Row],[Comments]]+Posts__2[[#This Row],[Shares]] ) / Posts__2[[#This Row],[Impressions]]</f>
        <v>3.3729709324273313E-2</v>
      </c>
      <c r="O259" s="14">
        <f>_xlfn.XLOOKUP(Posts__2[[#This Row],[Campaign_Name]],'Campaign Metadata'!A:A,'Campaign Metadata'!B:B)</f>
        <v>45458</v>
      </c>
      <c r="P259" s="14">
        <f>_xlfn.XLOOKUP(Posts__2[[#This Row],[Campaign_Name]],'Campaign Metadata'!A:A,'Campaign Metadata'!C:C)</f>
        <v>45488</v>
      </c>
      <c r="Q259" t="str">
        <f>IF(AND(Posts__2[[#This Row],[Date]]&gt;=Posts__2[[#This Row],[Campaign start date]],Posts__2[[#This Row],[Date]]&lt;=Posts__2[[#This Row],[Campaign end date]]),"During","Before")</f>
        <v>Before</v>
      </c>
    </row>
    <row r="260" spans="1:17" x14ac:dyDescent="0.3">
      <c r="A260" t="s">
        <v>323</v>
      </c>
      <c r="B260" t="s">
        <v>50</v>
      </c>
      <c r="C260" s="14">
        <v>45676</v>
      </c>
      <c r="D260" t="s">
        <v>51</v>
      </c>
      <c r="E260" t="s">
        <v>58</v>
      </c>
      <c r="F260">
        <v>1651</v>
      </c>
      <c r="G260">
        <v>480</v>
      </c>
      <c r="H260">
        <v>282</v>
      </c>
      <c r="I260">
        <v>32140</v>
      </c>
      <c r="J260">
        <v>70560</v>
      </c>
      <c r="K260">
        <v>138</v>
      </c>
      <c r="L260" t="s">
        <v>45</v>
      </c>
      <c r="M260" t="s">
        <v>19</v>
      </c>
      <c r="N260">
        <f>(  Posts__2[[#This Row],[Likes]]+Posts__2[[#This Row],[Comments]]+Posts__2[[#This Row],[Shares]] ) / Posts__2[[#This Row],[Impressions]]</f>
        <v>7.5077784691972627E-2</v>
      </c>
      <c r="O260" s="14">
        <f>_xlfn.XLOOKUP(Posts__2[[#This Row],[Campaign_Name]],'Campaign Metadata'!A:A,'Campaign Metadata'!B:B)</f>
        <v>45667</v>
      </c>
      <c r="P260" s="14">
        <f>_xlfn.XLOOKUP(Posts__2[[#This Row],[Campaign_Name]],'Campaign Metadata'!A:A,'Campaign Metadata'!C:C)</f>
        <v>45698</v>
      </c>
      <c r="Q260" t="str">
        <f>IF(AND(Posts__2[[#This Row],[Date]]&gt;=Posts__2[[#This Row],[Campaign start date]],Posts__2[[#This Row],[Date]]&lt;=Posts__2[[#This Row],[Campaign end date]]),"During","Before")</f>
        <v>During</v>
      </c>
    </row>
    <row r="261" spans="1:17" x14ac:dyDescent="0.3">
      <c r="A261" t="s">
        <v>324</v>
      </c>
      <c r="B261" t="s">
        <v>50</v>
      </c>
      <c r="C261" s="14">
        <v>45662</v>
      </c>
      <c r="D261" t="s">
        <v>51</v>
      </c>
      <c r="E261" t="s">
        <v>47</v>
      </c>
      <c r="F261">
        <v>3341</v>
      </c>
      <c r="G261">
        <v>154</v>
      </c>
      <c r="H261">
        <v>123</v>
      </c>
      <c r="I261">
        <v>43369</v>
      </c>
      <c r="J261">
        <v>49035</v>
      </c>
      <c r="K261">
        <v>128</v>
      </c>
      <c r="L261" t="s">
        <v>53</v>
      </c>
      <c r="M261" t="s">
        <v>19</v>
      </c>
      <c r="N261">
        <f>(  Posts__2[[#This Row],[Likes]]+Posts__2[[#This Row],[Comments]]+Posts__2[[#This Row],[Shares]] ) / Posts__2[[#This Row],[Impressions]]</f>
        <v>8.3423643616408028E-2</v>
      </c>
      <c r="O261" s="14">
        <f>_xlfn.XLOOKUP(Posts__2[[#This Row],[Campaign_Name]],'Campaign Metadata'!A:A,'Campaign Metadata'!B:B)</f>
        <v>45667</v>
      </c>
      <c r="P261" s="14">
        <f>_xlfn.XLOOKUP(Posts__2[[#This Row],[Campaign_Name]],'Campaign Metadata'!A:A,'Campaign Metadata'!C:C)</f>
        <v>45698</v>
      </c>
      <c r="Q261" t="str">
        <f>IF(AND(Posts__2[[#This Row],[Date]]&gt;=Posts__2[[#This Row],[Campaign start date]],Posts__2[[#This Row],[Date]]&lt;=Posts__2[[#This Row],[Campaign end date]]),"During","Before")</f>
        <v>Before</v>
      </c>
    </row>
    <row r="262" spans="1:17" x14ac:dyDescent="0.3">
      <c r="A262" t="s">
        <v>325</v>
      </c>
      <c r="B262" t="s">
        <v>50</v>
      </c>
      <c r="C262" s="14">
        <v>45612</v>
      </c>
      <c r="D262" t="s">
        <v>43</v>
      </c>
      <c r="E262" t="s">
        <v>75</v>
      </c>
      <c r="F262">
        <v>2972</v>
      </c>
      <c r="G262">
        <v>263</v>
      </c>
      <c r="H262">
        <v>308</v>
      </c>
      <c r="I262">
        <v>51740</v>
      </c>
      <c r="J262">
        <v>28214</v>
      </c>
      <c r="K262">
        <v>190</v>
      </c>
      <c r="L262" t="s">
        <v>71</v>
      </c>
      <c r="M262" t="s">
        <v>21</v>
      </c>
      <c r="N262">
        <f>(  Posts__2[[#This Row],[Likes]]+Posts__2[[#This Row],[Comments]]+Posts__2[[#This Row],[Shares]] ) / Posts__2[[#This Row],[Impressions]]</f>
        <v>6.8477000386548123E-2</v>
      </c>
      <c r="O262" s="14">
        <f>_xlfn.XLOOKUP(Posts__2[[#This Row],[Campaign_Name]],'Campaign Metadata'!A:A,'Campaign Metadata'!B:B)</f>
        <v>45717</v>
      </c>
      <c r="P262" s="14">
        <f>_xlfn.XLOOKUP(Posts__2[[#This Row],[Campaign_Name]],'Campaign Metadata'!A:A,'Campaign Metadata'!C:C)</f>
        <v>45747</v>
      </c>
      <c r="Q262" t="str">
        <f>IF(AND(Posts__2[[#This Row],[Date]]&gt;=Posts__2[[#This Row],[Campaign start date]],Posts__2[[#This Row],[Date]]&lt;=Posts__2[[#This Row],[Campaign end date]]),"During","Before")</f>
        <v>Before</v>
      </c>
    </row>
    <row r="263" spans="1:17" x14ac:dyDescent="0.3">
      <c r="A263" t="s">
        <v>326</v>
      </c>
      <c r="B263" t="s">
        <v>50</v>
      </c>
      <c r="C263" s="14">
        <v>45626</v>
      </c>
      <c r="D263" t="s">
        <v>51</v>
      </c>
      <c r="E263" t="s">
        <v>47</v>
      </c>
      <c r="F263">
        <v>4963</v>
      </c>
      <c r="G263">
        <v>255</v>
      </c>
      <c r="H263">
        <v>193</v>
      </c>
      <c r="I263">
        <v>44386</v>
      </c>
      <c r="J263">
        <v>28415</v>
      </c>
      <c r="K263">
        <v>174</v>
      </c>
      <c r="L263" t="s">
        <v>53</v>
      </c>
      <c r="M263" t="s">
        <v>19</v>
      </c>
      <c r="N263">
        <f>(  Posts__2[[#This Row],[Likes]]+Posts__2[[#This Row],[Comments]]+Posts__2[[#This Row],[Shares]] ) / Posts__2[[#This Row],[Impressions]]</f>
        <v>0.12190780876853062</v>
      </c>
      <c r="O263" s="14">
        <f>_xlfn.XLOOKUP(Posts__2[[#This Row],[Campaign_Name]],'Campaign Metadata'!A:A,'Campaign Metadata'!B:B)</f>
        <v>45667</v>
      </c>
      <c r="P263" s="14">
        <f>_xlfn.XLOOKUP(Posts__2[[#This Row],[Campaign_Name]],'Campaign Metadata'!A:A,'Campaign Metadata'!C:C)</f>
        <v>45698</v>
      </c>
      <c r="Q263" t="str">
        <f>IF(AND(Posts__2[[#This Row],[Date]]&gt;=Posts__2[[#This Row],[Campaign start date]],Posts__2[[#This Row],[Date]]&lt;=Posts__2[[#This Row],[Campaign end date]]),"During","Before")</f>
        <v>Before</v>
      </c>
    </row>
    <row r="264" spans="1:17" x14ac:dyDescent="0.3">
      <c r="A264" t="s">
        <v>327</v>
      </c>
      <c r="B264" t="s">
        <v>57</v>
      </c>
      <c r="C264" s="14">
        <v>45378</v>
      </c>
      <c r="D264" t="s">
        <v>43</v>
      </c>
      <c r="E264" t="s">
        <v>58</v>
      </c>
      <c r="F264">
        <v>2399</v>
      </c>
      <c r="G264">
        <v>191</v>
      </c>
      <c r="H264">
        <v>221</v>
      </c>
      <c r="I264">
        <v>51603</v>
      </c>
      <c r="J264">
        <v>40033</v>
      </c>
      <c r="K264">
        <v>173</v>
      </c>
      <c r="L264" t="s">
        <v>59</v>
      </c>
      <c r="M264" t="s">
        <v>21</v>
      </c>
      <c r="N264">
        <f>(  Posts__2[[#This Row],[Likes]]+Posts__2[[#This Row],[Comments]]+Posts__2[[#This Row],[Shares]] ) / Posts__2[[#This Row],[Impressions]]</f>
        <v>5.4473577117609438E-2</v>
      </c>
      <c r="O264" s="14">
        <f>_xlfn.XLOOKUP(Posts__2[[#This Row],[Campaign_Name]],'Campaign Metadata'!A:A,'Campaign Metadata'!B:B)</f>
        <v>45717</v>
      </c>
      <c r="P264" s="14">
        <f>_xlfn.XLOOKUP(Posts__2[[#This Row],[Campaign_Name]],'Campaign Metadata'!A:A,'Campaign Metadata'!C:C)</f>
        <v>45747</v>
      </c>
      <c r="Q264" t="str">
        <f>IF(AND(Posts__2[[#This Row],[Date]]&gt;=Posts__2[[#This Row],[Campaign start date]],Posts__2[[#This Row],[Date]]&lt;=Posts__2[[#This Row],[Campaign end date]]),"During","Before")</f>
        <v>Before</v>
      </c>
    </row>
    <row r="265" spans="1:17" x14ac:dyDescent="0.3">
      <c r="A265" t="s">
        <v>328</v>
      </c>
      <c r="B265" t="s">
        <v>57</v>
      </c>
      <c r="C265" s="14">
        <v>45808</v>
      </c>
      <c r="D265" t="s">
        <v>82</v>
      </c>
      <c r="E265" t="s">
        <v>63</v>
      </c>
      <c r="F265">
        <v>2162</v>
      </c>
      <c r="G265">
        <v>318</v>
      </c>
      <c r="H265">
        <v>83</v>
      </c>
      <c r="I265">
        <v>46719</v>
      </c>
      <c r="J265">
        <v>20482</v>
      </c>
      <c r="K265">
        <v>185</v>
      </c>
      <c r="L265" t="s">
        <v>83</v>
      </c>
      <c r="M265" t="s">
        <v>20</v>
      </c>
      <c r="N265">
        <f>(  Posts__2[[#This Row],[Likes]]+Posts__2[[#This Row],[Comments]]+Posts__2[[#This Row],[Shares]] ) / Posts__2[[#This Row],[Impressions]]</f>
        <v>5.4859907104176028E-2</v>
      </c>
      <c r="O265" s="14">
        <f>_xlfn.XLOOKUP(Posts__2[[#This Row],[Campaign_Name]],'Campaign Metadata'!A:A,'Campaign Metadata'!B:B)</f>
        <v>45458</v>
      </c>
      <c r="P265" s="14">
        <f>_xlfn.XLOOKUP(Posts__2[[#This Row],[Campaign_Name]],'Campaign Metadata'!A:A,'Campaign Metadata'!C:C)</f>
        <v>45488</v>
      </c>
      <c r="Q265" t="str">
        <f>IF(AND(Posts__2[[#This Row],[Date]]&gt;=Posts__2[[#This Row],[Campaign start date]],Posts__2[[#This Row],[Date]]&lt;=Posts__2[[#This Row],[Campaign end date]]),"During","Before")</f>
        <v>Before</v>
      </c>
    </row>
    <row r="266" spans="1:17" x14ac:dyDescent="0.3">
      <c r="A266" t="s">
        <v>329</v>
      </c>
      <c r="B266" t="s">
        <v>50</v>
      </c>
      <c r="C266" s="14">
        <v>45825</v>
      </c>
      <c r="D266" t="s">
        <v>51</v>
      </c>
      <c r="E266" t="s">
        <v>47</v>
      </c>
      <c r="F266">
        <v>4341</v>
      </c>
      <c r="G266">
        <v>141</v>
      </c>
      <c r="H266">
        <v>63</v>
      </c>
      <c r="I266">
        <v>50081</v>
      </c>
      <c r="J266">
        <v>27507</v>
      </c>
      <c r="K266">
        <v>221</v>
      </c>
      <c r="L266" t="s">
        <v>65</v>
      </c>
      <c r="M266" t="s">
        <v>19</v>
      </c>
      <c r="N266">
        <f>(  Posts__2[[#This Row],[Likes]]+Posts__2[[#This Row],[Comments]]+Posts__2[[#This Row],[Shares]] ) / Posts__2[[#This Row],[Impressions]]</f>
        <v>9.0752980172121162E-2</v>
      </c>
      <c r="O266" s="14">
        <f>_xlfn.XLOOKUP(Posts__2[[#This Row],[Campaign_Name]],'Campaign Metadata'!A:A,'Campaign Metadata'!B:B)</f>
        <v>45667</v>
      </c>
      <c r="P266" s="14">
        <f>_xlfn.XLOOKUP(Posts__2[[#This Row],[Campaign_Name]],'Campaign Metadata'!A:A,'Campaign Metadata'!C:C)</f>
        <v>45698</v>
      </c>
      <c r="Q266" t="str">
        <f>IF(AND(Posts__2[[#This Row],[Date]]&gt;=Posts__2[[#This Row],[Campaign start date]],Posts__2[[#This Row],[Date]]&lt;=Posts__2[[#This Row],[Campaign end date]]),"During","Before")</f>
        <v>Before</v>
      </c>
    </row>
    <row r="267" spans="1:17" x14ac:dyDescent="0.3">
      <c r="A267" t="s">
        <v>330</v>
      </c>
      <c r="B267" t="s">
        <v>42</v>
      </c>
      <c r="C267" s="14">
        <v>45442</v>
      </c>
      <c r="D267" t="s">
        <v>51</v>
      </c>
      <c r="E267" t="s">
        <v>63</v>
      </c>
      <c r="F267">
        <v>2448</v>
      </c>
      <c r="G267">
        <v>464</v>
      </c>
      <c r="H267">
        <v>98</v>
      </c>
      <c r="I267">
        <v>25737</v>
      </c>
      <c r="J267">
        <v>48545</v>
      </c>
      <c r="K267">
        <v>246</v>
      </c>
      <c r="L267" t="s">
        <v>68</v>
      </c>
      <c r="M267" t="s">
        <v>24</v>
      </c>
      <c r="N267">
        <f>(  Posts__2[[#This Row],[Likes]]+Posts__2[[#This Row],[Comments]]+Posts__2[[#This Row],[Shares]] ) / Posts__2[[#This Row],[Impressions]]</f>
        <v>0.11695224773672146</v>
      </c>
      <c r="O267" s="14">
        <f>_xlfn.XLOOKUP(Posts__2[[#This Row],[Campaign_Name]],'Campaign Metadata'!A:A,'Campaign Metadata'!B:B)</f>
        <v>45627</v>
      </c>
      <c r="P267" s="14">
        <f>_xlfn.XLOOKUP(Posts__2[[#This Row],[Campaign_Name]],'Campaign Metadata'!A:A,'Campaign Metadata'!C:C)</f>
        <v>45657</v>
      </c>
      <c r="Q267" t="str">
        <f>IF(AND(Posts__2[[#This Row],[Date]]&gt;=Posts__2[[#This Row],[Campaign start date]],Posts__2[[#This Row],[Date]]&lt;=Posts__2[[#This Row],[Campaign end date]]),"During","Before")</f>
        <v>Before</v>
      </c>
    </row>
    <row r="268" spans="1:17" x14ac:dyDescent="0.3">
      <c r="A268" t="s">
        <v>331</v>
      </c>
      <c r="B268" t="s">
        <v>57</v>
      </c>
      <c r="C268" s="14">
        <v>45604</v>
      </c>
      <c r="D268" t="s">
        <v>43</v>
      </c>
      <c r="E268" t="s">
        <v>67</v>
      </c>
      <c r="F268">
        <v>2471</v>
      </c>
      <c r="G268">
        <v>166</v>
      </c>
      <c r="H268">
        <v>320</v>
      </c>
      <c r="I268">
        <v>48254</v>
      </c>
      <c r="J268">
        <v>46900</v>
      </c>
      <c r="K268">
        <v>111</v>
      </c>
      <c r="L268" t="s">
        <v>59</v>
      </c>
      <c r="M268" t="s">
        <v>21</v>
      </c>
      <c r="N268">
        <f>(  Posts__2[[#This Row],[Likes]]+Posts__2[[#This Row],[Comments]]+Posts__2[[#This Row],[Shares]] ) / Posts__2[[#This Row],[Impressions]]</f>
        <v>6.1279893894806647E-2</v>
      </c>
      <c r="O268" s="14">
        <f>_xlfn.XLOOKUP(Posts__2[[#This Row],[Campaign_Name]],'Campaign Metadata'!A:A,'Campaign Metadata'!B:B)</f>
        <v>45717</v>
      </c>
      <c r="P268" s="14">
        <f>_xlfn.XLOOKUP(Posts__2[[#This Row],[Campaign_Name]],'Campaign Metadata'!A:A,'Campaign Metadata'!C:C)</f>
        <v>45747</v>
      </c>
      <c r="Q268" t="str">
        <f>IF(AND(Posts__2[[#This Row],[Date]]&gt;=Posts__2[[#This Row],[Campaign start date]],Posts__2[[#This Row],[Date]]&lt;=Posts__2[[#This Row],[Campaign end date]]),"During","Before")</f>
        <v>Before</v>
      </c>
    </row>
    <row r="269" spans="1:17" x14ac:dyDescent="0.3">
      <c r="A269" t="s">
        <v>332</v>
      </c>
      <c r="B269" t="s">
        <v>57</v>
      </c>
      <c r="C269" s="14">
        <v>45368</v>
      </c>
      <c r="D269" t="s">
        <v>82</v>
      </c>
      <c r="E269" t="s">
        <v>47</v>
      </c>
      <c r="F269">
        <v>2692</v>
      </c>
      <c r="G269">
        <v>446</v>
      </c>
      <c r="H269">
        <v>216</v>
      </c>
      <c r="I269">
        <v>45818</v>
      </c>
      <c r="J269">
        <v>62723</v>
      </c>
      <c r="K269">
        <v>85</v>
      </c>
      <c r="L269" t="s">
        <v>83</v>
      </c>
      <c r="M269" t="s">
        <v>20</v>
      </c>
      <c r="N269">
        <f>(  Posts__2[[#This Row],[Likes]]+Posts__2[[#This Row],[Comments]]+Posts__2[[#This Row],[Shares]] ) / Posts__2[[#This Row],[Impressions]]</f>
        <v>7.3202671439172376E-2</v>
      </c>
      <c r="O269" s="14">
        <f>_xlfn.XLOOKUP(Posts__2[[#This Row],[Campaign_Name]],'Campaign Metadata'!A:A,'Campaign Metadata'!B:B)</f>
        <v>45458</v>
      </c>
      <c r="P269" s="14">
        <f>_xlfn.XLOOKUP(Posts__2[[#This Row],[Campaign_Name]],'Campaign Metadata'!A:A,'Campaign Metadata'!C:C)</f>
        <v>45488</v>
      </c>
      <c r="Q269" t="str">
        <f>IF(AND(Posts__2[[#This Row],[Date]]&gt;=Posts__2[[#This Row],[Campaign start date]],Posts__2[[#This Row],[Date]]&lt;=Posts__2[[#This Row],[Campaign end date]]),"During","Before")</f>
        <v>Before</v>
      </c>
    </row>
    <row r="270" spans="1:17" x14ac:dyDescent="0.3">
      <c r="A270" t="s">
        <v>333</v>
      </c>
      <c r="B270" t="s">
        <v>57</v>
      </c>
      <c r="C270" s="14">
        <v>45464</v>
      </c>
      <c r="D270" t="s">
        <v>82</v>
      </c>
      <c r="E270" t="s">
        <v>58</v>
      </c>
      <c r="F270">
        <v>4621</v>
      </c>
      <c r="G270">
        <v>374</v>
      </c>
      <c r="H270">
        <v>298</v>
      </c>
      <c r="I270">
        <v>56979</v>
      </c>
      <c r="J270">
        <v>24098</v>
      </c>
      <c r="K270">
        <v>205</v>
      </c>
      <c r="L270" t="s">
        <v>83</v>
      </c>
      <c r="M270" t="s">
        <v>20</v>
      </c>
      <c r="N270">
        <f>(  Posts__2[[#This Row],[Likes]]+Posts__2[[#This Row],[Comments]]+Posts__2[[#This Row],[Shares]] ) / Posts__2[[#This Row],[Impressions]]</f>
        <v>9.2893873181347508E-2</v>
      </c>
      <c r="O270" s="14">
        <f>_xlfn.XLOOKUP(Posts__2[[#This Row],[Campaign_Name]],'Campaign Metadata'!A:A,'Campaign Metadata'!B:B)</f>
        <v>45458</v>
      </c>
      <c r="P270" s="14">
        <f>_xlfn.XLOOKUP(Posts__2[[#This Row],[Campaign_Name]],'Campaign Metadata'!A:A,'Campaign Metadata'!C:C)</f>
        <v>45488</v>
      </c>
      <c r="Q270" t="str">
        <f>IF(AND(Posts__2[[#This Row],[Date]]&gt;=Posts__2[[#This Row],[Campaign start date]],Posts__2[[#This Row],[Date]]&lt;=Posts__2[[#This Row],[Campaign end date]]),"During","Before")</f>
        <v>During</v>
      </c>
    </row>
    <row r="271" spans="1:17" x14ac:dyDescent="0.3">
      <c r="A271" t="s">
        <v>334</v>
      </c>
      <c r="B271" t="s">
        <v>50</v>
      </c>
      <c r="C271" s="14">
        <v>45609</v>
      </c>
      <c r="D271" t="s">
        <v>51</v>
      </c>
      <c r="E271" t="s">
        <v>52</v>
      </c>
      <c r="F271">
        <v>1409</v>
      </c>
      <c r="G271">
        <v>466</v>
      </c>
      <c r="H271">
        <v>105</v>
      </c>
      <c r="I271">
        <v>58923</v>
      </c>
      <c r="J271">
        <v>38753</v>
      </c>
      <c r="K271">
        <v>265</v>
      </c>
      <c r="L271" t="s">
        <v>65</v>
      </c>
      <c r="M271" t="s">
        <v>19</v>
      </c>
      <c r="N271">
        <f>(  Posts__2[[#This Row],[Likes]]+Posts__2[[#This Row],[Comments]]+Posts__2[[#This Row],[Shares]] ) / Posts__2[[#This Row],[Impressions]]</f>
        <v>3.3603177027646251E-2</v>
      </c>
      <c r="O271" s="14">
        <f>_xlfn.XLOOKUP(Posts__2[[#This Row],[Campaign_Name]],'Campaign Metadata'!A:A,'Campaign Metadata'!B:B)</f>
        <v>45667</v>
      </c>
      <c r="P271" s="14">
        <f>_xlfn.XLOOKUP(Posts__2[[#This Row],[Campaign_Name]],'Campaign Metadata'!A:A,'Campaign Metadata'!C:C)</f>
        <v>45698</v>
      </c>
      <c r="Q271" t="str">
        <f>IF(AND(Posts__2[[#This Row],[Date]]&gt;=Posts__2[[#This Row],[Campaign start date]],Posts__2[[#This Row],[Date]]&lt;=Posts__2[[#This Row],[Campaign end date]]),"During","Before")</f>
        <v>Before</v>
      </c>
    </row>
    <row r="272" spans="1:17" x14ac:dyDescent="0.3">
      <c r="A272" t="s">
        <v>335</v>
      </c>
      <c r="B272" t="s">
        <v>50</v>
      </c>
      <c r="C272" s="14">
        <v>45693</v>
      </c>
      <c r="D272" t="s">
        <v>51</v>
      </c>
      <c r="E272" t="s">
        <v>44</v>
      </c>
      <c r="F272">
        <v>3029</v>
      </c>
      <c r="G272">
        <v>440</v>
      </c>
      <c r="H272">
        <v>66</v>
      </c>
      <c r="I272">
        <v>23815</v>
      </c>
      <c r="J272">
        <v>47895</v>
      </c>
      <c r="K272">
        <v>210</v>
      </c>
      <c r="L272" t="s">
        <v>65</v>
      </c>
      <c r="M272" t="s">
        <v>19</v>
      </c>
      <c r="N272">
        <f>(  Posts__2[[#This Row],[Likes]]+Posts__2[[#This Row],[Comments]]+Posts__2[[#This Row],[Shares]] ) / Posts__2[[#This Row],[Impressions]]</f>
        <v>0.14843585975225698</v>
      </c>
      <c r="O272" s="14">
        <f>_xlfn.XLOOKUP(Posts__2[[#This Row],[Campaign_Name]],'Campaign Metadata'!A:A,'Campaign Metadata'!B:B)</f>
        <v>45667</v>
      </c>
      <c r="P272" s="14">
        <f>_xlfn.XLOOKUP(Posts__2[[#This Row],[Campaign_Name]],'Campaign Metadata'!A:A,'Campaign Metadata'!C:C)</f>
        <v>45698</v>
      </c>
      <c r="Q272" t="str">
        <f>IF(AND(Posts__2[[#This Row],[Date]]&gt;=Posts__2[[#This Row],[Campaign start date]],Posts__2[[#This Row],[Date]]&lt;=Posts__2[[#This Row],[Campaign end date]]),"During","Before")</f>
        <v>During</v>
      </c>
    </row>
    <row r="273" spans="1:17" x14ac:dyDescent="0.3">
      <c r="A273" t="s">
        <v>336</v>
      </c>
      <c r="B273" t="s">
        <v>50</v>
      </c>
      <c r="C273" s="14">
        <v>45603</v>
      </c>
      <c r="D273" t="s">
        <v>43</v>
      </c>
      <c r="E273" t="s">
        <v>47</v>
      </c>
      <c r="F273">
        <v>2229</v>
      </c>
      <c r="G273">
        <v>395</v>
      </c>
      <c r="H273">
        <v>328</v>
      </c>
      <c r="I273">
        <v>56921</v>
      </c>
      <c r="J273">
        <v>37176</v>
      </c>
      <c r="K273">
        <v>126</v>
      </c>
      <c r="L273" t="s">
        <v>71</v>
      </c>
      <c r="M273" t="s">
        <v>21</v>
      </c>
      <c r="N273">
        <f>(  Posts__2[[#This Row],[Likes]]+Posts__2[[#This Row],[Comments]]+Posts__2[[#This Row],[Shares]] ) / Posts__2[[#This Row],[Impressions]]</f>
        <v>5.1861351697967357E-2</v>
      </c>
      <c r="O273" s="14">
        <f>_xlfn.XLOOKUP(Posts__2[[#This Row],[Campaign_Name]],'Campaign Metadata'!A:A,'Campaign Metadata'!B:B)</f>
        <v>45717</v>
      </c>
      <c r="P273" s="14">
        <f>_xlfn.XLOOKUP(Posts__2[[#This Row],[Campaign_Name]],'Campaign Metadata'!A:A,'Campaign Metadata'!C:C)</f>
        <v>45747</v>
      </c>
      <c r="Q273" t="str">
        <f>IF(AND(Posts__2[[#This Row],[Date]]&gt;=Posts__2[[#This Row],[Campaign start date]],Posts__2[[#This Row],[Date]]&lt;=Posts__2[[#This Row],[Campaign end date]]),"During","Before")</f>
        <v>Before</v>
      </c>
    </row>
    <row r="274" spans="1:17" x14ac:dyDescent="0.3">
      <c r="A274" t="s">
        <v>337</v>
      </c>
      <c r="B274" t="s">
        <v>50</v>
      </c>
      <c r="C274" s="14">
        <v>45334</v>
      </c>
      <c r="D274" t="s">
        <v>43</v>
      </c>
      <c r="E274" t="s">
        <v>47</v>
      </c>
      <c r="F274">
        <v>2691</v>
      </c>
      <c r="G274">
        <v>486</v>
      </c>
      <c r="H274">
        <v>206</v>
      </c>
      <c r="I274">
        <v>51133</v>
      </c>
      <c r="J274">
        <v>44583</v>
      </c>
      <c r="K274">
        <v>276</v>
      </c>
      <c r="L274" t="s">
        <v>68</v>
      </c>
      <c r="M274" t="s">
        <v>19</v>
      </c>
      <c r="N274">
        <f>(  Posts__2[[#This Row],[Likes]]+Posts__2[[#This Row],[Comments]]+Posts__2[[#This Row],[Shares]] ) / Posts__2[[#This Row],[Impressions]]</f>
        <v>6.6160796354604659E-2</v>
      </c>
      <c r="O274" s="14">
        <f>_xlfn.XLOOKUP(Posts__2[[#This Row],[Campaign_Name]],'Campaign Metadata'!A:A,'Campaign Metadata'!B:B)</f>
        <v>45667</v>
      </c>
      <c r="P274" s="14">
        <f>_xlfn.XLOOKUP(Posts__2[[#This Row],[Campaign_Name]],'Campaign Metadata'!A:A,'Campaign Metadata'!C:C)</f>
        <v>45698</v>
      </c>
      <c r="Q274" t="str">
        <f>IF(AND(Posts__2[[#This Row],[Date]]&gt;=Posts__2[[#This Row],[Campaign start date]],Posts__2[[#This Row],[Date]]&lt;=Posts__2[[#This Row],[Campaign end date]]),"During","Before")</f>
        <v>Before</v>
      </c>
    </row>
    <row r="275" spans="1:17" x14ac:dyDescent="0.3">
      <c r="A275" t="s">
        <v>338</v>
      </c>
      <c r="B275" t="s">
        <v>42</v>
      </c>
      <c r="C275" s="14">
        <v>45573</v>
      </c>
      <c r="D275" t="s">
        <v>43</v>
      </c>
      <c r="E275" t="s">
        <v>47</v>
      </c>
      <c r="F275">
        <v>2110</v>
      </c>
      <c r="G275">
        <v>384</v>
      </c>
      <c r="H275">
        <v>236</v>
      </c>
      <c r="I275">
        <v>49965</v>
      </c>
      <c r="J275">
        <v>61555</v>
      </c>
      <c r="K275">
        <v>195</v>
      </c>
      <c r="L275" t="s">
        <v>48</v>
      </c>
      <c r="M275" t="s">
        <v>21</v>
      </c>
      <c r="N275">
        <f>(  Posts__2[[#This Row],[Likes]]+Posts__2[[#This Row],[Comments]]+Posts__2[[#This Row],[Shares]] ) / Posts__2[[#This Row],[Impressions]]</f>
        <v>5.4638246772740921E-2</v>
      </c>
      <c r="O275" s="14">
        <f>_xlfn.XLOOKUP(Posts__2[[#This Row],[Campaign_Name]],'Campaign Metadata'!A:A,'Campaign Metadata'!B:B)</f>
        <v>45717</v>
      </c>
      <c r="P275" s="14">
        <f>_xlfn.XLOOKUP(Posts__2[[#This Row],[Campaign_Name]],'Campaign Metadata'!A:A,'Campaign Metadata'!C:C)</f>
        <v>45747</v>
      </c>
      <c r="Q275" t="str">
        <f>IF(AND(Posts__2[[#This Row],[Date]]&gt;=Posts__2[[#This Row],[Campaign start date]],Posts__2[[#This Row],[Date]]&lt;=Posts__2[[#This Row],[Campaign end date]]),"During","Before")</f>
        <v>Before</v>
      </c>
    </row>
    <row r="276" spans="1:17" x14ac:dyDescent="0.3">
      <c r="A276" t="s">
        <v>339</v>
      </c>
      <c r="B276" t="s">
        <v>42</v>
      </c>
      <c r="C276" s="14">
        <v>45341</v>
      </c>
      <c r="D276" t="s">
        <v>43</v>
      </c>
      <c r="E276" t="s">
        <v>55</v>
      </c>
      <c r="F276">
        <v>4752</v>
      </c>
      <c r="G276">
        <v>449</v>
      </c>
      <c r="H276">
        <v>309</v>
      </c>
      <c r="I276">
        <v>58530</v>
      </c>
      <c r="J276">
        <v>26630</v>
      </c>
      <c r="K276">
        <v>234</v>
      </c>
      <c r="L276" t="s">
        <v>48</v>
      </c>
      <c r="M276" t="s">
        <v>21</v>
      </c>
      <c r="N276">
        <f>(  Posts__2[[#This Row],[Likes]]+Posts__2[[#This Row],[Comments]]+Posts__2[[#This Row],[Shares]] ) / Posts__2[[#This Row],[Impressions]]</f>
        <v>9.4139757389372969E-2</v>
      </c>
      <c r="O276" s="14">
        <f>_xlfn.XLOOKUP(Posts__2[[#This Row],[Campaign_Name]],'Campaign Metadata'!A:A,'Campaign Metadata'!B:B)</f>
        <v>45717</v>
      </c>
      <c r="P276" s="14">
        <f>_xlfn.XLOOKUP(Posts__2[[#This Row],[Campaign_Name]],'Campaign Metadata'!A:A,'Campaign Metadata'!C:C)</f>
        <v>45747</v>
      </c>
      <c r="Q276" t="str">
        <f>IF(AND(Posts__2[[#This Row],[Date]]&gt;=Posts__2[[#This Row],[Campaign start date]],Posts__2[[#This Row],[Date]]&lt;=Posts__2[[#This Row],[Campaign end date]]),"During","Before")</f>
        <v>Before</v>
      </c>
    </row>
    <row r="277" spans="1:17" x14ac:dyDescent="0.3">
      <c r="A277" t="s">
        <v>340</v>
      </c>
      <c r="B277" t="s">
        <v>50</v>
      </c>
      <c r="C277" s="14">
        <v>45720</v>
      </c>
      <c r="D277" t="s">
        <v>43</v>
      </c>
      <c r="E277" t="s">
        <v>44</v>
      </c>
      <c r="F277">
        <v>2177</v>
      </c>
      <c r="G277">
        <v>258</v>
      </c>
      <c r="H277">
        <v>292</v>
      </c>
      <c r="I277">
        <v>47276</v>
      </c>
      <c r="J277">
        <v>51324</v>
      </c>
      <c r="K277">
        <v>143</v>
      </c>
      <c r="L277" t="s">
        <v>68</v>
      </c>
      <c r="M277" t="s">
        <v>19</v>
      </c>
      <c r="N277">
        <f>(  Posts__2[[#This Row],[Likes]]+Posts__2[[#This Row],[Comments]]+Posts__2[[#This Row],[Shares]] ) / Posts__2[[#This Row],[Impressions]]</f>
        <v>5.7682545054573146E-2</v>
      </c>
      <c r="O277" s="14">
        <f>_xlfn.XLOOKUP(Posts__2[[#This Row],[Campaign_Name]],'Campaign Metadata'!A:A,'Campaign Metadata'!B:B)</f>
        <v>45667</v>
      </c>
      <c r="P277" s="14">
        <f>_xlfn.XLOOKUP(Posts__2[[#This Row],[Campaign_Name]],'Campaign Metadata'!A:A,'Campaign Metadata'!C:C)</f>
        <v>45698</v>
      </c>
      <c r="Q277" t="str">
        <f>IF(AND(Posts__2[[#This Row],[Date]]&gt;=Posts__2[[#This Row],[Campaign start date]],Posts__2[[#This Row],[Date]]&lt;=Posts__2[[#This Row],[Campaign end date]]),"During","Before")</f>
        <v>Before</v>
      </c>
    </row>
    <row r="278" spans="1:17" x14ac:dyDescent="0.3">
      <c r="A278" t="s">
        <v>341</v>
      </c>
      <c r="B278" t="s">
        <v>42</v>
      </c>
      <c r="C278" s="14">
        <v>45691</v>
      </c>
      <c r="D278" t="s">
        <v>51</v>
      </c>
      <c r="E278" t="s">
        <v>52</v>
      </c>
      <c r="F278">
        <v>1205</v>
      </c>
      <c r="G278">
        <v>486</v>
      </c>
      <c r="H278">
        <v>269</v>
      </c>
      <c r="I278">
        <v>23341</v>
      </c>
      <c r="J278">
        <v>42411</v>
      </c>
      <c r="K278">
        <v>184</v>
      </c>
      <c r="L278" t="s">
        <v>68</v>
      </c>
      <c r="M278" t="s">
        <v>24</v>
      </c>
      <c r="N278">
        <f>(  Posts__2[[#This Row],[Likes]]+Posts__2[[#This Row],[Comments]]+Posts__2[[#This Row],[Shares]] ) / Posts__2[[#This Row],[Impressions]]</f>
        <v>8.3972409065592737E-2</v>
      </c>
      <c r="O278" s="14">
        <f>_xlfn.XLOOKUP(Posts__2[[#This Row],[Campaign_Name]],'Campaign Metadata'!A:A,'Campaign Metadata'!B:B)</f>
        <v>45627</v>
      </c>
      <c r="P278" s="14">
        <f>_xlfn.XLOOKUP(Posts__2[[#This Row],[Campaign_Name]],'Campaign Metadata'!A:A,'Campaign Metadata'!C:C)</f>
        <v>45657</v>
      </c>
      <c r="Q278" t="str">
        <f>IF(AND(Posts__2[[#This Row],[Date]]&gt;=Posts__2[[#This Row],[Campaign start date]],Posts__2[[#This Row],[Date]]&lt;=Posts__2[[#This Row],[Campaign end date]]),"During","Before")</f>
        <v>Before</v>
      </c>
    </row>
    <row r="279" spans="1:17" x14ac:dyDescent="0.3">
      <c r="A279" t="s">
        <v>342</v>
      </c>
      <c r="B279" t="s">
        <v>42</v>
      </c>
      <c r="C279" s="14">
        <v>45628</v>
      </c>
      <c r="D279" t="s">
        <v>43</v>
      </c>
      <c r="E279" t="s">
        <v>67</v>
      </c>
      <c r="F279">
        <v>3194</v>
      </c>
      <c r="G279">
        <v>292</v>
      </c>
      <c r="H279">
        <v>245</v>
      </c>
      <c r="I279">
        <v>56371</v>
      </c>
      <c r="J279">
        <v>65597</v>
      </c>
      <c r="K279">
        <v>163</v>
      </c>
      <c r="L279" t="s">
        <v>45</v>
      </c>
      <c r="M279" t="s">
        <v>19</v>
      </c>
      <c r="N279">
        <f>(  Posts__2[[#This Row],[Likes]]+Posts__2[[#This Row],[Comments]]+Posts__2[[#This Row],[Shares]] ) / Posts__2[[#This Row],[Impressions]]</f>
        <v>6.6186514342481059E-2</v>
      </c>
      <c r="O279" s="14">
        <f>_xlfn.XLOOKUP(Posts__2[[#This Row],[Campaign_Name]],'Campaign Metadata'!A:A,'Campaign Metadata'!B:B)</f>
        <v>45667</v>
      </c>
      <c r="P279" s="14">
        <f>_xlfn.XLOOKUP(Posts__2[[#This Row],[Campaign_Name]],'Campaign Metadata'!A:A,'Campaign Metadata'!C:C)</f>
        <v>45698</v>
      </c>
      <c r="Q279" t="str">
        <f>IF(AND(Posts__2[[#This Row],[Date]]&gt;=Posts__2[[#This Row],[Campaign start date]],Posts__2[[#This Row],[Date]]&lt;=Posts__2[[#This Row],[Campaign end date]]),"During","Before")</f>
        <v>Before</v>
      </c>
    </row>
    <row r="280" spans="1:17" x14ac:dyDescent="0.3">
      <c r="A280" t="s">
        <v>343</v>
      </c>
      <c r="B280" t="s">
        <v>50</v>
      </c>
      <c r="C280" s="14">
        <v>45676</v>
      </c>
      <c r="D280" t="s">
        <v>51</v>
      </c>
      <c r="E280" t="s">
        <v>52</v>
      </c>
      <c r="F280">
        <v>3507</v>
      </c>
      <c r="G280">
        <v>295</v>
      </c>
      <c r="H280">
        <v>371</v>
      </c>
      <c r="I280">
        <v>20410</v>
      </c>
      <c r="J280">
        <v>53965</v>
      </c>
      <c r="K280">
        <v>212</v>
      </c>
      <c r="L280" t="s">
        <v>45</v>
      </c>
      <c r="M280" t="s">
        <v>19</v>
      </c>
      <c r="N280">
        <f>(  Posts__2[[#This Row],[Likes]]+Posts__2[[#This Row],[Comments]]+Posts__2[[#This Row],[Shares]] ) / Posts__2[[#This Row],[Impressions]]</f>
        <v>0.20445859872611466</v>
      </c>
      <c r="O280" s="14">
        <f>_xlfn.XLOOKUP(Posts__2[[#This Row],[Campaign_Name]],'Campaign Metadata'!A:A,'Campaign Metadata'!B:B)</f>
        <v>45667</v>
      </c>
      <c r="P280" s="14">
        <f>_xlfn.XLOOKUP(Posts__2[[#This Row],[Campaign_Name]],'Campaign Metadata'!A:A,'Campaign Metadata'!C:C)</f>
        <v>45698</v>
      </c>
      <c r="Q280" t="str">
        <f>IF(AND(Posts__2[[#This Row],[Date]]&gt;=Posts__2[[#This Row],[Campaign start date]],Posts__2[[#This Row],[Date]]&lt;=Posts__2[[#This Row],[Campaign end date]]),"During","Before")</f>
        <v>During</v>
      </c>
    </row>
    <row r="281" spans="1:17" x14ac:dyDescent="0.3">
      <c r="A281" t="s">
        <v>344</v>
      </c>
      <c r="B281" t="s">
        <v>50</v>
      </c>
      <c r="C281" s="14">
        <v>45563</v>
      </c>
      <c r="D281" t="s">
        <v>51</v>
      </c>
      <c r="E281" t="s">
        <v>55</v>
      </c>
      <c r="F281">
        <v>4471</v>
      </c>
      <c r="G281">
        <v>317</v>
      </c>
      <c r="H281">
        <v>249</v>
      </c>
      <c r="I281">
        <v>44862</v>
      </c>
      <c r="J281">
        <v>33365</v>
      </c>
      <c r="K281">
        <v>184</v>
      </c>
      <c r="L281" t="s">
        <v>65</v>
      </c>
      <c r="M281" t="s">
        <v>19</v>
      </c>
      <c r="N281">
        <f>(  Posts__2[[#This Row],[Likes]]+Posts__2[[#This Row],[Comments]]+Posts__2[[#This Row],[Shares]] ) / Posts__2[[#This Row],[Impressions]]</f>
        <v>0.1122776514644911</v>
      </c>
      <c r="O281" s="14">
        <f>_xlfn.XLOOKUP(Posts__2[[#This Row],[Campaign_Name]],'Campaign Metadata'!A:A,'Campaign Metadata'!B:B)</f>
        <v>45667</v>
      </c>
      <c r="P281" s="14">
        <f>_xlfn.XLOOKUP(Posts__2[[#This Row],[Campaign_Name]],'Campaign Metadata'!A:A,'Campaign Metadata'!C:C)</f>
        <v>45698</v>
      </c>
      <c r="Q281" t="str">
        <f>IF(AND(Posts__2[[#This Row],[Date]]&gt;=Posts__2[[#This Row],[Campaign start date]],Posts__2[[#This Row],[Date]]&lt;=Posts__2[[#This Row],[Campaign end date]]),"During","Before")</f>
        <v>Before</v>
      </c>
    </row>
    <row r="282" spans="1:17" x14ac:dyDescent="0.3">
      <c r="A282" t="s">
        <v>345</v>
      </c>
      <c r="B282" t="s">
        <v>42</v>
      </c>
      <c r="C282" s="14">
        <v>45298</v>
      </c>
      <c r="D282" t="s">
        <v>43</v>
      </c>
      <c r="E282" t="s">
        <v>67</v>
      </c>
      <c r="F282">
        <v>4931</v>
      </c>
      <c r="G282">
        <v>469</v>
      </c>
      <c r="H282">
        <v>193</v>
      </c>
      <c r="I282">
        <v>56701</v>
      </c>
      <c r="J282">
        <v>69437</v>
      </c>
      <c r="K282">
        <v>291</v>
      </c>
      <c r="L282" t="s">
        <v>45</v>
      </c>
      <c r="M282" t="s">
        <v>19</v>
      </c>
      <c r="N282">
        <f>(  Posts__2[[#This Row],[Likes]]+Posts__2[[#This Row],[Comments]]+Posts__2[[#This Row],[Shares]] ) / Posts__2[[#This Row],[Impressions]]</f>
        <v>9.8640235621946709E-2</v>
      </c>
      <c r="O282" s="14">
        <f>_xlfn.XLOOKUP(Posts__2[[#This Row],[Campaign_Name]],'Campaign Metadata'!A:A,'Campaign Metadata'!B:B)</f>
        <v>45667</v>
      </c>
      <c r="P282" s="14">
        <f>_xlfn.XLOOKUP(Posts__2[[#This Row],[Campaign_Name]],'Campaign Metadata'!A:A,'Campaign Metadata'!C:C)</f>
        <v>45698</v>
      </c>
      <c r="Q282" t="str">
        <f>IF(AND(Posts__2[[#This Row],[Date]]&gt;=Posts__2[[#This Row],[Campaign start date]],Posts__2[[#This Row],[Date]]&lt;=Posts__2[[#This Row],[Campaign end date]]),"During","Before")</f>
        <v>Before</v>
      </c>
    </row>
    <row r="283" spans="1:17" x14ac:dyDescent="0.3">
      <c r="A283" t="s">
        <v>346</v>
      </c>
      <c r="B283" t="s">
        <v>50</v>
      </c>
      <c r="C283" s="14">
        <v>45343</v>
      </c>
      <c r="D283" t="s">
        <v>51</v>
      </c>
      <c r="E283" t="s">
        <v>63</v>
      </c>
      <c r="F283">
        <v>2604</v>
      </c>
      <c r="G283">
        <v>439</v>
      </c>
      <c r="H283">
        <v>148</v>
      </c>
      <c r="I283">
        <v>58468</v>
      </c>
      <c r="J283">
        <v>39629</v>
      </c>
      <c r="K283">
        <v>163</v>
      </c>
      <c r="L283" t="s">
        <v>53</v>
      </c>
      <c r="M283" t="s">
        <v>19</v>
      </c>
      <c r="N283">
        <f>(  Posts__2[[#This Row],[Likes]]+Posts__2[[#This Row],[Comments]]+Posts__2[[#This Row],[Shares]] ) / Posts__2[[#This Row],[Impressions]]</f>
        <v>5.4576862557296296E-2</v>
      </c>
      <c r="O283" s="14">
        <f>_xlfn.XLOOKUP(Posts__2[[#This Row],[Campaign_Name]],'Campaign Metadata'!A:A,'Campaign Metadata'!B:B)</f>
        <v>45667</v>
      </c>
      <c r="P283" s="14">
        <f>_xlfn.XLOOKUP(Posts__2[[#This Row],[Campaign_Name]],'Campaign Metadata'!A:A,'Campaign Metadata'!C:C)</f>
        <v>45698</v>
      </c>
      <c r="Q283" t="str">
        <f>IF(AND(Posts__2[[#This Row],[Date]]&gt;=Posts__2[[#This Row],[Campaign start date]],Posts__2[[#This Row],[Date]]&lt;=Posts__2[[#This Row],[Campaign end date]]),"During","Before")</f>
        <v>Before</v>
      </c>
    </row>
    <row r="284" spans="1:17" x14ac:dyDescent="0.3">
      <c r="A284" t="s">
        <v>347</v>
      </c>
      <c r="B284" t="s">
        <v>42</v>
      </c>
      <c r="C284" s="14">
        <v>45531</v>
      </c>
      <c r="D284" t="s">
        <v>43</v>
      </c>
      <c r="E284" t="s">
        <v>58</v>
      </c>
      <c r="F284">
        <v>4197</v>
      </c>
      <c r="G284">
        <v>359</v>
      </c>
      <c r="H284">
        <v>280</v>
      </c>
      <c r="I284">
        <v>56048</v>
      </c>
      <c r="J284">
        <v>70930</v>
      </c>
      <c r="K284">
        <v>295</v>
      </c>
      <c r="L284" t="s">
        <v>48</v>
      </c>
      <c r="M284" t="s">
        <v>21</v>
      </c>
      <c r="N284">
        <f>(  Posts__2[[#This Row],[Likes]]+Posts__2[[#This Row],[Comments]]+Posts__2[[#This Row],[Shares]] ) / Posts__2[[#This Row],[Impressions]]</f>
        <v>8.628318584070796E-2</v>
      </c>
      <c r="O284" s="14">
        <f>_xlfn.XLOOKUP(Posts__2[[#This Row],[Campaign_Name]],'Campaign Metadata'!A:A,'Campaign Metadata'!B:B)</f>
        <v>45717</v>
      </c>
      <c r="P284" s="14">
        <f>_xlfn.XLOOKUP(Posts__2[[#This Row],[Campaign_Name]],'Campaign Metadata'!A:A,'Campaign Metadata'!C:C)</f>
        <v>45747</v>
      </c>
      <c r="Q284" t="str">
        <f>IF(AND(Posts__2[[#This Row],[Date]]&gt;=Posts__2[[#This Row],[Campaign start date]],Posts__2[[#This Row],[Date]]&lt;=Posts__2[[#This Row],[Campaign end date]]),"During","Before")</f>
        <v>Before</v>
      </c>
    </row>
    <row r="285" spans="1:17" x14ac:dyDescent="0.3">
      <c r="A285" t="s">
        <v>348</v>
      </c>
      <c r="B285" t="s">
        <v>42</v>
      </c>
      <c r="C285" s="14">
        <v>45589</v>
      </c>
      <c r="D285" t="s">
        <v>51</v>
      </c>
      <c r="E285" t="s">
        <v>67</v>
      </c>
      <c r="F285">
        <v>1914</v>
      </c>
      <c r="G285">
        <v>255</v>
      </c>
      <c r="H285">
        <v>156</v>
      </c>
      <c r="I285">
        <v>27660</v>
      </c>
      <c r="J285">
        <v>47776</v>
      </c>
      <c r="K285">
        <v>111</v>
      </c>
      <c r="L285" t="s">
        <v>68</v>
      </c>
      <c r="M285" t="s">
        <v>24</v>
      </c>
      <c r="N285">
        <f>(  Posts__2[[#This Row],[Likes]]+Posts__2[[#This Row],[Comments]]+Posts__2[[#This Row],[Shares]] ) / Posts__2[[#This Row],[Impressions]]</f>
        <v>8.4056399132321047E-2</v>
      </c>
      <c r="O285" s="14">
        <f>_xlfn.XLOOKUP(Posts__2[[#This Row],[Campaign_Name]],'Campaign Metadata'!A:A,'Campaign Metadata'!B:B)</f>
        <v>45627</v>
      </c>
      <c r="P285" s="14">
        <f>_xlfn.XLOOKUP(Posts__2[[#This Row],[Campaign_Name]],'Campaign Metadata'!A:A,'Campaign Metadata'!C:C)</f>
        <v>45657</v>
      </c>
      <c r="Q285" t="str">
        <f>IF(AND(Posts__2[[#This Row],[Date]]&gt;=Posts__2[[#This Row],[Campaign start date]],Posts__2[[#This Row],[Date]]&lt;=Posts__2[[#This Row],[Campaign end date]]),"During","Before")</f>
        <v>Before</v>
      </c>
    </row>
    <row r="286" spans="1:17" x14ac:dyDescent="0.3">
      <c r="A286" t="s">
        <v>349</v>
      </c>
      <c r="B286" t="s">
        <v>57</v>
      </c>
      <c r="C286" s="14">
        <v>45686</v>
      </c>
      <c r="D286" t="s">
        <v>43</v>
      </c>
      <c r="E286" t="s">
        <v>52</v>
      </c>
      <c r="F286">
        <v>1334</v>
      </c>
      <c r="G286">
        <v>357</v>
      </c>
      <c r="H286">
        <v>257</v>
      </c>
      <c r="I286">
        <v>56910</v>
      </c>
      <c r="J286">
        <v>70606</v>
      </c>
      <c r="K286">
        <v>228</v>
      </c>
      <c r="L286" t="s">
        <v>59</v>
      </c>
      <c r="M286" t="s">
        <v>21</v>
      </c>
      <c r="N286">
        <f>(  Posts__2[[#This Row],[Likes]]+Posts__2[[#This Row],[Comments]]+Posts__2[[#This Row],[Shares]] ) / Posts__2[[#This Row],[Impressions]]</f>
        <v>3.4229485151994379E-2</v>
      </c>
      <c r="O286" s="14">
        <f>_xlfn.XLOOKUP(Posts__2[[#This Row],[Campaign_Name]],'Campaign Metadata'!A:A,'Campaign Metadata'!B:B)</f>
        <v>45717</v>
      </c>
      <c r="P286" s="14">
        <f>_xlfn.XLOOKUP(Posts__2[[#This Row],[Campaign_Name]],'Campaign Metadata'!A:A,'Campaign Metadata'!C:C)</f>
        <v>45747</v>
      </c>
      <c r="Q286" t="str">
        <f>IF(AND(Posts__2[[#This Row],[Date]]&gt;=Posts__2[[#This Row],[Campaign start date]],Posts__2[[#This Row],[Date]]&lt;=Posts__2[[#This Row],[Campaign end date]]),"During","Before")</f>
        <v>Before</v>
      </c>
    </row>
    <row r="287" spans="1:17" x14ac:dyDescent="0.3">
      <c r="A287" t="s">
        <v>350</v>
      </c>
      <c r="B287" t="s">
        <v>42</v>
      </c>
      <c r="C287" s="14">
        <v>45413</v>
      </c>
      <c r="D287" t="s">
        <v>43</v>
      </c>
      <c r="E287" t="s">
        <v>63</v>
      </c>
      <c r="F287">
        <v>3359</v>
      </c>
      <c r="G287">
        <v>137</v>
      </c>
      <c r="H287">
        <v>387</v>
      </c>
      <c r="I287">
        <v>33861</v>
      </c>
      <c r="J287">
        <v>47257</v>
      </c>
      <c r="K287">
        <v>198</v>
      </c>
      <c r="L287" t="s">
        <v>48</v>
      </c>
      <c r="M287" t="s">
        <v>21</v>
      </c>
      <c r="N287">
        <f>(  Posts__2[[#This Row],[Likes]]+Posts__2[[#This Row],[Comments]]+Posts__2[[#This Row],[Shares]] ) / Posts__2[[#This Row],[Impressions]]</f>
        <v>0.11467469950680724</v>
      </c>
      <c r="O287" s="14">
        <f>_xlfn.XLOOKUP(Posts__2[[#This Row],[Campaign_Name]],'Campaign Metadata'!A:A,'Campaign Metadata'!B:B)</f>
        <v>45717</v>
      </c>
      <c r="P287" s="14">
        <f>_xlfn.XLOOKUP(Posts__2[[#This Row],[Campaign_Name]],'Campaign Metadata'!A:A,'Campaign Metadata'!C:C)</f>
        <v>45747</v>
      </c>
      <c r="Q287" t="str">
        <f>IF(AND(Posts__2[[#This Row],[Date]]&gt;=Posts__2[[#This Row],[Campaign start date]],Posts__2[[#This Row],[Date]]&lt;=Posts__2[[#This Row],[Campaign end date]]),"During","Before")</f>
        <v>Before</v>
      </c>
    </row>
    <row r="288" spans="1:17" x14ac:dyDescent="0.3">
      <c r="A288" t="s">
        <v>351</v>
      </c>
      <c r="B288" t="s">
        <v>57</v>
      </c>
      <c r="C288" s="14">
        <v>45468</v>
      </c>
      <c r="D288" t="s">
        <v>43</v>
      </c>
      <c r="E288" t="s">
        <v>77</v>
      </c>
      <c r="F288">
        <v>2172</v>
      </c>
      <c r="G288">
        <v>338</v>
      </c>
      <c r="H288">
        <v>70</v>
      </c>
      <c r="I288">
        <v>30515</v>
      </c>
      <c r="J288">
        <v>57853</v>
      </c>
      <c r="K288">
        <v>156</v>
      </c>
      <c r="L288" t="s">
        <v>59</v>
      </c>
      <c r="M288" t="s">
        <v>21</v>
      </c>
      <c r="N288">
        <f>(  Posts__2[[#This Row],[Likes]]+Posts__2[[#This Row],[Comments]]+Posts__2[[#This Row],[Shares]] ) / Posts__2[[#This Row],[Impressions]]</f>
        <v>8.4548582664263475E-2</v>
      </c>
      <c r="O288" s="14">
        <f>_xlfn.XLOOKUP(Posts__2[[#This Row],[Campaign_Name]],'Campaign Metadata'!A:A,'Campaign Metadata'!B:B)</f>
        <v>45717</v>
      </c>
      <c r="P288" s="14">
        <f>_xlfn.XLOOKUP(Posts__2[[#This Row],[Campaign_Name]],'Campaign Metadata'!A:A,'Campaign Metadata'!C:C)</f>
        <v>45747</v>
      </c>
      <c r="Q288" t="str">
        <f>IF(AND(Posts__2[[#This Row],[Date]]&gt;=Posts__2[[#This Row],[Campaign start date]],Posts__2[[#This Row],[Date]]&lt;=Posts__2[[#This Row],[Campaign end date]]),"During","Before")</f>
        <v>Before</v>
      </c>
    </row>
    <row r="289" spans="1:17" x14ac:dyDescent="0.3">
      <c r="A289" t="s">
        <v>352</v>
      </c>
      <c r="B289" t="s">
        <v>50</v>
      </c>
      <c r="C289" s="14">
        <v>45513</v>
      </c>
      <c r="D289" t="s">
        <v>51</v>
      </c>
      <c r="E289" t="s">
        <v>75</v>
      </c>
      <c r="F289">
        <v>4877</v>
      </c>
      <c r="G289">
        <v>442</v>
      </c>
      <c r="H289">
        <v>236</v>
      </c>
      <c r="I289">
        <v>52673</v>
      </c>
      <c r="J289">
        <v>48241</v>
      </c>
      <c r="K289">
        <v>114</v>
      </c>
      <c r="L289" t="s">
        <v>65</v>
      </c>
      <c r="M289" t="s">
        <v>19</v>
      </c>
      <c r="N289">
        <f>(  Posts__2[[#This Row],[Likes]]+Posts__2[[#This Row],[Comments]]+Posts__2[[#This Row],[Shares]] ) / Posts__2[[#This Row],[Impressions]]</f>
        <v>0.10546200140489435</v>
      </c>
      <c r="O289" s="14">
        <f>_xlfn.XLOOKUP(Posts__2[[#This Row],[Campaign_Name]],'Campaign Metadata'!A:A,'Campaign Metadata'!B:B)</f>
        <v>45667</v>
      </c>
      <c r="P289" s="14">
        <f>_xlfn.XLOOKUP(Posts__2[[#This Row],[Campaign_Name]],'Campaign Metadata'!A:A,'Campaign Metadata'!C:C)</f>
        <v>45698</v>
      </c>
      <c r="Q289" t="str">
        <f>IF(AND(Posts__2[[#This Row],[Date]]&gt;=Posts__2[[#This Row],[Campaign start date]],Posts__2[[#This Row],[Date]]&lt;=Posts__2[[#This Row],[Campaign end date]]),"During","Before")</f>
        <v>Before</v>
      </c>
    </row>
    <row r="290" spans="1:17" x14ac:dyDescent="0.3">
      <c r="A290" t="s">
        <v>353</v>
      </c>
      <c r="B290" t="s">
        <v>42</v>
      </c>
      <c r="C290" s="14">
        <v>45678</v>
      </c>
      <c r="D290" t="s">
        <v>51</v>
      </c>
      <c r="E290" t="s">
        <v>52</v>
      </c>
      <c r="F290">
        <v>4918</v>
      </c>
      <c r="G290">
        <v>440</v>
      </c>
      <c r="H290">
        <v>149</v>
      </c>
      <c r="I290">
        <v>53269</v>
      </c>
      <c r="J290">
        <v>64370</v>
      </c>
      <c r="K290">
        <v>269</v>
      </c>
      <c r="L290" t="s">
        <v>68</v>
      </c>
      <c r="M290" t="s">
        <v>24</v>
      </c>
      <c r="N290">
        <f>(  Posts__2[[#This Row],[Likes]]+Posts__2[[#This Row],[Comments]]+Posts__2[[#This Row],[Shares]] ) / Posts__2[[#This Row],[Impressions]]</f>
        <v>0.10338095327488783</v>
      </c>
      <c r="O290" s="14">
        <f>_xlfn.XLOOKUP(Posts__2[[#This Row],[Campaign_Name]],'Campaign Metadata'!A:A,'Campaign Metadata'!B:B)</f>
        <v>45627</v>
      </c>
      <c r="P290" s="14">
        <f>_xlfn.XLOOKUP(Posts__2[[#This Row],[Campaign_Name]],'Campaign Metadata'!A:A,'Campaign Metadata'!C:C)</f>
        <v>45657</v>
      </c>
      <c r="Q290" t="str">
        <f>IF(AND(Posts__2[[#This Row],[Date]]&gt;=Posts__2[[#This Row],[Campaign start date]],Posts__2[[#This Row],[Date]]&lt;=Posts__2[[#This Row],[Campaign end date]]),"During","Before")</f>
        <v>Before</v>
      </c>
    </row>
    <row r="291" spans="1:17" x14ac:dyDescent="0.3">
      <c r="A291" t="s">
        <v>354</v>
      </c>
      <c r="B291" t="s">
        <v>50</v>
      </c>
      <c r="C291" s="14">
        <v>45517</v>
      </c>
      <c r="D291" t="s">
        <v>43</v>
      </c>
      <c r="E291" t="s">
        <v>47</v>
      </c>
      <c r="F291">
        <v>3418</v>
      </c>
      <c r="G291">
        <v>107</v>
      </c>
      <c r="H291">
        <v>221</v>
      </c>
      <c r="I291">
        <v>23927</v>
      </c>
      <c r="J291">
        <v>26182</v>
      </c>
      <c r="K291">
        <v>155</v>
      </c>
      <c r="L291" t="s">
        <v>71</v>
      </c>
      <c r="M291" t="s">
        <v>21</v>
      </c>
      <c r="N291">
        <f>(  Posts__2[[#This Row],[Likes]]+Posts__2[[#This Row],[Comments]]+Posts__2[[#This Row],[Shares]] ) / Posts__2[[#This Row],[Impressions]]</f>
        <v>0.1565595352530614</v>
      </c>
      <c r="O291" s="14">
        <f>_xlfn.XLOOKUP(Posts__2[[#This Row],[Campaign_Name]],'Campaign Metadata'!A:A,'Campaign Metadata'!B:B)</f>
        <v>45717</v>
      </c>
      <c r="P291" s="14">
        <f>_xlfn.XLOOKUP(Posts__2[[#This Row],[Campaign_Name]],'Campaign Metadata'!A:A,'Campaign Metadata'!C:C)</f>
        <v>45747</v>
      </c>
      <c r="Q291" t="str">
        <f>IF(AND(Posts__2[[#This Row],[Date]]&gt;=Posts__2[[#This Row],[Campaign start date]],Posts__2[[#This Row],[Date]]&lt;=Posts__2[[#This Row],[Campaign end date]]),"During","Before")</f>
        <v>Before</v>
      </c>
    </row>
    <row r="292" spans="1:17" x14ac:dyDescent="0.3">
      <c r="A292" t="s">
        <v>355</v>
      </c>
      <c r="B292" t="s">
        <v>42</v>
      </c>
      <c r="C292" s="14">
        <v>45472</v>
      </c>
      <c r="D292" t="s">
        <v>43</v>
      </c>
      <c r="E292" t="s">
        <v>77</v>
      </c>
      <c r="F292">
        <v>2088</v>
      </c>
      <c r="G292">
        <v>490</v>
      </c>
      <c r="H292">
        <v>124</v>
      </c>
      <c r="I292">
        <v>46544</v>
      </c>
      <c r="J292">
        <v>69346</v>
      </c>
      <c r="K292">
        <v>178</v>
      </c>
      <c r="L292" t="s">
        <v>45</v>
      </c>
      <c r="M292" t="s">
        <v>19</v>
      </c>
      <c r="N292">
        <f>(  Posts__2[[#This Row],[Likes]]+Posts__2[[#This Row],[Comments]]+Posts__2[[#This Row],[Shares]] ) / Posts__2[[#This Row],[Impressions]]</f>
        <v>5.8052595393606049E-2</v>
      </c>
      <c r="O292" s="14">
        <f>_xlfn.XLOOKUP(Posts__2[[#This Row],[Campaign_Name]],'Campaign Metadata'!A:A,'Campaign Metadata'!B:B)</f>
        <v>45667</v>
      </c>
      <c r="P292" s="14">
        <f>_xlfn.XLOOKUP(Posts__2[[#This Row],[Campaign_Name]],'Campaign Metadata'!A:A,'Campaign Metadata'!C:C)</f>
        <v>45698</v>
      </c>
      <c r="Q292" t="str">
        <f>IF(AND(Posts__2[[#This Row],[Date]]&gt;=Posts__2[[#This Row],[Campaign start date]],Posts__2[[#This Row],[Date]]&lt;=Posts__2[[#This Row],[Campaign end date]]),"During","Before")</f>
        <v>Before</v>
      </c>
    </row>
    <row r="293" spans="1:17" x14ac:dyDescent="0.3">
      <c r="A293" t="s">
        <v>356</v>
      </c>
      <c r="B293" t="s">
        <v>50</v>
      </c>
      <c r="C293" s="14">
        <v>45599</v>
      </c>
      <c r="D293" t="s">
        <v>51</v>
      </c>
      <c r="E293" t="s">
        <v>47</v>
      </c>
      <c r="F293">
        <v>3061</v>
      </c>
      <c r="G293">
        <v>320</v>
      </c>
      <c r="H293">
        <v>76</v>
      </c>
      <c r="I293">
        <v>26640</v>
      </c>
      <c r="J293">
        <v>24306</v>
      </c>
      <c r="K293">
        <v>112</v>
      </c>
      <c r="L293" t="s">
        <v>53</v>
      </c>
      <c r="M293" t="s">
        <v>19</v>
      </c>
      <c r="N293">
        <f>(  Posts__2[[#This Row],[Likes]]+Posts__2[[#This Row],[Comments]]+Posts__2[[#This Row],[Shares]] ) / Posts__2[[#This Row],[Impressions]]</f>
        <v>0.12976726726726726</v>
      </c>
      <c r="O293" s="14">
        <f>_xlfn.XLOOKUP(Posts__2[[#This Row],[Campaign_Name]],'Campaign Metadata'!A:A,'Campaign Metadata'!B:B)</f>
        <v>45667</v>
      </c>
      <c r="P293" s="14">
        <f>_xlfn.XLOOKUP(Posts__2[[#This Row],[Campaign_Name]],'Campaign Metadata'!A:A,'Campaign Metadata'!C:C)</f>
        <v>45698</v>
      </c>
      <c r="Q293" t="str">
        <f>IF(AND(Posts__2[[#This Row],[Date]]&gt;=Posts__2[[#This Row],[Campaign start date]],Posts__2[[#This Row],[Date]]&lt;=Posts__2[[#This Row],[Campaign end date]]),"During","Before")</f>
        <v>Before</v>
      </c>
    </row>
    <row r="294" spans="1:17" x14ac:dyDescent="0.3">
      <c r="A294" t="s">
        <v>357</v>
      </c>
      <c r="B294" t="s">
        <v>57</v>
      </c>
      <c r="C294" s="14">
        <v>45765</v>
      </c>
      <c r="D294" t="s">
        <v>82</v>
      </c>
      <c r="E294" t="s">
        <v>77</v>
      </c>
      <c r="F294">
        <v>1265</v>
      </c>
      <c r="G294">
        <v>230</v>
      </c>
      <c r="H294">
        <v>364</v>
      </c>
      <c r="I294">
        <v>41312</v>
      </c>
      <c r="J294">
        <v>50382</v>
      </c>
      <c r="K294">
        <v>106</v>
      </c>
      <c r="L294" t="s">
        <v>83</v>
      </c>
      <c r="M294" t="s">
        <v>20</v>
      </c>
      <c r="N294">
        <f>(  Posts__2[[#This Row],[Likes]]+Posts__2[[#This Row],[Comments]]+Posts__2[[#This Row],[Shares]] ) / Posts__2[[#This Row],[Impressions]]</f>
        <v>4.4999031758326875E-2</v>
      </c>
      <c r="O294" s="14">
        <f>_xlfn.XLOOKUP(Posts__2[[#This Row],[Campaign_Name]],'Campaign Metadata'!A:A,'Campaign Metadata'!B:B)</f>
        <v>45458</v>
      </c>
      <c r="P294" s="14">
        <f>_xlfn.XLOOKUP(Posts__2[[#This Row],[Campaign_Name]],'Campaign Metadata'!A:A,'Campaign Metadata'!C:C)</f>
        <v>45488</v>
      </c>
      <c r="Q294" t="str">
        <f>IF(AND(Posts__2[[#This Row],[Date]]&gt;=Posts__2[[#This Row],[Campaign start date]],Posts__2[[#This Row],[Date]]&lt;=Posts__2[[#This Row],[Campaign end date]]),"During","Before")</f>
        <v>Before</v>
      </c>
    </row>
    <row r="295" spans="1:17" x14ac:dyDescent="0.3">
      <c r="A295" t="s">
        <v>358</v>
      </c>
      <c r="B295" t="s">
        <v>42</v>
      </c>
      <c r="C295" s="14">
        <v>45653</v>
      </c>
      <c r="D295" t="s">
        <v>43</v>
      </c>
      <c r="E295" t="s">
        <v>75</v>
      </c>
      <c r="F295">
        <v>1436</v>
      </c>
      <c r="G295">
        <v>219</v>
      </c>
      <c r="H295">
        <v>229</v>
      </c>
      <c r="I295">
        <v>58488</v>
      </c>
      <c r="J295">
        <v>24314</v>
      </c>
      <c r="K295">
        <v>147</v>
      </c>
      <c r="L295" t="s">
        <v>48</v>
      </c>
      <c r="M295" t="s">
        <v>21</v>
      </c>
      <c r="N295">
        <f>(  Posts__2[[#This Row],[Likes]]+Posts__2[[#This Row],[Comments]]+Posts__2[[#This Row],[Shares]] ) / Posts__2[[#This Row],[Impressions]]</f>
        <v>3.221173574066475E-2</v>
      </c>
      <c r="O295" s="14">
        <f>_xlfn.XLOOKUP(Posts__2[[#This Row],[Campaign_Name]],'Campaign Metadata'!A:A,'Campaign Metadata'!B:B)</f>
        <v>45717</v>
      </c>
      <c r="P295" s="14">
        <f>_xlfn.XLOOKUP(Posts__2[[#This Row],[Campaign_Name]],'Campaign Metadata'!A:A,'Campaign Metadata'!C:C)</f>
        <v>45747</v>
      </c>
      <c r="Q295" t="str">
        <f>IF(AND(Posts__2[[#This Row],[Date]]&gt;=Posts__2[[#This Row],[Campaign start date]],Posts__2[[#This Row],[Date]]&lt;=Posts__2[[#This Row],[Campaign end date]]),"During","Before")</f>
        <v>Before</v>
      </c>
    </row>
    <row r="296" spans="1:17" x14ac:dyDescent="0.3">
      <c r="A296" t="s">
        <v>359</v>
      </c>
      <c r="B296" t="s">
        <v>42</v>
      </c>
      <c r="C296" s="14">
        <v>45724</v>
      </c>
      <c r="D296" t="s">
        <v>51</v>
      </c>
      <c r="E296" t="s">
        <v>67</v>
      </c>
      <c r="F296">
        <v>2244</v>
      </c>
      <c r="G296">
        <v>392</v>
      </c>
      <c r="H296">
        <v>231</v>
      </c>
      <c r="I296">
        <v>25834</v>
      </c>
      <c r="J296">
        <v>50906</v>
      </c>
      <c r="K296">
        <v>165</v>
      </c>
      <c r="L296" t="s">
        <v>68</v>
      </c>
      <c r="M296" t="s">
        <v>24</v>
      </c>
      <c r="N296">
        <f>(  Posts__2[[#This Row],[Likes]]+Posts__2[[#This Row],[Comments]]+Posts__2[[#This Row],[Shares]] ) / Posts__2[[#This Row],[Impressions]]</f>
        <v>0.1109777812185492</v>
      </c>
      <c r="O296" s="14">
        <f>_xlfn.XLOOKUP(Posts__2[[#This Row],[Campaign_Name]],'Campaign Metadata'!A:A,'Campaign Metadata'!B:B)</f>
        <v>45627</v>
      </c>
      <c r="P296" s="14">
        <f>_xlfn.XLOOKUP(Posts__2[[#This Row],[Campaign_Name]],'Campaign Metadata'!A:A,'Campaign Metadata'!C:C)</f>
        <v>45657</v>
      </c>
      <c r="Q296" t="str">
        <f>IF(AND(Posts__2[[#This Row],[Date]]&gt;=Posts__2[[#This Row],[Campaign start date]],Posts__2[[#This Row],[Date]]&lt;=Posts__2[[#This Row],[Campaign end date]]),"During","Before")</f>
        <v>Before</v>
      </c>
    </row>
    <row r="297" spans="1:17" x14ac:dyDescent="0.3">
      <c r="A297" t="s">
        <v>360</v>
      </c>
      <c r="B297" t="s">
        <v>50</v>
      </c>
      <c r="C297" s="14">
        <v>45736</v>
      </c>
      <c r="D297" t="s">
        <v>51</v>
      </c>
      <c r="E297" t="s">
        <v>77</v>
      </c>
      <c r="F297">
        <v>3393</v>
      </c>
      <c r="G297">
        <v>104</v>
      </c>
      <c r="H297">
        <v>79</v>
      </c>
      <c r="I297">
        <v>30025</v>
      </c>
      <c r="J297">
        <v>21593</v>
      </c>
      <c r="K297">
        <v>165</v>
      </c>
      <c r="L297" t="s">
        <v>53</v>
      </c>
      <c r="M297" t="s">
        <v>19</v>
      </c>
      <c r="N297">
        <f>(  Posts__2[[#This Row],[Likes]]+Posts__2[[#This Row],[Comments]]+Posts__2[[#This Row],[Shares]] ) / Posts__2[[#This Row],[Impressions]]</f>
        <v>0.1191007493755204</v>
      </c>
      <c r="O297" s="14">
        <f>_xlfn.XLOOKUP(Posts__2[[#This Row],[Campaign_Name]],'Campaign Metadata'!A:A,'Campaign Metadata'!B:B)</f>
        <v>45667</v>
      </c>
      <c r="P297" s="14">
        <f>_xlfn.XLOOKUP(Posts__2[[#This Row],[Campaign_Name]],'Campaign Metadata'!A:A,'Campaign Metadata'!C:C)</f>
        <v>45698</v>
      </c>
      <c r="Q297" t="str">
        <f>IF(AND(Posts__2[[#This Row],[Date]]&gt;=Posts__2[[#This Row],[Campaign start date]],Posts__2[[#This Row],[Date]]&lt;=Posts__2[[#This Row],[Campaign end date]]),"During","Before")</f>
        <v>Before</v>
      </c>
    </row>
    <row r="298" spans="1:17" x14ac:dyDescent="0.3">
      <c r="A298" t="s">
        <v>361</v>
      </c>
      <c r="B298" t="s">
        <v>50</v>
      </c>
      <c r="C298" s="14">
        <v>45612</v>
      </c>
      <c r="D298" t="s">
        <v>43</v>
      </c>
      <c r="E298" t="s">
        <v>47</v>
      </c>
      <c r="F298">
        <v>2901</v>
      </c>
      <c r="G298">
        <v>108</v>
      </c>
      <c r="H298">
        <v>86</v>
      </c>
      <c r="I298">
        <v>51777</v>
      </c>
      <c r="J298">
        <v>23773</v>
      </c>
      <c r="K298">
        <v>160</v>
      </c>
      <c r="L298" t="s">
        <v>71</v>
      </c>
      <c r="M298" t="s">
        <v>21</v>
      </c>
      <c r="N298">
        <f>(  Posts__2[[#This Row],[Likes]]+Posts__2[[#This Row],[Comments]]+Posts__2[[#This Row],[Shares]] ) / Posts__2[[#This Row],[Impressions]]</f>
        <v>5.9775576027966085E-2</v>
      </c>
      <c r="O298" s="14">
        <f>_xlfn.XLOOKUP(Posts__2[[#This Row],[Campaign_Name]],'Campaign Metadata'!A:A,'Campaign Metadata'!B:B)</f>
        <v>45717</v>
      </c>
      <c r="P298" s="14">
        <f>_xlfn.XLOOKUP(Posts__2[[#This Row],[Campaign_Name]],'Campaign Metadata'!A:A,'Campaign Metadata'!C:C)</f>
        <v>45747</v>
      </c>
      <c r="Q298" t="str">
        <f>IF(AND(Posts__2[[#This Row],[Date]]&gt;=Posts__2[[#This Row],[Campaign start date]],Posts__2[[#This Row],[Date]]&lt;=Posts__2[[#This Row],[Campaign end date]]),"During","Before")</f>
        <v>Before</v>
      </c>
    </row>
    <row r="299" spans="1:17" x14ac:dyDescent="0.3">
      <c r="A299" t="s">
        <v>362</v>
      </c>
      <c r="B299" t="s">
        <v>50</v>
      </c>
      <c r="C299" s="14">
        <v>45838</v>
      </c>
      <c r="D299" t="s">
        <v>43</v>
      </c>
      <c r="E299" t="s">
        <v>61</v>
      </c>
      <c r="F299">
        <v>2275</v>
      </c>
      <c r="G299">
        <v>285</v>
      </c>
      <c r="H299">
        <v>125</v>
      </c>
      <c r="I299">
        <v>43970</v>
      </c>
      <c r="J299">
        <v>74761</v>
      </c>
      <c r="K299">
        <v>83</v>
      </c>
      <c r="L299" t="s">
        <v>68</v>
      </c>
      <c r="M299" t="s">
        <v>19</v>
      </c>
      <c r="N299">
        <f>(  Posts__2[[#This Row],[Likes]]+Posts__2[[#This Row],[Comments]]+Posts__2[[#This Row],[Shares]] ) / Posts__2[[#This Row],[Impressions]]</f>
        <v>6.1064362065044349E-2</v>
      </c>
      <c r="O299" s="14">
        <f>_xlfn.XLOOKUP(Posts__2[[#This Row],[Campaign_Name]],'Campaign Metadata'!A:A,'Campaign Metadata'!B:B)</f>
        <v>45667</v>
      </c>
      <c r="P299" s="14">
        <f>_xlfn.XLOOKUP(Posts__2[[#This Row],[Campaign_Name]],'Campaign Metadata'!A:A,'Campaign Metadata'!C:C)</f>
        <v>45698</v>
      </c>
      <c r="Q299" t="str">
        <f>IF(AND(Posts__2[[#This Row],[Date]]&gt;=Posts__2[[#This Row],[Campaign start date]],Posts__2[[#This Row],[Date]]&lt;=Posts__2[[#This Row],[Campaign end date]]),"During","Before")</f>
        <v>Before</v>
      </c>
    </row>
    <row r="300" spans="1:17" x14ac:dyDescent="0.3">
      <c r="A300" t="s">
        <v>363</v>
      </c>
      <c r="B300" t="s">
        <v>50</v>
      </c>
      <c r="C300" s="14">
        <v>45303</v>
      </c>
      <c r="D300" t="s">
        <v>51</v>
      </c>
      <c r="E300" t="s">
        <v>55</v>
      </c>
      <c r="F300">
        <v>2227</v>
      </c>
      <c r="G300">
        <v>494</v>
      </c>
      <c r="H300">
        <v>161</v>
      </c>
      <c r="I300">
        <v>51651</v>
      </c>
      <c r="J300">
        <v>68074</v>
      </c>
      <c r="K300">
        <v>240</v>
      </c>
      <c r="L300" t="s">
        <v>65</v>
      </c>
      <c r="M300" t="s">
        <v>19</v>
      </c>
      <c r="N300">
        <f>(  Posts__2[[#This Row],[Likes]]+Posts__2[[#This Row],[Comments]]+Posts__2[[#This Row],[Shares]] ) / Posts__2[[#This Row],[Impressions]]</f>
        <v>5.5797564422760453E-2</v>
      </c>
      <c r="O300" s="14">
        <f>_xlfn.XLOOKUP(Posts__2[[#This Row],[Campaign_Name]],'Campaign Metadata'!A:A,'Campaign Metadata'!B:B)</f>
        <v>45667</v>
      </c>
      <c r="P300" s="14">
        <f>_xlfn.XLOOKUP(Posts__2[[#This Row],[Campaign_Name]],'Campaign Metadata'!A:A,'Campaign Metadata'!C:C)</f>
        <v>45698</v>
      </c>
      <c r="Q300" t="str">
        <f>IF(AND(Posts__2[[#This Row],[Date]]&gt;=Posts__2[[#This Row],[Campaign start date]],Posts__2[[#This Row],[Date]]&lt;=Posts__2[[#This Row],[Campaign end date]]),"During","Before")</f>
        <v>Before</v>
      </c>
    </row>
    <row r="301" spans="1:17" x14ac:dyDescent="0.3">
      <c r="A301" t="s">
        <v>364</v>
      </c>
      <c r="B301" t="s">
        <v>42</v>
      </c>
      <c r="C301" s="14">
        <v>45329</v>
      </c>
      <c r="D301" t="s">
        <v>43</v>
      </c>
      <c r="E301" t="s">
        <v>58</v>
      </c>
      <c r="F301">
        <v>1883</v>
      </c>
      <c r="G301">
        <v>432</v>
      </c>
      <c r="H301">
        <v>397</v>
      </c>
      <c r="I301">
        <v>28759</v>
      </c>
      <c r="J301">
        <v>18691</v>
      </c>
      <c r="K301">
        <v>270</v>
      </c>
      <c r="L301" t="s">
        <v>45</v>
      </c>
      <c r="M301" t="s">
        <v>19</v>
      </c>
      <c r="N301">
        <f>(  Posts__2[[#This Row],[Likes]]+Posts__2[[#This Row],[Comments]]+Posts__2[[#This Row],[Shares]] ) / Posts__2[[#This Row],[Impressions]]</f>
        <v>9.4300914496331587E-2</v>
      </c>
      <c r="O301" s="14">
        <f>_xlfn.XLOOKUP(Posts__2[[#This Row],[Campaign_Name]],'Campaign Metadata'!A:A,'Campaign Metadata'!B:B)</f>
        <v>45667</v>
      </c>
      <c r="P301" s="14">
        <f>_xlfn.XLOOKUP(Posts__2[[#This Row],[Campaign_Name]],'Campaign Metadata'!A:A,'Campaign Metadata'!C:C)</f>
        <v>45698</v>
      </c>
      <c r="Q301" t="str">
        <f>IF(AND(Posts__2[[#This Row],[Date]]&gt;=Posts__2[[#This Row],[Campaign start date]],Posts__2[[#This Row],[Date]]&lt;=Posts__2[[#This Row],[Campaign end date]]),"During","Before")</f>
        <v>Before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0B5A7-D97D-4B0A-8C54-7C1E3562EA48}">
  <dimension ref="A1:G1000"/>
  <sheetViews>
    <sheetView workbookViewId="0">
      <selection activeCell="D21" sqref="D21"/>
    </sheetView>
  </sheetViews>
  <sheetFormatPr defaultColWidth="14.44140625" defaultRowHeight="15" customHeight="1" x14ac:dyDescent="0.3"/>
  <cols>
    <col min="1" max="1" width="15.5546875" style="27" bestFit="1" customWidth="1"/>
    <col min="2" max="3" width="10.33203125" style="30" bestFit="1" customWidth="1"/>
    <col min="4" max="4" width="15.109375" style="27" bestFit="1" customWidth="1"/>
    <col min="5" max="5" width="12.21875" style="27" bestFit="1" customWidth="1"/>
    <col min="6" max="6" width="17.6640625" style="27" bestFit="1" customWidth="1"/>
    <col min="7" max="7" width="32.109375" style="27" bestFit="1" customWidth="1"/>
    <col min="8" max="26" width="8.6640625" style="27" customWidth="1"/>
    <col min="27" max="16384" width="14.44140625" style="27"/>
  </cols>
  <sheetData>
    <row r="1" spans="1:7" ht="14.4" x14ac:dyDescent="0.3">
      <c r="A1" s="25" t="s">
        <v>39</v>
      </c>
      <c r="B1" s="26" t="s">
        <v>373</v>
      </c>
      <c r="C1" s="26" t="s">
        <v>374</v>
      </c>
      <c r="D1" s="25" t="s">
        <v>375</v>
      </c>
      <c r="E1" s="25" t="s">
        <v>376</v>
      </c>
      <c r="F1" s="25" t="s">
        <v>377</v>
      </c>
      <c r="G1" s="25" t="s">
        <v>378</v>
      </c>
    </row>
    <row r="2" spans="1:7" ht="14.4" x14ac:dyDescent="0.3">
      <c r="A2" s="28" t="s">
        <v>20</v>
      </c>
      <c r="B2" s="29">
        <v>45458</v>
      </c>
      <c r="C2" s="29">
        <v>45488</v>
      </c>
      <c r="D2" s="28" t="s">
        <v>379</v>
      </c>
      <c r="E2" s="28">
        <v>175000</v>
      </c>
      <c r="F2" s="28" t="s">
        <v>380</v>
      </c>
      <c r="G2" s="28" t="s">
        <v>381</v>
      </c>
    </row>
    <row r="3" spans="1:7" ht="14.4" x14ac:dyDescent="0.3">
      <c r="A3" s="28" t="s">
        <v>24</v>
      </c>
      <c r="B3" s="29">
        <v>45627</v>
      </c>
      <c r="C3" s="29">
        <v>45657</v>
      </c>
      <c r="D3" s="28" t="s">
        <v>382</v>
      </c>
      <c r="E3" s="28">
        <v>225000</v>
      </c>
      <c r="F3" s="28" t="s">
        <v>383</v>
      </c>
      <c r="G3" s="28" t="s">
        <v>384</v>
      </c>
    </row>
    <row r="4" spans="1:7" ht="14.4" x14ac:dyDescent="0.3">
      <c r="A4" s="28" t="s">
        <v>19</v>
      </c>
      <c r="B4" s="29">
        <v>45667</v>
      </c>
      <c r="C4" s="29">
        <v>45698</v>
      </c>
      <c r="D4" s="28" t="s">
        <v>385</v>
      </c>
      <c r="E4" s="28">
        <v>200000</v>
      </c>
      <c r="F4" s="28" t="s">
        <v>386</v>
      </c>
      <c r="G4" s="28" t="s">
        <v>387</v>
      </c>
    </row>
    <row r="5" spans="1:7" ht="14.4" x14ac:dyDescent="0.3">
      <c r="A5" s="28" t="s">
        <v>21</v>
      </c>
      <c r="B5" s="29">
        <v>45717</v>
      </c>
      <c r="C5" s="29">
        <v>45747</v>
      </c>
      <c r="D5" s="28" t="s">
        <v>388</v>
      </c>
      <c r="E5" s="28">
        <v>160000</v>
      </c>
      <c r="F5" s="28" t="s">
        <v>389</v>
      </c>
      <c r="G5" s="28" t="s">
        <v>390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FA738-0B51-4AF8-9AB7-50BEB6AF698F}">
  <dimension ref="A1:O201"/>
  <sheetViews>
    <sheetView workbookViewId="0">
      <selection activeCell="I1" sqref="I1"/>
    </sheetView>
  </sheetViews>
  <sheetFormatPr defaultRowHeight="14.4" x14ac:dyDescent="0.3"/>
  <cols>
    <col min="1" max="1" width="18" bestFit="1" customWidth="1"/>
    <col min="2" max="2" width="10.5546875" bestFit="1" customWidth="1"/>
    <col min="3" max="3" width="16" bestFit="1" customWidth="1"/>
    <col min="4" max="4" width="11.6640625" bestFit="1" customWidth="1"/>
    <col min="5" max="5" width="16.44140625" bestFit="1" customWidth="1"/>
    <col min="6" max="6" width="18.6640625" bestFit="1" customWidth="1"/>
    <col min="7" max="7" width="11.88671875" bestFit="1" customWidth="1"/>
    <col min="8" max="8" width="20.21875" bestFit="1" customWidth="1"/>
    <col min="9" max="9" width="16.6640625" style="17" customWidth="1"/>
    <col min="10" max="10" width="17.21875" style="17" bestFit="1" customWidth="1"/>
    <col min="11" max="11" width="9.6640625" customWidth="1"/>
    <col min="12" max="12" width="12.5546875" bestFit="1" customWidth="1"/>
    <col min="13" max="13" width="26.33203125" bestFit="1" customWidth="1"/>
    <col min="14" max="14" width="19.44140625" bestFit="1" customWidth="1"/>
  </cols>
  <sheetData>
    <row r="1" spans="1:15" x14ac:dyDescent="0.3">
      <c r="A1" t="s">
        <v>365</v>
      </c>
      <c r="B1" t="s">
        <v>28</v>
      </c>
      <c r="C1" t="s">
        <v>366</v>
      </c>
      <c r="D1" t="s">
        <v>367</v>
      </c>
      <c r="E1" t="s">
        <v>368</v>
      </c>
      <c r="F1" t="s">
        <v>369</v>
      </c>
      <c r="G1" t="s">
        <v>370</v>
      </c>
      <c r="H1" t="s">
        <v>372</v>
      </c>
      <c r="I1" s="16" t="s">
        <v>371</v>
      </c>
      <c r="J1" s="16" t="s">
        <v>0</v>
      </c>
      <c r="L1" s="2"/>
      <c r="M1" s="2"/>
    </row>
    <row r="2" spans="1:15" x14ac:dyDescent="0.3">
      <c r="A2" s="14">
        <v>45446</v>
      </c>
      <c r="B2" t="s">
        <v>42</v>
      </c>
      <c r="C2">
        <v>1402</v>
      </c>
      <c r="D2">
        <v>68</v>
      </c>
      <c r="E2">
        <v>124562</v>
      </c>
      <c r="F2">
        <v>9.92</v>
      </c>
      <c r="G2">
        <v>23125</v>
      </c>
      <c r="H2">
        <f>Engagement_Summary68[[#This Row],[New_Followers]]-Engagement_Summary68[[#This Row],[Unfollows]]</f>
        <v>1334</v>
      </c>
    </row>
    <row r="3" spans="1:15" x14ac:dyDescent="0.3">
      <c r="A3" s="14">
        <v>45446</v>
      </c>
      <c r="B3" t="s">
        <v>50</v>
      </c>
      <c r="C3">
        <v>995</v>
      </c>
      <c r="D3">
        <v>86</v>
      </c>
      <c r="E3">
        <v>227958</v>
      </c>
      <c r="F3">
        <v>8.0500000000000007</v>
      </c>
      <c r="G3">
        <v>22788</v>
      </c>
      <c r="H3">
        <f>Engagement_Summary68[[#This Row],[New_Followers]]-Engagement_Summary68[[#This Row],[Unfollows]]</f>
        <v>909</v>
      </c>
      <c r="K3" s="3"/>
      <c r="O3" s="3"/>
    </row>
    <row r="4" spans="1:15" x14ac:dyDescent="0.3">
      <c r="A4" s="14">
        <v>45446</v>
      </c>
      <c r="B4" t="s">
        <v>57</v>
      </c>
      <c r="C4">
        <v>1472</v>
      </c>
      <c r="D4">
        <v>296</v>
      </c>
      <c r="E4">
        <v>370242</v>
      </c>
      <c r="F4">
        <v>7.72</v>
      </c>
      <c r="G4">
        <v>7810</v>
      </c>
      <c r="H4">
        <f>Engagement_Summary68[[#This Row],[New_Followers]]-Engagement_Summary68[[#This Row],[Unfollows]]</f>
        <v>1176</v>
      </c>
      <c r="K4" s="18"/>
    </row>
    <row r="5" spans="1:15" x14ac:dyDescent="0.3">
      <c r="A5" s="14">
        <v>45453</v>
      </c>
      <c r="B5" t="s">
        <v>42</v>
      </c>
      <c r="C5">
        <v>1018</v>
      </c>
      <c r="D5">
        <v>90</v>
      </c>
      <c r="E5">
        <v>92474</v>
      </c>
      <c r="F5">
        <v>9.4</v>
      </c>
      <c r="G5">
        <v>11966</v>
      </c>
      <c r="H5">
        <f>Engagement_Summary68[[#This Row],[New_Followers]]-Engagement_Summary68[[#This Row],[Unfollows]]</f>
        <v>928</v>
      </c>
    </row>
    <row r="6" spans="1:15" x14ac:dyDescent="0.3">
      <c r="A6" s="14">
        <v>45453</v>
      </c>
      <c r="B6" t="s">
        <v>50</v>
      </c>
      <c r="C6">
        <v>1461</v>
      </c>
      <c r="D6">
        <v>64</v>
      </c>
      <c r="E6">
        <v>328902</v>
      </c>
      <c r="F6">
        <v>9.02</v>
      </c>
      <c r="G6">
        <v>26298</v>
      </c>
      <c r="H6">
        <f>Engagement_Summary68[[#This Row],[New_Followers]]-Engagement_Summary68[[#This Row],[Unfollows]]</f>
        <v>1397</v>
      </c>
    </row>
    <row r="7" spans="1:15" x14ac:dyDescent="0.3">
      <c r="A7" s="14">
        <v>45453</v>
      </c>
      <c r="B7" t="s">
        <v>57</v>
      </c>
      <c r="C7">
        <v>545</v>
      </c>
      <c r="D7">
        <v>93</v>
      </c>
      <c r="E7">
        <v>391621</v>
      </c>
      <c r="F7">
        <v>9.9600000000000009</v>
      </c>
      <c r="G7">
        <v>22029</v>
      </c>
      <c r="H7">
        <f>Engagement_Summary68[[#This Row],[New_Followers]]-Engagement_Summary68[[#This Row],[Unfollows]]</f>
        <v>452</v>
      </c>
    </row>
    <row r="8" spans="1:15" x14ac:dyDescent="0.3">
      <c r="A8" s="14">
        <v>45460</v>
      </c>
      <c r="B8" t="s">
        <v>42</v>
      </c>
      <c r="C8">
        <v>881</v>
      </c>
      <c r="D8">
        <v>291</v>
      </c>
      <c r="E8">
        <v>95885</v>
      </c>
      <c r="F8">
        <v>5.29</v>
      </c>
      <c r="G8">
        <v>12391</v>
      </c>
      <c r="H8">
        <f>Engagement_Summary68[[#This Row],[New_Followers]]-Engagement_Summary68[[#This Row],[Unfollows]]</f>
        <v>590</v>
      </c>
      <c r="I8" s="19" t="s">
        <v>20</v>
      </c>
      <c r="J8" s="19" t="s">
        <v>1</v>
      </c>
    </row>
    <row r="9" spans="1:15" x14ac:dyDescent="0.3">
      <c r="A9" s="14">
        <v>45460</v>
      </c>
      <c r="B9" t="s">
        <v>50</v>
      </c>
      <c r="C9">
        <v>1414</v>
      </c>
      <c r="D9">
        <v>131</v>
      </c>
      <c r="E9">
        <v>245947</v>
      </c>
      <c r="F9">
        <v>8.3000000000000007</v>
      </c>
      <c r="G9">
        <v>14477</v>
      </c>
      <c r="H9">
        <f>Engagement_Summary68[[#This Row],[New_Followers]]-Engagement_Summary68[[#This Row],[Unfollows]]</f>
        <v>1283</v>
      </c>
      <c r="I9" s="19" t="s">
        <v>20</v>
      </c>
      <c r="J9" s="19" t="s">
        <v>1</v>
      </c>
    </row>
    <row r="10" spans="1:15" x14ac:dyDescent="0.3">
      <c r="A10" s="14">
        <v>45460</v>
      </c>
      <c r="B10" t="s">
        <v>57</v>
      </c>
      <c r="C10">
        <v>1472</v>
      </c>
      <c r="D10">
        <v>170</v>
      </c>
      <c r="E10">
        <v>250428</v>
      </c>
      <c r="F10">
        <v>4.66</v>
      </c>
      <c r="G10">
        <v>25040</v>
      </c>
      <c r="H10">
        <f>Engagement_Summary68[[#This Row],[New_Followers]]-Engagement_Summary68[[#This Row],[Unfollows]]</f>
        <v>1302</v>
      </c>
      <c r="I10" s="19" t="s">
        <v>20</v>
      </c>
      <c r="J10" s="19" t="s">
        <v>1</v>
      </c>
    </row>
    <row r="11" spans="1:15" x14ac:dyDescent="0.3">
      <c r="A11" s="14">
        <v>45467</v>
      </c>
      <c r="B11" t="s">
        <v>42</v>
      </c>
      <c r="C11">
        <v>809</v>
      </c>
      <c r="D11">
        <v>197</v>
      </c>
      <c r="E11">
        <v>87186</v>
      </c>
      <c r="F11">
        <v>9.48</v>
      </c>
      <c r="G11">
        <v>22619</v>
      </c>
      <c r="H11">
        <f>Engagement_Summary68[[#This Row],[New_Followers]]-Engagement_Summary68[[#This Row],[Unfollows]]</f>
        <v>612</v>
      </c>
      <c r="I11" s="19" t="s">
        <v>20</v>
      </c>
      <c r="J11" s="19" t="s">
        <v>1</v>
      </c>
    </row>
    <row r="12" spans="1:15" x14ac:dyDescent="0.3">
      <c r="A12" s="14">
        <v>45467</v>
      </c>
      <c r="B12" t="s">
        <v>50</v>
      </c>
      <c r="C12">
        <v>1371</v>
      </c>
      <c r="D12">
        <v>250</v>
      </c>
      <c r="E12">
        <v>128620</v>
      </c>
      <c r="F12">
        <v>7.11</v>
      </c>
      <c r="G12">
        <v>12399</v>
      </c>
      <c r="H12">
        <f>Engagement_Summary68[[#This Row],[New_Followers]]-Engagement_Summary68[[#This Row],[Unfollows]]</f>
        <v>1121</v>
      </c>
      <c r="I12" s="19" t="s">
        <v>20</v>
      </c>
      <c r="J12" s="19" t="s">
        <v>1</v>
      </c>
    </row>
    <row r="13" spans="1:15" x14ac:dyDescent="0.3">
      <c r="A13" s="14">
        <v>45467</v>
      </c>
      <c r="B13" t="s">
        <v>57</v>
      </c>
      <c r="C13">
        <v>844</v>
      </c>
      <c r="D13">
        <v>144</v>
      </c>
      <c r="E13">
        <v>126015</v>
      </c>
      <c r="F13">
        <v>9.65</v>
      </c>
      <c r="G13">
        <v>22456</v>
      </c>
      <c r="H13">
        <f>Engagement_Summary68[[#This Row],[New_Followers]]-Engagement_Summary68[[#This Row],[Unfollows]]</f>
        <v>700</v>
      </c>
      <c r="I13" s="19" t="s">
        <v>20</v>
      </c>
      <c r="J13" s="19" t="s">
        <v>1</v>
      </c>
    </row>
    <row r="14" spans="1:15" x14ac:dyDescent="0.3">
      <c r="A14" s="14">
        <v>45474</v>
      </c>
      <c r="B14" t="s">
        <v>42</v>
      </c>
      <c r="C14">
        <v>786</v>
      </c>
      <c r="D14">
        <v>72</v>
      </c>
      <c r="E14">
        <v>178615</v>
      </c>
      <c r="F14">
        <v>5.43</v>
      </c>
      <c r="G14">
        <v>19328</v>
      </c>
      <c r="H14">
        <f>Engagement_Summary68[[#This Row],[New_Followers]]-Engagement_Summary68[[#This Row],[Unfollows]]</f>
        <v>714</v>
      </c>
      <c r="I14" s="19" t="s">
        <v>20</v>
      </c>
      <c r="J14" s="19" t="s">
        <v>1</v>
      </c>
    </row>
    <row r="15" spans="1:15" x14ac:dyDescent="0.3">
      <c r="A15" s="14">
        <v>45474</v>
      </c>
      <c r="B15" t="s">
        <v>50</v>
      </c>
      <c r="C15">
        <v>845</v>
      </c>
      <c r="D15">
        <v>250</v>
      </c>
      <c r="E15">
        <v>218228</v>
      </c>
      <c r="F15">
        <v>4.5199999999999996</v>
      </c>
      <c r="G15">
        <v>21107</v>
      </c>
      <c r="H15">
        <f>Engagement_Summary68[[#This Row],[New_Followers]]-Engagement_Summary68[[#This Row],[Unfollows]]</f>
        <v>595</v>
      </c>
      <c r="I15" s="19" t="s">
        <v>20</v>
      </c>
      <c r="J15" s="19" t="s">
        <v>1</v>
      </c>
    </row>
    <row r="16" spans="1:15" x14ac:dyDescent="0.3">
      <c r="A16" s="14">
        <v>45474</v>
      </c>
      <c r="B16" t="s">
        <v>57</v>
      </c>
      <c r="C16">
        <v>1218</v>
      </c>
      <c r="D16">
        <v>101</v>
      </c>
      <c r="E16">
        <v>300397</v>
      </c>
      <c r="F16">
        <v>4.33</v>
      </c>
      <c r="G16">
        <v>12277</v>
      </c>
      <c r="H16">
        <f>Engagement_Summary68[[#This Row],[New_Followers]]-Engagement_Summary68[[#This Row],[Unfollows]]</f>
        <v>1117</v>
      </c>
      <c r="I16" s="19" t="s">
        <v>20</v>
      </c>
      <c r="J16" s="19" t="s">
        <v>1</v>
      </c>
    </row>
    <row r="17" spans="1:10" x14ac:dyDescent="0.3">
      <c r="A17" s="14">
        <v>45481</v>
      </c>
      <c r="B17" t="s">
        <v>42</v>
      </c>
      <c r="C17">
        <v>797</v>
      </c>
      <c r="D17">
        <v>130</v>
      </c>
      <c r="E17">
        <v>340121</v>
      </c>
      <c r="F17">
        <v>8.52</v>
      </c>
      <c r="G17">
        <v>11684</v>
      </c>
      <c r="H17">
        <f>Engagement_Summary68[[#This Row],[New_Followers]]-Engagement_Summary68[[#This Row],[Unfollows]]</f>
        <v>667</v>
      </c>
      <c r="I17" s="19" t="s">
        <v>20</v>
      </c>
      <c r="J17" s="19" t="s">
        <v>1</v>
      </c>
    </row>
    <row r="18" spans="1:10" x14ac:dyDescent="0.3">
      <c r="A18" s="14">
        <v>45481</v>
      </c>
      <c r="B18" t="s">
        <v>50</v>
      </c>
      <c r="C18">
        <v>1471</v>
      </c>
      <c r="D18">
        <v>100</v>
      </c>
      <c r="E18">
        <v>76866</v>
      </c>
      <c r="F18">
        <v>8.5500000000000007</v>
      </c>
      <c r="G18">
        <v>14412</v>
      </c>
      <c r="H18">
        <f>Engagement_Summary68[[#This Row],[New_Followers]]-Engagement_Summary68[[#This Row],[Unfollows]]</f>
        <v>1371</v>
      </c>
      <c r="I18" s="19" t="s">
        <v>20</v>
      </c>
      <c r="J18" s="19" t="s">
        <v>1</v>
      </c>
    </row>
    <row r="19" spans="1:10" x14ac:dyDescent="0.3">
      <c r="A19" s="14">
        <v>45481</v>
      </c>
      <c r="B19" t="s">
        <v>57</v>
      </c>
      <c r="C19">
        <v>1253</v>
      </c>
      <c r="D19">
        <v>136</v>
      </c>
      <c r="E19">
        <v>193131</v>
      </c>
      <c r="F19">
        <v>7.99</v>
      </c>
      <c r="G19">
        <v>15924</v>
      </c>
      <c r="H19">
        <f>Engagement_Summary68[[#This Row],[New_Followers]]-Engagement_Summary68[[#This Row],[Unfollows]]</f>
        <v>1117</v>
      </c>
      <c r="I19" s="19" t="s">
        <v>20</v>
      </c>
      <c r="J19" s="19" t="s">
        <v>1</v>
      </c>
    </row>
    <row r="20" spans="1:10" x14ac:dyDescent="0.3">
      <c r="A20" s="14">
        <v>45488</v>
      </c>
      <c r="B20" t="s">
        <v>42</v>
      </c>
      <c r="C20">
        <v>616</v>
      </c>
      <c r="D20">
        <v>257</v>
      </c>
      <c r="E20">
        <v>169665</v>
      </c>
      <c r="F20">
        <v>6.31</v>
      </c>
      <c r="G20">
        <v>12390</v>
      </c>
      <c r="H20">
        <f>Engagement_Summary68[[#This Row],[New_Followers]]-Engagement_Summary68[[#This Row],[Unfollows]]</f>
        <v>359</v>
      </c>
      <c r="I20" s="19" t="s">
        <v>20</v>
      </c>
      <c r="J20" s="19" t="s">
        <v>1</v>
      </c>
    </row>
    <row r="21" spans="1:10" x14ac:dyDescent="0.3">
      <c r="A21" s="14">
        <v>45488</v>
      </c>
      <c r="B21" t="s">
        <v>50</v>
      </c>
      <c r="C21">
        <v>1308</v>
      </c>
      <c r="D21">
        <v>210</v>
      </c>
      <c r="E21">
        <v>263729</v>
      </c>
      <c r="F21">
        <v>8.5299999999999994</v>
      </c>
      <c r="G21">
        <v>25742</v>
      </c>
      <c r="H21">
        <f>Engagement_Summary68[[#This Row],[New_Followers]]-Engagement_Summary68[[#This Row],[Unfollows]]</f>
        <v>1098</v>
      </c>
      <c r="I21" s="19" t="s">
        <v>20</v>
      </c>
      <c r="J21" s="19" t="s">
        <v>1</v>
      </c>
    </row>
    <row r="22" spans="1:10" x14ac:dyDescent="0.3">
      <c r="A22" s="14">
        <v>45488</v>
      </c>
      <c r="B22" t="s">
        <v>57</v>
      </c>
      <c r="C22">
        <v>981</v>
      </c>
      <c r="D22">
        <v>69</v>
      </c>
      <c r="E22">
        <v>206921</v>
      </c>
      <c r="F22">
        <v>8.42</v>
      </c>
      <c r="G22">
        <v>10495</v>
      </c>
      <c r="H22">
        <f>Engagement_Summary68[[#This Row],[New_Followers]]-Engagement_Summary68[[#This Row],[Unfollows]]</f>
        <v>912</v>
      </c>
      <c r="I22" s="19" t="s">
        <v>20</v>
      </c>
      <c r="J22" s="19" t="s">
        <v>1</v>
      </c>
    </row>
    <row r="23" spans="1:10" x14ac:dyDescent="0.3">
      <c r="A23" s="14">
        <v>45495</v>
      </c>
      <c r="B23" t="s">
        <v>42</v>
      </c>
      <c r="C23">
        <v>866</v>
      </c>
      <c r="D23">
        <v>74</v>
      </c>
      <c r="E23">
        <v>204121</v>
      </c>
      <c r="F23">
        <v>9.34</v>
      </c>
      <c r="G23">
        <v>7797</v>
      </c>
      <c r="H23">
        <f>Engagement_Summary68[[#This Row],[New_Followers]]-Engagement_Summary68[[#This Row],[Unfollows]]</f>
        <v>792</v>
      </c>
    </row>
    <row r="24" spans="1:10" x14ac:dyDescent="0.3">
      <c r="A24" s="14">
        <v>45495</v>
      </c>
      <c r="B24" t="s">
        <v>50</v>
      </c>
      <c r="C24">
        <v>547</v>
      </c>
      <c r="D24">
        <v>183</v>
      </c>
      <c r="E24">
        <v>266350</v>
      </c>
      <c r="F24">
        <v>5.65</v>
      </c>
      <c r="G24">
        <v>15595</v>
      </c>
      <c r="H24">
        <f>Engagement_Summary68[[#This Row],[New_Followers]]-Engagement_Summary68[[#This Row],[Unfollows]]</f>
        <v>364</v>
      </c>
    </row>
    <row r="25" spans="1:10" x14ac:dyDescent="0.3">
      <c r="A25" s="14">
        <v>45495</v>
      </c>
      <c r="B25" t="s">
        <v>57</v>
      </c>
      <c r="C25">
        <v>1241</v>
      </c>
      <c r="D25">
        <v>116</v>
      </c>
      <c r="E25">
        <v>380606</v>
      </c>
      <c r="F25">
        <v>4.2</v>
      </c>
      <c r="G25">
        <v>24617</v>
      </c>
      <c r="H25">
        <f>Engagement_Summary68[[#This Row],[New_Followers]]-Engagement_Summary68[[#This Row],[Unfollows]]</f>
        <v>1125</v>
      </c>
    </row>
    <row r="26" spans="1:10" x14ac:dyDescent="0.3">
      <c r="A26" s="14">
        <v>45502</v>
      </c>
      <c r="B26" t="s">
        <v>42</v>
      </c>
      <c r="C26">
        <v>973</v>
      </c>
      <c r="D26">
        <v>104</v>
      </c>
      <c r="E26">
        <v>376358</v>
      </c>
      <c r="F26">
        <v>3.87</v>
      </c>
      <c r="G26">
        <v>9847</v>
      </c>
      <c r="H26">
        <f>Engagement_Summary68[[#This Row],[New_Followers]]-Engagement_Summary68[[#This Row],[Unfollows]]</f>
        <v>869</v>
      </c>
    </row>
    <row r="27" spans="1:10" x14ac:dyDescent="0.3">
      <c r="A27" s="14">
        <v>45502</v>
      </c>
      <c r="B27" t="s">
        <v>50</v>
      </c>
      <c r="C27">
        <v>611</v>
      </c>
      <c r="D27">
        <v>197</v>
      </c>
      <c r="E27">
        <v>79423</v>
      </c>
      <c r="F27">
        <v>5.82</v>
      </c>
      <c r="G27">
        <v>13644</v>
      </c>
      <c r="H27">
        <f>Engagement_Summary68[[#This Row],[New_Followers]]-Engagement_Summary68[[#This Row],[Unfollows]]</f>
        <v>414</v>
      </c>
    </row>
    <row r="28" spans="1:10" x14ac:dyDescent="0.3">
      <c r="A28" s="14">
        <v>45502</v>
      </c>
      <c r="B28" t="s">
        <v>57</v>
      </c>
      <c r="C28">
        <v>983</v>
      </c>
      <c r="D28">
        <v>134</v>
      </c>
      <c r="E28">
        <v>352178</v>
      </c>
      <c r="F28">
        <v>3.55</v>
      </c>
      <c r="G28">
        <v>11421</v>
      </c>
      <c r="H28">
        <f>Engagement_Summary68[[#This Row],[New_Followers]]-Engagement_Summary68[[#This Row],[Unfollows]]</f>
        <v>849</v>
      </c>
    </row>
    <row r="29" spans="1:10" x14ac:dyDescent="0.3">
      <c r="A29" s="14">
        <v>45509</v>
      </c>
      <c r="B29" t="s">
        <v>42</v>
      </c>
      <c r="C29">
        <v>1449</v>
      </c>
      <c r="D29">
        <v>96</v>
      </c>
      <c r="E29">
        <v>200636</v>
      </c>
      <c r="F29">
        <v>9.92</v>
      </c>
      <c r="G29">
        <v>15613</v>
      </c>
      <c r="H29">
        <f>Engagement_Summary68[[#This Row],[New_Followers]]-Engagement_Summary68[[#This Row],[Unfollows]]</f>
        <v>1353</v>
      </c>
    </row>
    <row r="30" spans="1:10" x14ac:dyDescent="0.3">
      <c r="A30" s="14">
        <v>45509</v>
      </c>
      <c r="B30" t="s">
        <v>50</v>
      </c>
      <c r="C30">
        <v>752</v>
      </c>
      <c r="D30">
        <v>170</v>
      </c>
      <c r="E30">
        <v>132756</v>
      </c>
      <c r="F30">
        <v>8.17</v>
      </c>
      <c r="G30">
        <v>23900</v>
      </c>
      <c r="H30">
        <f>Engagement_Summary68[[#This Row],[New_Followers]]-Engagement_Summary68[[#This Row],[Unfollows]]</f>
        <v>582</v>
      </c>
    </row>
    <row r="31" spans="1:10" x14ac:dyDescent="0.3">
      <c r="A31" s="14">
        <v>45509</v>
      </c>
      <c r="B31" t="s">
        <v>57</v>
      </c>
      <c r="C31">
        <v>937</v>
      </c>
      <c r="D31">
        <v>179</v>
      </c>
      <c r="E31">
        <v>318098</v>
      </c>
      <c r="F31">
        <v>5.3</v>
      </c>
      <c r="G31">
        <v>5836</v>
      </c>
      <c r="H31">
        <f>Engagement_Summary68[[#This Row],[New_Followers]]-Engagement_Summary68[[#This Row],[Unfollows]]</f>
        <v>758</v>
      </c>
    </row>
    <row r="32" spans="1:10" x14ac:dyDescent="0.3">
      <c r="A32" s="14">
        <v>45516</v>
      </c>
      <c r="B32" t="s">
        <v>42</v>
      </c>
      <c r="C32">
        <v>1060</v>
      </c>
      <c r="D32">
        <v>83</v>
      </c>
      <c r="E32">
        <v>68724</v>
      </c>
      <c r="F32">
        <v>5.98</v>
      </c>
      <c r="G32">
        <v>5624</v>
      </c>
      <c r="H32">
        <f>Engagement_Summary68[[#This Row],[New_Followers]]-Engagement_Summary68[[#This Row],[Unfollows]]</f>
        <v>977</v>
      </c>
    </row>
    <row r="33" spans="1:8" x14ac:dyDescent="0.3">
      <c r="A33" s="14">
        <v>45516</v>
      </c>
      <c r="B33" t="s">
        <v>50</v>
      </c>
      <c r="C33">
        <v>1456</v>
      </c>
      <c r="D33">
        <v>265</v>
      </c>
      <c r="E33">
        <v>115505</v>
      </c>
      <c r="F33">
        <v>7.49</v>
      </c>
      <c r="G33">
        <v>10311</v>
      </c>
      <c r="H33">
        <f>Engagement_Summary68[[#This Row],[New_Followers]]-Engagement_Summary68[[#This Row],[Unfollows]]</f>
        <v>1191</v>
      </c>
    </row>
    <row r="34" spans="1:8" x14ac:dyDescent="0.3">
      <c r="A34" s="14">
        <v>45516</v>
      </c>
      <c r="B34" t="s">
        <v>57</v>
      </c>
      <c r="C34">
        <v>1109</v>
      </c>
      <c r="D34">
        <v>205</v>
      </c>
      <c r="E34">
        <v>276722</v>
      </c>
      <c r="F34">
        <v>9.3800000000000008</v>
      </c>
      <c r="G34">
        <v>8274</v>
      </c>
      <c r="H34">
        <f>Engagement_Summary68[[#This Row],[New_Followers]]-Engagement_Summary68[[#This Row],[Unfollows]]</f>
        <v>904</v>
      </c>
    </row>
    <row r="35" spans="1:8" x14ac:dyDescent="0.3">
      <c r="A35" s="14">
        <v>45523</v>
      </c>
      <c r="B35" t="s">
        <v>42</v>
      </c>
      <c r="C35">
        <v>1002</v>
      </c>
      <c r="D35">
        <v>93</v>
      </c>
      <c r="E35">
        <v>353538</v>
      </c>
      <c r="F35">
        <v>5.84</v>
      </c>
      <c r="G35">
        <v>6031</v>
      </c>
      <c r="H35">
        <f>Engagement_Summary68[[#This Row],[New_Followers]]-Engagement_Summary68[[#This Row],[Unfollows]]</f>
        <v>909</v>
      </c>
    </row>
    <row r="36" spans="1:8" x14ac:dyDescent="0.3">
      <c r="A36" s="14">
        <v>45523</v>
      </c>
      <c r="B36" t="s">
        <v>50</v>
      </c>
      <c r="C36">
        <v>571</v>
      </c>
      <c r="D36">
        <v>189</v>
      </c>
      <c r="E36">
        <v>61445</v>
      </c>
      <c r="F36">
        <v>5.41</v>
      </c>
      <c r="G36">
        <v>27829</v>
      </c>
      <c r="H36">
        <f>Engagement_Summary68[[#This Row],[New_Followers]]-Engagement_Summary68[[#This Row],[Unfollows]]</f>
        <v>382</v>
      </c>
    </row>
    <row r="37" spans="1:8" x14ac:dyDescent="0.3">
      <c r="A37" s="14">
        <v>45523</v>
      </c>
      <c r="B37" t="s">
        <v>57</v>
      </c>
      <c r="C37">
        <v>1240</v>
      </c>
      <c r="D37">
        <v>231</v>
      </c>
      <c r="E37">
        <v>165035</v>
      </c>
      <c r="F37">
        <v>6.05</v>
      </c>
      <c r="G37">
        <v>18267</v>
      </c>
      <c r="H37">
        <f>Engagement_Summary68[[#This Row],[New_Followers]]-Engagement_Summary68[[#This Row],[Unfollows]]</f>
        <v>1009</v>
      </c>
    </row>
    <row r="38" spans="1:8" x14ac:dyDescent="0.3">
      <c r="A38" s="14">
        <v>45530</v>
      </c>
      <c r="B38" t="s">
        <v>42</v>
      </c>
      <c r="C38">
        <v>1154</v>
      </c>
      <c r="D38">
        <v>132</v>
      </c>
      <c r="E38">
        <v>194595</v>
      </c>
      <c r="F38">
        <v>7.54</v>
      </c>
      <c r="G38">
        <v>26624</v>
      </c>
      <c r="H38">
        <f>Engagement_Summary68[[#This Row],[New_Followers]]-Engagement_Summary68[[#This Row],[Unfollows]]</f>
        <v>1022</v>
      </c>
    </row>
    <row r="39" spans="1:8" x14ac:dyDescent="0.3">
      <c r="A39" s="14">
        <v>45530</v>
      </c>
      <c r="B39" t="s">
        <v>50</v>
      </c>
      <c r="C39">
        <v>537</v>
      </c>
      <c r="D39">
        <v>275</v>
      </c>
      <c r="E39">
        <v>236238</v>
      </c>
      <c r="F39">
        <v>5.87</v>
      </c>
      <c r="G39">
        <v>26644</v>
      </c>
      <c r="H39">
        <f>Engagement_Summary68[[#This Row],[New_Followers]]-Engagement_Summary68[[#This Row],[Unfollows]]</f>
        <v>262</v>
      </c>
    </row>
    <row r="40" spans="1:8" x14ac:dyDescent="0.3">
      <c r="A40" s="14">
        <v>45530</v>
      </c>
      <c r="B40" t="s">
        <v>57</v>
      </c>
      <c r="C40">
        <v>1456</v>
      </c>
      <c r="D40">
        <v>290</v>
      </c>
      <c r="E40">
        <v>271044</v>
      </c>
      <c r="F40">
        <v>7.17</v>
      </c>
      <c r="G40">
        <v>13051</v>
      </c>
      <c r="H40">
        <f>Engagement_Summary68[[#This Row],[New_Followers]]-Engagement_Summary68[[#This Row],[Unfollows]]</f>
        <v>1166</v>
      </c>
    </row>
    <row r="41" spans="1:8" x14ac:dyDescent="0.3">
      <c r="A41" s="14">
        <v>45537</v>
      </c>
      <c r="B41" t="s">
        <v>42</v>
      </c>
      <c r="C41">
        <v>721</v>
      </c>
      <c r="D41">
        <v>206</v>
      </c>
      <c r="E41">
        <v>334887</v>
      </c>
      <c r="F41">
        <v>6.05</v>
      </c>
      <c r="G41">
        <v>14217</v>
      </c>
      <c r="H41">
        <f>Engagement_Summary68[[#This Row],[New_Followers]]-Engagement_Summary68[[#This Row],[Unfollows]]</f>
        <v>515</v>
      </c>
    </row>
    <row r="42" spans="1:8" x14ac:dyDescent="0.3">
      <c r="A42" s="14">
        <v>45537</v>
      </c>
      <c r="B42" t="s">
        <v>50</v>
      </c>
      <c r="C42">
        <v>1098</v>
      </c>
      <c r="D42">
        <v>142</v>
      </c>
      <c r="E42">
        <v>359150</v>
      </c>
      <c r="F42">
        <v>7.51</v>
      </c>
      <c r="G42">
        <v>16385</v>
      </c>
      <c r="H42">
        <f>Engagement_Summary68[[#This Row],[New_Followers]]-Engagement_Summary68[[#This Row],[Unfollows]]</f>
        <v>956</v>
      </c>
    </row>
    <row r="43" spans="1:8" x14ac:dyDescent="0.3">
      <c r="A43" s="14">
        <v>45537</v>
      </c>
      <c r="B43" t="s">
        <v>57</v>
      </c>
      <c r="C43">
        <v>1096</v>
      </c>
      <c r="D43">
        <v>65</v>
      </c>
      <c r="E43">
        <v>358295</v>
      </c>
      <c r="F43">
        <v>7.66</v>
      </c>
      <c r="G43">
        <v>24548</v>
      </c>
      <c r="H43">
        <f>Engagement_Summary68[[#This Row],[New_Followers]]-Engagement_Summary68[[#This Row],[Unfollows]]</f>
        <v>1031</v>
      </c>
    </row>
    <row r="44" spans="1:8" x14ac:dyDescent="0.3">
      <c r="A44" s="14">
        <v>45544</v>
      </c>
      <c r="B44" t="s">
        <v>42</v>
      </c>
      <c r="C44">
        <v>912</v>
      </c>
      <c r="D44">
        <v>275</v>
      </c>
      <c r="E44">
        <v>368454</v>
      </c>
      <c r="F44">
        <v>6.03</v>
      </c>
      <c r="G44">
        <v>9195</v>
      </c>
      <c r="H44">
        <f>Engagement_Summary68[[#This Row],[New_Followers]]-Engagement_Summary68[[#This Row],[Unfollows]]</f>
        <v>637</v>
      </c>
    </row>
    <row r="45" spans="1:8" x14ac:dyDescent="0.3">
      <c r="A45" s="14">
        <v>45544</v>
      </c>
      <c r="B45" t="s">
        <v>50</v>
      </c>
      <c r="C45">
        <v>1430</v>
      </c>
      <c r="D45">
        <v>162</v>
      </c>
      <c r="E45">
        <v>269082</v>
      </c>
      <c r="F45">
        <v>3.4</v>
      </c>
      <c r="G45">
        <v>18071</v>
      </c>
      <c r="H45">
        <f>Engagement_Summary68[[#This Row],[New_Followers]]-Engagement_Summary68[[#This Row],[Unfollows]]</f>
        <v>1268</v>
      </c>
    </row>
    <row r="46" spans="1:8" x14ac:dyDescent="0.3">
      <c r="A46" s="14">
        <v>45544</v>
      </c>
      <c r="B46" t="s">
        <v>57</v>
      </c>
      <c r="C46">
        <v>854</v>
      </c>
      <c r="D46">
        <v>129</v>
      </c>
      <c r="E46">
        <v>310903</v>
      </c>
      <c r="F46">
        <v>7.83</v>
      </c>
      <c r="G46">
        <v>16875</v>
      </c>
      <c r="H46">
        <f>Engagement_Summary68[[#This Row],[New_Followers]]-Engagement_Summary68[[#This Row],[Unfollows]]</f>
        <v>725</v>
      </c>
    </row>
    <row r="47" spans="1:8" x14ac:dyDescent="0.3">
      <c r="A47" s="14">
        <v>45551</v>
      </c>
      <c r="B47" t="s">
        <v>42</v>
      </c>
      <c r="C47">
        <v>681</v>
      </c>
      <c r="D47">
        <v>210</v>
      </c>
      <c r="E47">
        <v>248581</v>
      </c>
      <c r="F47">
        <v>8.76</v>
      </c>
      <c r="G47">
        <v>9567</v>
      </c>
      <c r="H47">
        <f>Engagement_Summary68[[#This Row],[New_Followers]]-Engagement_Summary68[[#This Row],[Unfollows]]</f>
        <v>471</v>
      </c>
    </row>
    <row r="48" spans="1:8" x14ac:dyDescent="0.3">
      <c r="A48" s="14">
        <v>45551</v>
      </c>
      <c r="B48" t="s">
        <v>50</v>
      </c>
      <c r="C48">
        <v>1373</v>
      </c>
      <c r="D48">
        <v>82</v>
      </c>
      <c r="E48">
        <v>371015</v>
      </c>
      <c r="F48">
        <v>9.52</v>
      </c>
      <c r="G48">
        <v>20306</v>
      </c>
      <c r="H48">
        <f>Engagement_Summary68[[#This Row],[New_Followers]]-Engagement_Summary68[[#This Row],[Unfollows]]</f>
        <v>1291</v>
      </c>
    </row>
    <row r="49" spans="1:8" x14ac:dyDescent="0.3">
      <c r="A49" s="14">
        <v>45551</v>
      </c>
      <c r="B49" t="s">
        <v>57</v>
      </c>
      <c r="C49">
        <v>685</v>
      </c>
      <c r="D49">
        <v>285</v>
      </c>
      <c r="E49">
        <v>177452</v>
      </c>
      <c r="F49">
        <v>3.36</v>
      </c>
      <c r="G49">
        <v>21134</v>
      </c>
      <c r="H49">
        <f>Engagement_Summary68[[#This Row],[New_Followers]]-Engagement_Summary68[[#This Row],[Unfollows]]</f>
        <v>400</v>
      </c>
    </row>
    <row r="50" spans="1:8" x14ac:dyDescent="0.3">
      <c r="A50" s="14">
        <v>45558</v>
      </c>
      <c r="B50" t="s">
        <v>42</v>
      </c>
      <c r="C50">
        <v>1290</v>
      </c>
      <c r="D50">
        <v>177</v>
      </c>
      <c r="E50">
        <v>80745</v>
      </c>
      <c r="F50">
        <v>9.2200000000000006</v>
      </c>
      <c r="G50">
        <v>26872</v>
      </c>
      <c r="H50">
        <f>Engagement_Summary68[[#This Row],[New_Followers]]-Engagement_Summary68[[#This Row],[Unfollows]]</f>
        <v>1113</v>
      </c>
    </row>
    <row r="51" spans="1:8" x14ac:dyDescent="0.3">
      <c r="A51" s="14">
        <v>45558</v>
      </c>
      <c r="B51" t="s">
        <v>50</v>
      </c>
      <c r="C51">
        <v>1437</v>
      </c>
      <c r="D51">
        <v>239</v>
      </c>
      <c r="E51">
        <v>362441</v>
      </c>
      <c r="F51">
        <v>5.57</v>
      </c>
      <c r="G51">
        <v>10253</v>
      </c>
      <c r="H51">
        <f>Engagement_Summary68[[#This Row],[New_Followers]]-Engagement_Summary68[[#This Row],[Unfollows]]</f>
        <v>1198</v>
      </c>
    </row>
    <row r="52" spans="1:8" x14ac:dyDescent="0.3">
      <c r="A52" s="14">
        <v>45558</v>
      </c>
      <c r="B52" t="s">
        <v>57</v>
      </c>
      <c r="C52">
        <v>769</v>
      </c>
      <c r="D52">
        <v>295</v>
      </c>
      <c r="E52">
        <v>344771</v>
      </c>
      <c r="F52">
        <v>8.06</v>
      </c>
      <c r="G52">
        <v>23963</v>
      </c>
      <c r="H52">
        <f>Engagement_Summary68[[#This Row],[New_Followers]]-Engagement_Summary68[[#This Row],[Unfollows]]</f>
        <v>474</v>
      </c>
    </row>
    <row r="53" spans="1:8" x14ac:dyDescent="0.3">
      <c r="A53" s="14">
        <v>45565</v>
      </c>
      <c r="B53" t="s">
        <v>42</v>
      </c>
      <c r="C53">
        <v>1416</v>
      </c>
      <c r="D53">
        <v>284</v>
      </c>
      <c r="E53">
        <v>374952</v>
      </c>
      <c r="F53">
        <v>3.45</v>
      </c>
      <c r="G53">
        <v>11335</v>
      </c>
      <c r="H53">
        <f>Engagement_Summary68[[#This Row],[New_Followers]]-Engagement_Summary68[[#This Row],[Unfollows]]</f>
        <v>1132</v>
      </c>
    </row>
    <row r="54" spans="1:8" x14ac:dyDescent="0.3">
      <c r="A54" s="14">
        <v>45565</v>
      </c>
      <c r="B54" t="s">
        <v>50</v>
      </c>
      <c r="C54">
        <v>998</v>
      </c>
      <c r="D54">
        <v>154</v>
      </c>
      <c r="E54">
        <v>179781</v>
      </c>
      <c r="F54">
        <v>9.58</v>
      </c>
      <c r="G54">
        <v>12115</v>
      </c>
      <c r="H54">
        <f>Engagement_Summary68[[#This Row],[New_Followers]]-Engagement_Summary68[[#This Row],[Unfollows]]</f>
        <v>844</v>
      </c>
    </row>
    <row r="55" spans="1:8" x14ac:dyDescent="0.3">
      <c r="A55" s="14">
        <v>45565</v>
      </c>
      <c r="B55" t="s">
        <v>57</v>
      </c>
      <c r="C55">
        <v>1421</v>
      </c>
      <c r="D55">
        <v>246</v>
      </c>
      <c r="E55">
        <v>358581</v>
      </c>
      <c r="F55">
        <v>8.8800000000000008</v>
      </c>
      <c r="G55">
        <v>24358</v>
      </c>
      <c r="H55">
        <f>Engagement_Summary68[[#This Row],[New_Followers]]-Engagement_Summary68[[#This Row],[Unfollows]]</f>
        <v>1175</v>
      </c>
    </row>
    <row r="56" spans="1:8" x14ac:dyDescent="0.3">
      <c r="A56" s="14">
        <v>45572</v>
      </c>
      <c r="B56" t="s">
        <v>42</v>
      </c>
      <c r="C56">
        <v>764</v>
      </c>
      <c r="D56">
        <v>205</v>
      </c>
      <c r="E56">
        <v>319294</v>
      </c>
      <c r="F56">
        <v>6.23</v>
      </c>
      <c r="G56">
        <v>12181</v>
      </c>
      <c r="H56">
        <f>Engagement_Summary68[[#This Row],[New_Followers]]-Engagement_Summary68[[#This Row],[Unfollows]]</f>
        <v>559</v>
      </c>
    </row>
    <row r="57" spans="1:8" x14ac:dyDescent="0.3">
      <c r="A57" s="14">
        <v>45572</v>
      </c>
      <c r="B57" t="s">
        <v>50</v>
      </c>
      <c r="C57">
        <v>678</v>
      </c>
      <c r="D57">
        <v>124</v>
      </c>
      <c r="E57">
        <v>192022</v>
      </c>
      <c r="F57">
        <v>8.4499999999999993</v>
      </c>
      <c r="G57">
        <v>17729</v>
      </c>
      <c r="H57">
        <f>Engagement_Summary68[[#This Row],[New_Followers]]-Engagement_Summary68[[#This Row],[Unfollows]]</f>
        <v>554</v>
      </c>
    </row>
    <row r="58" spans="1:8" x14ac:dyDescent="0.3">
      <c r="A58" s="14">
        <v>45572</v>
      </c>
      <c r="B58" t="s">
        <v>57</v>
      </c>
      <c r="C58">
        <v>1328</v>
      </c>
      <c r="D58">
        <v>103</v>
      </c>
      <c r="E58">
        <v>151462</v>
      </c>
      <c r="F58">
        <v>8.4</v>
      </c>
      <c r="G58">
        <v>10881</v>
      </c>
      <c r="H58">
        <f>Engagement_Summary68[[#This Row],[New_Followers]]-Engagement_Summary68[[#This Row],[Unfollows]]</f>
        <v>1225</v>
      </c>
    </row>
    <row r="59" spans="1:8" x14ac:dyDescent="0.3">
      <c r="A59" s="14">
        <v>45579</v>
      </c>
      <c r="B59" t="s">
        <v>42</v>
      </c>
      <c r="C59">
        <v>1161</v>
      </c>
      <c r="D59">
        <v>269</v>
      </c>
      <c r="E59">
        <v>188193</v>
      </c>
      <c r="F59">
        <v>7.34</v>
      </c>
      <c r="G59">
        <v>18576</v>
      </c>
      <c r="H59">
        <f>Engagement_Summary68[[#This Row],[New_Followers]]-Engagement_Summary68[[#This Row],[Unfollows]]</f>
        <v>892</v>
      </c>
    </row>
    <row r="60" spans="1:8" x14ac:dyDescent="0.3">
      <c r="A60" s="14">
        <v>45579</v>
      </c>
      <c r="B60" t="s">
        <v>50</v>
      </c>
      <c r="C60">
        <v>588</v>
      </c>
      <c r="D60">
        <v>52</v>
      </c>
      <c r="E60">
        <v>292040</v>
      </c>
      <c r="F60">
        <v>8.14</v>
      </c>
      <c r="G60">
        <v>9383</v>
      </c>
      <c r="H60">
        <f>Engagement_Summary68[[#This Row],[New_Followers]]-Engagement_Summary68[[#This Row],[Unfollows]]</f>
        <v>536</v>
      </c>
    </row>
    <row r="61" spans="1:8" x14ac:dyDescent="0.3">
      <c r="A61" s="14">
        <v>45579</v>
      </c>
      <c r="B61" t="s">
        <v>57</v>
      </c>
      <c r="C61">
        <v>1457</v>
      </c>
      <c r="D61">
        <v>215</v>
      </c>
      <c r="E61">
        <v>325325</v>
      </c>
      <c r="F61">
        <v>9.58</v>
      </c>
      <c r="G61">
        <v>14178</v>
      </c>
      <c r="H61">
        <f>Engagement_Summary68[[#This Row],[New_Followers]]-Engagement_Summary68[[#This Row],[Unfollows]]</f>
        <v>1242</v>
      </c>
    </row>
    <row r="62" spans="1:8" x14ac:dyDescent="0.3">
      <c r="A62" s="14">
        <v>45586</v>
      </c>
      <c r="B62" t="s">
        <v>42</v>
      </c>
      <c r="C62">
        <v>1190</v>
      </c>
      <c r="D62">
        <v>242</v>
      </c>
      <c r="E62">
        <v>86849</v>
      </c>
      <c r="F62">
        <v>8.06</v>
      </c>
      <c r="G62">
        <v>21254</v>
      </c>
      <c r="H62">
        <f>Engagement_Summary68[[#This Row],[New_Followers]]-Engagement_Summary68[[#This Row],[Unfollows]]</f>
        <v>948</v>
      </c>
    </row>
    <row r="63" spans="1:8" x14ac:dyDescent="0.3">
      <c r="A63" s="14">
        <v>45586</v>
      </c>
      <c r="B63" t="s">
        <v>50</v>
      </c>
      <c r="C63">
        <v>886</v>
      </c>
      <c r="D63">
        <v>124</v>
      </c>
      <c r="E63">
        <v>141161</v>
      </c>
      <c r="F63">
        <v>8.19</v>
      </c>
      <c r="G63">
        <v>14215</v>
      </c>
      <c r="H63">
        <f>Engagement_Summary68[[#This Row],[New_Followers]]-Engagement_Summary68[[#This Row],[Unfollows]]</f>
        <v>762</v>
      </c>
    </row>
    <row r="64" spans="1:8" x14ac:dyDescent="0.3">
      <c r="A64" s="14">
        <v>45586</v>
      </c>
      <c r="B64" t="s">
        <v>57</v>
      </c>
      <c r="C64">
        <v>1237</v>
      </c>
      <c r="D64">
        <v>155</v>
      </c>
      <c r="E64">
        <v>149916</v>
      </c>
      <c r="F64">
        <v>4.4800000000000004</v>
      </c>
      <c r="G64">
        <v>16921</v>
      </c>
      <c r="H64">
        <f>Engagement_Summary68[[#This Row],[New_Followers]]-Engagement_Summary68[[#This Row],[Unfollows]]</f>
        <v>1082</v>
      </c>
    </row>
    <row r="65" spans="1:10" x14ac:dyDescent="0.3">
      <c r="A65" s="14">
        <v>45593</v>
      </c>
      <c r="B65" t="s">
        <v>42</v>
      </c>
      <c r="C65">
        <v>1435</v>
      </c>
      <c r="D65">
        <v>261</v>
      </c>
      <c r="E65">
        <v>308533</v>
      </c>
      <c r="F65">
        <v>4.5199999999999996</v>
      </c>
      <c r="G65">
        <v>25130</v>
      </c>
      <c r="H65">
        <f>Engagement_Summary68[[#This Row],[New_Followers]]-Engagement_Summary68[[#This Row],[Unfollows]]</f>
        <v>1174</v>
      </c>
    </row>
    <row r="66" spans="1:10" x14ac:dyDescent="0.3">
      <c r="A66" s="14">
        <v>45593</v>
      </c>
      <c r="B66" t="s">
        <v>50</v>
      </c>
      <c r="C66">
        <v>746</v>
      </c>
      <c r="D66">
        <v>282</v>
      </c>
      <c r="E66">
        <v>293894</v>
      </c>
      <c r="F66">
        <v>5.42</v>
      </c>
      <c r="G66">
        <v>25537</v>
      </c>
      <c r="H66">
        <f>Engagement_Summary68[[#This Row],[New_Followers]]-Engagement_Summary68[[#This Row],[Unfollows]]</f>
        <v>464</v>
      </c>
    </row>
    <row r="67" spans="1:10" x14ac:dyDescent="0.3">
      <c r="A67" s="14">
        <v>45593</v>
      </c>
      <c r="B67" t="s">
        <v>57</v>
      </c>
      <c r="C67">
        <v>759</v>
      </c>
      <c r="D67">
        <v>216</v>
      </c>
      <c r="E67">
        <v>147656</v>
      </c>
      <c r="F67">
        <v>4.08</v>
      </c>
      <c r="G67">
        <v>24943</v>
      </c>
      <c r="H67">
        <f>Engagement_Summary68[[#This Row],[New_Followers]]-Engagement_Summary68[[#This Row],[Unfollows]]</f>
        <v>543</v>
      </c>
    </row>
    <row r="68" spans="1:10" x14ac:dyDescent="0.3">
      <c r="A68" s="14">
        <v>45600</v>
      </c>
      <c r="B68" t="s">
        <v>42</v>
      </c>
      <c r="C68">
        <v>1437</v>
      </c>
      <c r="D68">
        <v>235</v>
      </c>
      <c r="E68">
        <v>326791</v>
      </c>
      <c r="F68">
        <v>4.0599999999999996</v>
      </c>
      <c r="G68">
        <v>14563</v>
      </c>
      <c r="H68">
        <f>Engagement_Summary68[[#This Row],[New_Followers]]-Engagement_Summary68[[#This Row],[Unfollows]]</f>
        <v>1202</v>
      </c>
    </row>
    <row r="69" spans="1:10" x14ac:dyDescent="0.3">
      <c r="A69" s="14">
        <v>45600</v>
      </c>
      <c r="B69" t="s">
        <v>50</v>
      </c>
      <c r="C69">
        <v>1463</v>
      </c>
      <c r="D69">
        <v>73</v>
      </c>
      <c r="E69">
        <v>348877</v>
      </c>
      <c r="F69">
        <v>9.91</v>
      </c>
      <c r="G69">
        <v>26273</v>
      </c>
      <c r="H69">
        <f>Engagement_Summary68[[#This Row],[New_Followers]]-Engagement_Summary68[[#This Row],[Unfollows]]</f>
        <v>1390</v>
      </c>
    </row>
    <row r="70" spans="1:10" x14ac:dyDescent="0.3">
      <c r="A70" s="14">
        <v>45600</v>
      </c>
      <c r="B70" t="s">
        <v>57</v>
      </c>
      <c r="C70">
        <v>1208</v>
      </c>
      <c r="D70">
        <v>224</v>
      </c>
      <c r="E70">
        <v>122730</v>
      </c>
      <c r="F70">
        <v>8.7200000000000006</v>
      </c>
      <c r="G70">
        <v>10858</v>
      </c>
      <c r="H70">
        <f>Engagement_Summary68[[#This Row],[New_Followers]]-Engagement_Summary68[[#This Row],[Unfollows]]</f>
        <v>984</v>
      </c>
    </row>
    <row r="71" spans="1:10" x14ac:dyDescent="0.3">
      <c r="A71" s="14">
        <v>45607</v>
      </c>
      <c r="B71" t="s">
        <v>42</v>
      </c>
      <c r="C71">
        <v>1391</v>
      </c>
      <c r="D71">
        <v>187</v>
      </c>
      <c r="E71">
        <v>306508</v>
      </c>
      <c r="F71">
        <v>8.3800000000000008</v>
      </c>
      <c r="G71">
        <v>25038</v>
      </c>
      <c r="H71">
        <f>Engagement_Summary68[[#This Row],[New_Followers]]-Engagement_Summary68[[#This Row],[Unfollows]]</f>
        <v>1204</v>
      </c>
    </row>
    <row r="72" spans="1:10" x14ac:dyDescent="0.3">
      <c r="A72" s="14">
        <v>45607</v>
      </c>
      <c r="B72" t="s">
        <v>50</v>
      </c>
      <c r="C72">
        <v>655</v>
      </c>
      <c r="D72">
        <v>123</v>
      </c>
      <c r="E72">
        <v>202472</v>
      </c>
      <c r="F72">
        <v>7.56</v>
      </c>
      <c r="G72">
        <v>9092</v>
      </c>
      <c r="H72">
        <f>Engagement_Summary68[[#This Row],[New_Followers]]-Engagement_Summary68[[#This Row],[Unfollows]]</f>
        <v>532</v>
      </c>
    </row>
    <row r="73" spans="1:10" x14ac:dyDescent="0.3">
      <c r="A73" s="14">
        <v>45607</v>
      </c>
      <c r="B73" t="s">
        <v>57</v>
      </c>
      <c r="C73">
        <v>1148</v>
      </c>
      <c r="D73">
        <v>90</v>
      </c>
      <c r="E73">
        <v>227249</v>
      </c>
      <c r="F73">
        <v>7.24</v>
      </c>
      <c r="G73">
        <v>17662</v>
      </c>
      <c r="H73">
        <f>Engagement_Summary68[[#This Row],[New_Followers]]-Engagement_Summary68[[#This Row],[Unfollows]]</f>
        <v>1058</v>
      </c>
    </row>
    <row r="74" spans="1:10" x14ac:dyDescent="0.3">
      <c r="A74" s="14">
        <v>45614</v>
      </c>
      <c r="B74" t="s">
        <v>42</v>
      </c>
      <c r="C74">
        <v>946</v>
      </c>
      <c r="D74">
        <v>270</v>
      </c>
      <c r="E74">
        <v>246567</v>
      </c>
      <c r="F74">
        <v>4.53</v>
      </c>
      <c r="G74">
        <v>5924</v>
      </c>
      <c r="H74">
        <f>Engagement_Summary68[[#This Row],[New_Followers]]-Engagement_Summary68[[#This Row],[Unfollows]]</f>
        <v>676</v>
      </c>
    </row>
    <row r="75" spans="1:10" x14ac:dyDescent="0.3">
      <c r="A75" s="14">
        <v>45614</v>
      </c>
      <c r="B75" t="s">
        <v>50</v>
      </c>
      <c r="C75">
        <v>791</v>
      </c>
      <c r="D75">
        <v>214</v>
      </c>
      <c r="E75">
        <v>114738</v>
      </c>
      <c r="F75">
        <v>6.62</v>
      </c>
      <c r="G75">
        <v>25347</v>
      </c>
      <c r="H75">
        <f>Engagement_Summary68[[#This Row],[New_Followers]]-Engagement_Summary68[[#This Row],[Unfollows]]</f>
        <v>577</v>
      </c>
    </row>
    <row r="76" spans="1:10" x14ac:dyDescent="0.3">
      <c r="A76" s="14">
        <v>45614</v>
      </c>
      <c r="B76" t="s">
        <v>57</v>
      </c>
      <c r="C76">
        <v>793</v>
      </c>
      <c r="D76">
        <v>111</v>
      </c>
      <c r="E76">
        <v>333500</v>
      </c>
      <c r="F76">
        <v>6.36</v>
      </c>
      <c r="G76">
        <v>8910</v>
      </c>
      <c r="H76">
        <f>Engagement_Summary68[[#This Row],[New_Followers]]-Engagement_Summary68[[#This Row],[Unfollows]]</f>
        <v>682</v>
      </c>
    </row>
    <row r="77" spans="1:10" x14ac:dyDescent="0.3">
      <c r="A77" s="14">
        <v>45621</v>
      </c>
      <c r="B77" t="s">
        <v>42</v>
      </c>
      <c r="C77">
        <v>663</v>
      </c>
      <c r="D77">
        <v>213</v>
      </c>
      <c r="E77">
        <v>352677</v>
      </c>
      <c r="F77">
        <v>9</v>
      </c>
      <c r="G77">
        <v>20438</v>
      </c>
      <c r="H77">
        <f>Engagement_Summary68[[#This Row],[New_Followers]]-Engagement_Summary68[[#This Row],[Unfollows]]</f>
        <v>450</v>
      </c>
    </row>
    <row r="78" spans="1:10" x14ac:dyDescent="0.3">
      <c r="A78" s="14">
        <v>45621</v>
      </c>
      <c r="B78" t="s">
        <v>50</v>
      </c>
      <c r="C78">
        <v>954</v>
      </c>
      <c r="D78">
        <v>271</v>
      </c>
      <c r="E78">
        <v>160936</v>
      </c>
      <c r="F78">
        <v>8.83</v>
      </c>
      <c r="G78">
        <v>8760</v>
      </c>
      <c r="H78">
        <f>Engagement_Summary68[[#This Row],[New_Followers]]-Engagement_Summary68[[#This Row],[Unfollows]]</f>
        <v>683</v>
      </c>
    </row>
    <row r="79" spans="1:10" x14ac:dyDescent="0.3">
      <c r="A79" s="14">
        <v>45621</v>
      </c>
      <c r="B79" t="s">
        <v>57</v>
      </c>
      <c r="C79">
        <v>1313</v>
      </c>
      <c r="D79">
        <v>159</v>
      </c>
      <c r="E79">
        <v>197183</v>
      </c>
      <c r="F79">
        <v>9.7100000000000009</v>
      </c>
      <c r="G79">
        <v>6625</v>
      </c>
      <c r="H79">
        <f>Engagement_Summary68[[#This Row],[New_Followers]]-Engagement_Summary68[[#This Row],[Unfollows]]</f>
        <v>1154</v>
      </c>
    </row>
    <row r="80" spans="1:10" x14ac:dyDescent="0.3">
      <c r="A80" s="14">
        <v>45628</v>
      </c>
      <c r="B80" t="s">
        <v>42</v>
      </c>
      <c r="C80">
        <v>895</v>
      </c>
      <c r="D80">
        <v>87</v>
      </c>
      <c r="E80">
        <v>171271</v>
      </c>
      <c r="F80">
        <v>6.68</v>
      </c>
      <c r="G80">
        <v>23329</v>
      </c>
      <c r="H80">
        <f>Engagement_Summary68[[#This Row],[New_Followers]]-Engagement_Summary68[[#This Row],[Unfollows]]</f>
        <v>808</v>
      </c>
      <c r="I80" s="19" t="s">
        <v>24</v>
      </c>
      <c r="J80" s="19" t="s">
        <v>1</v>
      </c>
    </row>
    <row r="81" spans="1:10" x14ac:dyDescent="0.3">
      <c r="A81" s="14">
        <v>45628</v>
      </c>
      <c r="B81" t="s">
        <v>50</v>
      </c>
      <c r="C81">
        <v>1027</v>
      </c>
      <c r="D81">
        <v>156</v>
      </c>
      <c r="E81">
        <v>111293</v>
      </c>
      <c r="F81">
        <v>5.51</v>
      </c>
      <c r="G81">
        <v>7299</v>
      </c>
      <c r="H81">
        <f>Engagement_Summary68[[#This Row],[New_Followers]]-Engagement_Summary68[[#This Row],[Unfollows]]</f>
        <v>871</v>
      </c>
      <c r="I81" s="19" t="s">
        <v>24</v>
      </c>
      <c r="J81" s="19" t="s">
        <v>1</v>
      </c>
    </row>
    <row r="82" spans="1:10" x14ac:dyDescent="0.3">
      <c r="A82" s="14">
        <v>45628</v>
      </c>
      <c r="B82" t="s">
        <v>57</v>
      </c>
      <c r="C82">
        <v>990</v>
      </c>
      <c r="D82">
        <v>286</v>
      </c>
      <c r="E82">
        <v>351493</v>
      </c>
      <c r="F82">
        <v>7.97</v>
      </c>
      <c r="G82">
        <v>14496</v>
      </c>
      <c r="H82">
        <f>Engagement_Summary68[[#This Row],[New_Followers]]-Engagement_Summary68[[#This Row],[Unfollows]]</f>
        <v>704</v>
      </c>
      <c r="I82" s="19" t="s">
        <v>24</v>
      </c>
      <c r="J82" s="19" t="s">
        <v>1</v>
      </c>
    </row>
    <row r="83" spans="1:10" x14ac:dyDescent="0.3">
      <c r="A83" s="14">
        <v>45635</v>
      </c>
      <c r="B83" t="s">
        <v>42</v>
      </c>
      <c r="C83">
        <v>875</v>
      </c>
      <c r="D83">
        <v>264</v>
      </c>
      <c r="E83">
        <v>345631</v>
      </c>
      <c r="F83">
        <v>9.18</v>
      </c>
      <c r="G83">
        <v>25703</v>
      </c>
      <c r="H83">
        <f>Engagement_Summary68[[#This Row],[New_Followers]]-Engagement_Summary68[[#This Row],[Unfollows]]</f>
        <v>611</v>
      </c>
      <c r="I83" s="19" t="s">
        <v>24</v>
      </c>
      <c r="J83" s="19" t="s">
        <v>1</v>
      </c>
    </row>
    <row r="84" spans="1:10" x14ac:dyDescent="0.3">
      <c r="A84" s="14">
        <v>45635</v>
      </c>
      <c r="B84" t="s">
        <v>50</v>
      </c>
      <c r="C84">
        <v>599</v>
      </c>
      <c r="D84">
        <v>194</v>
      </c>
      <c r="E84">
        <v>105622</v>
      </c>
      <c r="F84">
        <v>6.44</v>
      </c>
      <c r="G84">
        <v>15108</v>
      </c>
      <c r="H84">
        <f>Engagement_Summary68[[#This Row],[New_Followers]]-Engagement_Summary68[[#This Row],[Unfollows]]</f>
        <v>405</v>
      </c>
      <c r="I84" s="19" t="s">
        <v>24</v>
      </c>
      <c r="J84" s="19" t="s">
        <v>1</v>
      </c>
    </row>
    <row r="85" spans="1:10" x14ac:dyDescent="0.3">
      <c r="A85" s="14">
        <v>45635</v>
      </c>
      <c r="B85" t="s">
        <v>57</v>
      </c>
      <c r="C85">
        <v>630</v>
      </c>
      <c r="D85">
        <v>248</v>
      </c>
      <c r="E85">
        <v>119054</v>
      </c>
      <c r="F85">
        <v>5.0199999999999996</v>
      </c>
      <c r="G85">
        <v>18867</v>
      </c>
      <c r="H85">
        <f>Engagement_Summary68[[#This Row],[New_Followers]]-Engagement_Summary68[[#This Row],[Unfollows]]</f>
        <v>382</v>
      </c>
      <c r="I85" s="19" t="s">
        <v>24</v>
      </c>
      <c r="J85" s="19" t="s">
        <v>1</v>
      </c>
    </row>
    <row r="86" spans="1:10" x14ac:dyDescent="0.3">
      <c r="A86" s="14">
        <v>45642</v>
      </c>
      <c r="B86" t="s">
        <v>42</v>
      </c>
      <c r="C86">
        <v>1350</v>
      </c>
      <c r="D86">
        <v>233</v>
      </c>
      <c r="E86">
        <v>171670</v>
      </c>
      <c r="F86">
        <v>4.53</v>
      </c>
      <c r="G86">
        <v>17574</v>
      </c>
      <c r="H86">
        <f>Engagement_Summary68[[#This Row],[New_Followers]]-Engagement_Summary68[[#This Row],[Unfollows]]</f>
        <v>1117</v>
      </c>
      <c r="I86" s="19" t="s">
        <v>24</v>
      </c>
      <c r="J86" s="19" t="s">
        <v>1</v>
      </c>
    </row>
    <row r="87" spans="1:10" x14ac:dyDescent="0.3">
      <c r="A87" s="14">
        <v>45642</v>
      </c>
      <c r="B87" t="s">
        <v>50</v>
      </c>
      <c r="C87">
        <v>632</v>
      </c>
      <c r="D87">
        <v>155</v>
      </c>
      <c r="E87">
        <v>170432</v>
      </c>
      <c r="F87">
        <v>9.17</v>
      </c>
      <c r="G87">
        <v>12840</v>
      </c>
      <c r="H87">
        <f>Engagement_Summary68[[#This Row],[New_Followers]]-Engagement_Summary68[[#This Row],[Unfollows]]</f>
        <v>477</v>
      </c>
      <c r="I87" s="19" t="s">
        <v>24</v>
      </c>
      <c r="J87" s="19" t="s">
        <v>1</v>
      </c>
    </row>
    <row r="88" spans="1:10" x14ac:dyDescent="0.3">
      <c r="A88" s="14">
        <v>45642</v>
      </c>
      <c r="B88" t="s">
        <v>57</v>
      </c>
      <c r="C88">
        <v>1182</v>
      </c>
      <c r="D88">
        <v>83</v>
      </c>
      <c r="E88">
        <v>140300</v>
      </c>
      <c r="F88">
        <v>3.27</v>
      </c>
      <c r="G88">
        <v>21079</v>
      </c>
      <c r="H88">
        <f>Engagement_Summary68[[#This Row],[New_Followers]]-Engagement_Summary68[[#This Row],[Unfollows]]</f>
        <v>1099</v>
      </c>
      <c r="I88" s="19" t="s">
        <v>24</v>
      </c>
      <c r="J88" s="19" t="s">
        <v>1</v>
      </c>
    </row>
    <row r="89" spans="1:10" x14ac:dyDescent="0.3">
      <c r="A89" s="14">
        <v>45649</v>
      </c>
      <c r="B89" t="s">
        <v>42</v>
      </c>
      <c r="C89">
        <v>661</v>
      </c>
      <c r="D89">
        <v>94</v>
      </c>
      <c r="E89">
        <v>116538</v>
      </c>
      <c r="F89">
        <v>5.31</v>
      </c>
      <c r="G89">
        <v>23486</v>
      </c>
      <c r="H89">
        <f>Engagement_Summary68[[#This Row],[New_Followers]]-Engagement_Summary68[[#This Row],[Unfollows]]</f>
        <v>567</v>
      </c>
      <c r="I89" s="19" t="s">
        <v>24</v>
      </c>
      <c r="J89" s="19" t="s">
        <v>1</v>
      </c>
    </row>
    <row r="90" spans="1:10" x14ac:dyDescent="0.3">
      <c r="A90" s="14">
        <v>45649</v>
      </c>
      <c r="B90" t="s">
        <v>50</v>
      </c>
      <c r="C90">
        <v>1360</v>
      </c>
      <c r="D90">
        <v>227</v>
      </c>
      <c r="E90">
        <v>176902</v>
      </c>
      <c r="F90">
        <v>6.03</v>
      </c>
      <c r="G90">
        <v>5960</v>
      </c>
      <c r="H90">
        <f>Engagement_Summary68[[#This Row],[New_Followers]]-Engagement_Summary68[[#This Row],[Unfollows]]</f>
        <v>1133</v>
      </c>
      <c r="I90" s="19" t="s">
        <v>24</v>
      </c>
      <c r="J90" s="19" t="s">
        <v>1</v>
      </c>
    </row>
    <row r="91" spans="1:10" x14ac:dyDescent="0.3">
      <c r="A91" s="14">
        <v>45649</v>
      </c>
      <c r="B91" t="s">
        <v>57</v>
      </c>
      <c r="C91">
        <v>935</v>
      </c>
      <c r="D91">
        <v>85</v>
      </c>
      <c r="E91">
        <v>326821</v>
      </c>
      <c r="F91">
        <v>8.89</v>
      </c>
      <c r="G91">
        <v>13301</v>
      </c>
      <c r="H91">
        <f>Engagement_Summary68[[#This Row],[New_Followers]]-Engagement_Summary68[[#This Row],[Unfollows]]</f>
        <v>850</v>
      </c>
      <c r="I91" s="19" t="s">
        <v>24</v>
      </c>
      <c r="J91" s="19" t="s">
        <v>1</v>
      </c>
    </row>
    <row r="92" spans="1:10" x14ac:dyDescent="0.3">
      <c r="A92" s="14">
        <v>45656</v>
      </c>
      <c r="B92" t="s">
        <v>42</v>
      </c>
      <c r="C92">
        <v>664</v>
      </c>
      <c r="D92">
        <v>251</v>
      </c>
      <c r="E92">
        <v>240598</v>
      </c>
      <c r="F92">
        <v>4.79</v>
      </c>
      <c r="G92">
        <v>10563</v>
      </c>
      <c r="H92">
        <f>Engagement_Summary68[[#This Row],[New_Followers]]-Engagement_Summary68[[#This Row],[Unfollows]]</f>
        <v>413</v>
      </c>
      <c r="I92" s="19" t="s">
        <v>24</v>
      </c>
      <c r="J92" s="19" t="s">
        <v>1</v>
      </c>
    </row>
    <row r="93" spans="1:10" x14ac:dyDescent="0.3">
      <c r="A93" s="14">
        <v>45656</v>
      </c>
      <c r="B93" t="s">
        <v>50</v>
      </c>
      <c r="C93">
        <v>1490</v>
      </c>
      <c r="D93">
        <v>103</v>
      </c>
      <c r="E93">
        <v>373274</v>
      </c>
      <c r="F93">
        <v>4.8</v>
      </c>
      <c r="G93">
        <v>19949</v>
      </c>
      <c r="H93">
        <f>Engagement_Summary68[[#This Row],[New_Followers]]-Engagement_Summary68[[#This Row],[Unfollows]]</f>
        <v>1387</v>
      </c>
      <c r="I93" s="19" t="s">
        <v>24</v>
      </c>
      <c r="J93" s="19" t="s">
        <v>1</v>
      </c>
    </row>
    <row r="94" spans="1:10" x14ac:dyDescent="0.3">
      <c r="A94" s="14">
        <v>45656</v>
      </c>
      <c r="B94" t="s">
        <v>57</v>
      </c>
      <c r="C94">
        <v>601</v>
      </c>
      <c r="D94">
        <v>64</v>
      </c>
      <c r="E94">
        <v>123272</v>
      </c>
      <c r="F94">
        <v>4.07</v>
      </c>
      <c r="G94">
        <v>14273</v>
      </c>
      <c r="H94">
        <f>Engagement_Summary68[[#This Row],[New_Followers]]-Engagement_Summary68[[#This Row],[Unfollows]]</f>
        <v>537</v>
      </c>
      <c r="I94" s="19" t="s">
        <v>24</v>
      </c>
      <c r="J94" s="19" t="s">
        <v>1</v>
      </c>
    </row>
    <row r="95" spans="1:10" x14ac:dyDescent="0.3">
      <c r="A95" s="14">
        <v>45663</v>
      </c>
      <c r="B95" t="s">
        <v>42</v>
      </c>
      <c r="C95">
        <v>613</v>
      </c>
      <c r="D95">
        <v>170</v>
      </c>
      <c r="E95">
        <v>139266</v>
      </c>
      <c r="F95">
        <v>6.06</v>
      </c>
      <c r="G95">
        <v>9247</v>
      </c>
      <c r="H95">
        <f>Engagement_Summary68[[#This Row],[New_Followers]]-Engagement_Summary68[[#This Row],[Unfollows]]</f>
        <v>443</v>
      </c>
    </row>
    <row r="96" spans="1:10" x14ac:dyDescent="0.3">
      <c r="A96" s="14">
        <v>45663</v>
      </c>
      <c r="B96" t="s">
        <v>50</v>
      </c>
      <c r="C96">
        <v>1340</v>
      </c>
      <c r="D96">
        <v>57</v>
      </c>
      <c r="E96">
        <v>155927</v>
      </c>
      <c r="F96">
        <v>7.79</v>
      </c>
      <c r="G96">
        <v>11972</v>
      </c>
      <c r="H96">
        <f>Engagement_Summary68[[#This Row],[New_Followers]]-Engagement_Summary68[[#This Row],[Unfollows]]</f>
        <v>1283</v>
      </c>
    </row>
    <row r="97" spans="1:10" x14ac:dyDescent="0.3">
      <c r="A97" s="14">
        <v>45663</v>
      </c>
      <c r="B97" t="s">
        <v>57</v>
      </c>
      <c r="C97">
        <v>953</v>
      </c>
      <c r="D97">
        <v>228</v>
      </c>
      <c r="E97">
        <v>258398</v>
      </c>
      <c r="F97">
        <v>9.0500000000000007</v>
      </c>
      <c r="G97">
        <v>13314</v>
      </c>
      <c r="H97">
        <f>Engagement_Summary68[[#This Row],[New_Followers]]-Engagement_Summary68[[#This Row],[Unfollows]]</f>
        <v>725</v>
      </c>
    </row>
    <row r="98" spans="1:10" x14ac:dyDescent="0.3">
      <c r="A98" s="14">
        <v>45670</v>
      </c>
      <c r="B98" t="s">
        <v>42</v>
      </c>
      <c r="C98">
        <v>532</v>
      </c>
      <c r="D98">
        <v>65</v>
      </c>
      <c r="E98">
        <v>338561</v>
      </c>
      <c r="F98">
        <v>3.5</v>
      </c>
      <c r="G98">
        <v>14749</v>
      </c>
      <c r="H98">
        <f>Engagement_Summary68[[#This Row],[New_Followers]]-Engagement_Summary68[[#This Row],[Unfollows]]</f>
        <v>467</v>
      </c>
      <c r="I98" s="19" t="s">
        <v>19</v>
      </c>
      <c r="J98" s="19" t="s">
        <v>1</v>
      </c>
    </row>
    <row r="99" spans="1:10" x14ac:dyDescent="0.3">
      <c r="A99" s="14">
        <v>45670</v>
      </c>
      <c r="B99" t="s">
        <v>50</v>
      </c>
      <c r="C99">
        <v>1414</v>
      </c>
      <c r="D99">
        <v>60</v>
      </c>
      <c r="E99">
        <v>341856</v>
      </c>
      <c r="F99">
        <v>8.76</v>
      </c>
      <c r="G99">
        <v>6868</v>
      </c>
      <c r="H99">
        <f>Engagement_Summary68[[#This Row],[New_Followers]]-Engagement_Summary68[[#This Row],[Unfollows]]</f>
        <v>1354</v>
      </c>
      <c r="I99" s="19" t="s">
        <v>19</v>
      </c>
      <c r="J99" s="19" t="s">
        <v>1</v>
      </c>
    </row>
    <row r="100" spans="1:10" x14ac:dyDescent="0.3">
      <c r="A100" s="14">
        <v>45670</v>
      </c>
      <c r="B100" t="s">
        <v>57</v>
      </c>
      <c r="C100">
        <v>685</v>
      </c>
      <c r="D100">
        <v>165</v>
      </c>
      <c r="E100">
        <v>175860</v>
      </c>
      <c r="F100">
        <v>6.26</v>
      </c>
      <c r="G100">
        <v>6027</v>
      </c>
      <c r="H100">
        <f>Engagement_Summary68[[#This Row],[New_Followers]]-Engagement_Summary68[[#This Row],[Unfollows]]</f>
        <v>520</v>
      </c>
      <c r="I100" s="19" t="s">
        <v>19</v>
      </c>
      <c r="J100" s="19" t="s">
        <v>1</v>
      </c>
    </row>
    <row r="101" spans="1:10" x14ac:dyDescent="0.3">
      <c r="A101" s="14">
        <v>45677</v>
      </c>
      <c r="B101" t="s">
        <v>42</v>
      </c>
      <c r="C101">
        <v>601</v>
      </c>
      <c r="D101">
        <v>159</v>
      </c>
      <c r="E101">
        <v>327722</v>
      </c>
      <c r="F101">
        <v>3.33</v>
      </c>
      <c r="G101">
        <v>25267</v>
      </c>
      <c r="H101">
        <f>Engagement_Summary68[[#This Row],[New_Followers]]-Engagement_Summary68[[#This Row],[Unfollows]]</f>
        <v>442</v>
      </c>
      <c r="I101" s="19" t="s">
        <v>19</v>
      </c>
      <c r="J101" s="19" t="s">
        <v>1</v>
      </c>
    </row>
    <row r="102" spans="1:10" x14ac:dyDescent="0.3">
      <c r="A102" s="14">
        <v>45677</v>
      </c>
      <c r="B102" t="s">
        <v>50</v>
      </c>
      <c r="C102">
        <v>841</v>
      </c>
      <c r="D102">
        <v>295</v>
      </c>
      <c r="E102">
        <v>271638</v>
      </c>
      <c r="F102">
        <v>9.15</v>
      </c>
      <c r="G102">
        <v>5900</v>
      </c>
      <c r="H102">
        <f>Engagement_Summary68[[#This Row],[New_Followers]]-Engagement_Summary68[[#This Row],[Unfollows]]</f>
        <v>546</v>
      </c>
      <c r="I102" s="19" t="s">
        <v>19</v>
      </c>
      <c r="J102" s="19" t="s">
        <v>1</v>
      </c>
    </row>
    <row r="103" spans="1:10" x14ac:dyDescent="0.3">
      <c r="A103" s="14">
        <v>45677</v>
      </c>
      <c r="B103" t="s">
        <v>57</v>
      </c>
      <c r="C103">
        <v>1105</v>
      </c>
      <c r="D103">
        <v>261</v>
      </c>
      <c r="E103">
        <v>333851</v>
      </c>
      <c r="F103">
        <v>6.03</v>
      </c>
      <c r="G103">
        <v>11181</v>
      </c>
      <c r="H103">
        <f>Engagement_Summary68[[#This Row],[New_Followers]]-Engagement_Summary68[[#This Row],[Unfollows]]</f>
        <v>844</v>
      </c>
      <c r="I103" s="19" t="s">
        <v>19</v>
      </c>
      <c r="J103" s="19" t="s">
        <v>1</v>
      </c>
    </row>
    <row r="104" spans="1:10" x14ac:dyDescent="0.3">
      <c r="A104" s="14">
        <v>45684</v>
      </c>
      <c r="B104" t="s">
        <v>42</v>
      </c>
      <c r="C104">
        <v>566</v>
      </c>
      <c r="D104">
        <v>225</v>
      </c>
      <c r="E104">
        <v>368984</v>
      </c>
      <c r="F104">
        <v>9.82</v>
      </c>
      <c r="G104">
        <v>9592</v>
      </c>
      <c r="H104">
        <f>Engagement_Summary68[[#This Row],[New_Followers]]-Engagement_Summary68[[#This Row],[Unfollows]]</f>
        <v>341</v>
      </c>
      <c r="I104" s="19" t="s">
        <v>19</v>
      </c>
      <c r="J104" s="19" t="s">
        <v>1</v>
      </c>
    </row>
    <row r="105" spans="1:10" x14ac:dyDescent="0.3">
      <c r="A105" s="14">
        <v>45684</v>
      </c>
      <c r="B105" t="s">
        <v>50</v>
      </c>
      <c r="C105">
        <v>1149</v>
      </c>
      <c r="D105">
        <v>280</v>
      </c>
      <c r="E105">
        <v>167310</v>
      </c>
      <c r="F105">
        <v>3.7</v>
      </c>
      <c r="G105">
        <v>5291</v>
      </c>
      <c r="H105">
        <f>Engagement_Summary68[[#This Row],[New_Followers]]-Engagement_Summary68[[#This Row],[Unfollows]]</f>
        <v>869</v>
      </c>
      <c r="I105" s="19" t="s">
        <v>19</v>
      </c>
      <c r="J105" s="19" t="s">
        <v>1</v>
      </c>
    </row>
    <row r="106" spans="1:10" x14ac:dyDescent="0.3">
      <c r="A106" s="14">
        <v>45684</v>
      </c>
      <c r="B106" t="s">
        <v>57</v>
      </c>
      <c r="C106">
        <v>819</v>
      </c>
      <c r="D106">
        <v>101</v>
      </c>
      <c r="E106">
        <v>194811</v>
      </c>
      <c r="F106">
        <v>3.35</v>
      </c>
      <c r="G106">
        <v>22244</v>
      </c>
      <c r="H106">
        <f>Engagement_Summary68[[#This Row],[New_Followers]]-Engagement_Summary68[[#This Row],[Unfollows]]</f>
        <v>718</v>
      </c>
      <c r="I106" s="19" t="s">
        <v>19</v>
      </c>
      <c r="J106" s="19" t="s">
        <v>1</v>
      </c>
    </row>
    <row r="107" spans="1:10" x14ac:dyDescent="0.3">
      <c r="A107" s="14">
        <v>45691</v>
      </c>
      <c r="B107" t="s">
        <v>42</v>
      </c>
      <c r="C107">
        <v>795</v>
      </c>
      <c r="D107">
        <v>60</v>
      </c>
      <c r="E107">
        <v>314982</v>
      </c>
      <c r="F107">
        <v>7.31</v>
      </c>
      <c r="G107">
        <v>6824</v>
      </c>
      <c r="H107">
        <f>Engagement_Summary68[[#This Row],[New_Followers]]-Engagement_Summary68[[#This Row],[Unfollows]]</f>
        <v>735</v>
      </c>
      <c r="I107" s="19" t="s">
        <v>19</v>
      </c>
      <c r="J107" s="19" t="s">
        <v>1</v>
      </c>
    </row>
    <row r="108" spans="1:10" x14ac:dyDescent="0.3">
      <c r="A108" s="14">
        <v>45691</v>
      </c>
      <c r="B108" t="s">
        <v>50</v>
      </c>
      <c r="C108">
        <v>681</v>
      </c>
      <c r="D108">
        <v>158</v>
      </c>
      <c r="E108">
        <v>75960</v>
      </c>
      <c r="F108">
        <v>3.13</v>
      </c>
      <c r="G108">
        <v>24112</v>
      </c>
      <c r="H108">
        <f>Engagement_Summary68[[#This Row],[New_Followers]]-Engagement_Summary68[[#This Row],[Unfollows]]</f>
        <v>523</v>
      </c>
      <c r="I108" s="19" t="s">
        <v>19</v>
      </c>
      <c r="J108" s="19" t="s">
        <v>1</v>
      </c>
    </row>
    <row r="109" spans="1:10" x14ac:dyDescent="0.3">
      <c r="A109" s="14">
        <v>45691</v>
      </c>
      <c r="B109" t="s">
        <v>57</v>
      </c>
      <c r="C109">
        <v>534</v>
      </c>
      <c r="D109">
        <v>112</v>
      </c>
      <c r="E109">
        <v>360759</v>
      </c>
      <c r="F109">
        <v>4.8899999999999997</v>
      </c>
      <c r="G109">
        <v>25478</v>
      </c>
      <c r="H109">
        <f>Engagement_Summary68[[#This Row],[New_Followers]]-Engagement_Summary68[[#This Row],[Unfollows]]</f>
        <v>422</v>
      </c>
      <c r="I109" s="19" t="s">
        <v>19</v>
      </c>
      <c r="J109" s="19" t="s">
        <v>1</v>
      </c>
    </row>
    <row r="110" spans="1:10" x14ac:dyDescent="0.3">
      <c r="A110" s="14">
        <v>45698</v>
      </c>
      <c r="B110" t="s">
        <v>42</v>
      </c>
      <c r="C110">
        <v>1066</v>
      </c>
      <c r="D110">
        <v>151</v>
      </c>
      <c r="E110">
        <v>297090</v>
      </c>
      <c r="F110">
        <v>8.6300000000000008</v>
      </c>
      <c r="G110">
        <v>11235</v>
      </c>
      <c r="H110">
        <f>Engagement_Summary68[[#This Row],[New_Followers]]-Engagement_Summary68[[#This Row],[Unfollows]]</f>
        <v>915</v>
      </c>
      <c r="I110" s="19" t="s">
        <v>19</v>
      </c>
      <c r="J110" s="19" t="s">
        <v>1</v>
      </c>
    </row>
    <row r="111" spans="1:10" x14ac:dyDescent="0.3">
      <c r="A111" s="14">
        <v>45698</v>
      </c>
      <c r="B111" t="s">
        <v>50</v>
      </c>
      <c r="C111">
        <v>1270</v>
      </c>
      <c r="D111">
        <v>162</v>
      </c>
      <c r="E111">
        <v>92040</v>
      </c>
      <c r="F111">
        <v>8.0299999999999994</v>
      </c>
      <c r="G111">
        <v>6120</v>
      </c>
      <c r="H111">
        <f>Engagement_Summary68[[#This Row],[New_Followers]]-Engagement_Summary68[[#This Row],[Unfollows]]</f>
        <v>1108</v>
      </c>
      <c r="I111" s="19" t="s">
        <v>19</v>
      </c>
      <c r="J111" s="19" t="s">
        <v>1</v>
      </c>
    </row>
    <row r="112" spans="1:10" x14ac:dyDescent="0.3">
      <c r="A112" s="14">
        <v>45698</v>
      </c>
      <c r="B112" t="s">
        <v>57</v>
      </c>
      <c r="C112">
        <v>536</v>
      </c>
      <c r="D112">
        <v>198</v>
      </c>
      <c r="E112">
        <v>174610</v>
      </c>
      <c r="F112">
        <v>7.85</v>
      </c>
      <c r="G112">
        <v>20572</v>
      </c>
      <c r="H112">
        <f>Engagement_Summary68[[#This Row],[New_Followers]]-Engagement_Summary68[[#This Row],[Unfollows]]</f>
        <v>338</v>
      </c>
      <c r="I112" s="19" t="s">
        <v>19</v>
      </c>
      <c r="J112" s="19" t="s">
        <v>1</v>
      </c>
    </row>
    <row r="113" spans="1:10" x14ac:dyDescent="0.3">
      <c r="A113" s="14">
        <v>45705</v>
      </c>
      <c r="B113" t="s">
        <v>42</v>
      </c>
      <c r="C113">
        <v>819</v>
      </c>
      <c r="D113">
        <v>95</v>
      </c>
      <c r="E113">
        <v>177376</v>
      </c>
      <c r="F113">
        <v>6.12</v>
      </c>
      <c r="G113">
        <v>14975</v>
      </c>
      <c r="H113">
        <f>Engagement_Summary68[[#This Row],[New_Followers]]-Engagement_Summary68[[#This Row],[Unfollows]]</f>
        <v>724</v>
      </c>
    </row>
    <row r="114" spans="1:10" x14ac:dyDescent="0.3">
      <c r="A114" s="14">
        <v>45705</v>
      </c>
      <c r="B114" t="s">
        <v>50</v>
      </c>
      <c r="C114">
        <v>681</v>
      </c>
      <c r="D114">
        <v>218</v>
      </c>
      <c r="E114">
        <v>198882</v>
      </c>
      <c r="F114">
        <v>7.16</v>
      </c>
      <c r="G114">
        <v>22234</v>
      </c>
      <c r="H114">
        <f>Engagement_Summary68[[#This Row],[New_Followers]]-Engagement_Summary68[[#This Row],[Unfollows]]</f>
        <v>463</v>
      </c>
    </row>
    <row r="115" spans="1:10" x14ac:dyDescent="0.3">
      <c r="A115" s="14">
        <v>45705</v>
      </c>
      <c r="B115" t="s">
        <v>57</v>
      </c>
      <c r="C115">
        <v>646</v>
      </c>
      <c r="D115">
        <v>290</v>
      </c>
      <c r="E115">
        <v>336383</v>
      </c>
      <c r="F115">
        <v>7.04</v>
      </c>
      <c r="G115">
        <v>6532</v>
      </c>
      <c r="H115">
        <f>Engagement_Summary68[[#This Row],[New_Followers]]-Engagement_Summary68[[#This Row],[Unfollows]]</f>
        <v>356</v>
      </c>
    </row>
    <row r="116" spans="1:10" x14ac:dyDescent="0.3">
      <c r="A116" s="14">
        <v>45712</v>
      </c>
      <c r="B116" t="s">
        <v>42</v>
      </c>
      <c r="C116">
        <v>645</v>
      </c>
      <c r="D116">
        <v>267</v>
      </c>
      <c r="E116">
        <v>346890</v>
      </c>
      <c r="F116">
        <v>3.71</v>
      </c>
      <c r="G116">
        <v>24858</v>
      </c>
      <c r="H116">
        <f>Engagement_Summary68[[#This Row],[New_Followers]]-Engagement_Summary68[[#This Row],[Unfollows]]</f>
        <v>378</v>
      </c>
    </row>
    <row r="117" spans="1:10" x14ac:dyDescent="0.3">
      <c r="A117" s="14">
        <v>45712</v>
      </c>
      <c r="B117" t="s">
        <v>50</v>
      </c>
      <c r="C117">
        <v>886</v>
      </c>
      <c r="D117">
        <v>250</v>
      </c>
      <c r="E117">
        <v>168170</v>
      </c>
      <c r="F117">
        <v>4.12</v>
      </c>
      <c r="G117">
        <v>13883</v>
      </c>
      <c r="H117">
        <f>Engagement_Summary68[[#This Row],[New_Followers]]-Engagement_Summary68[[#This Row],[Unfollows]]</f>
        <v>636</v>
      </c>
    </row>
    <row r="118" spans="1:10" x14ac:dyDescent="0.3">
      <c r="A118" s="14">
        <v>45712</v>
      </c>
      <c r="B118" t="s">
        <v>57</v>
      </c>
      <c r="C118">
        <v>978</v>
      </c>
      <c r="D118">
        <v>279</v>
      </c>
      <c r="E118">
        <v>368872</v>
      </c>
      <c r="F118">
        <v>6.82</v>
      </c>
      <c r="G118">
        <v>18654</v>
      </c>
      <c r="H118">
        <f>Engagement_Summary68[[#This Row],[New_Followers]]-Engagement_Summary68[[#This Row],[Unfollows]]</f>
        <v>699</v>
      </c>
    </row>
    <row r="119" spans="1:10" x14ac:dyDescent="0.3">
      <c r="A119" s="14">
        <v>45719</v>
      </c>
      <c r="B119" t="s">
        <v>42</v>
      </c>
      <c r="C119">
        <v>1444</v>
      </c>
      <c r="D119">
        <v>165</v>
      </c>
      <c r="E119">
        <v>116436</v>
      </c>
      <c r="F119">
        <v>8.2200000000000006</v>
      </c>
      <c r="G119">
        <v>25234</v>
      </c>
      <c r="H119">
        <f>Engagement_Summary68[[#This Row],[New_Followers]]-Engagement_Summary68[[#This Row],[Unfollows]]</f>
        <v>1279</v>
      </c>
      <c r="I119" s="19" t="s">
        <v>23</v>
      </c>
      <c r="J119" s="19" t="s">
        <v>1</v>
      </c>
    </row>
    <row r="120" spans="1:10" x14ac:dyDescent="0.3">
      <c r="A120" s="14">
        <v>45719</v>
      </c>
      <c r="B120" t="s">
        <v>50</v>
      </c>
      <c r="C120">
        <v>1234</v>
      </c>
      <c r="D120">
        <v>228</v>
      </c>
      <c r="E120">
        <v>127502</v>
      </c>
      <c r="F120">
        <v>7.71</v>
      </c>
      <c r="G120">
        <v>6772</v>
      </c>
      <c r="H120">
        <f>Engagement_Summary68[[#This Row],[New_Followers]]-Engagement_Summary68[[#This Row],[Unfollows]]</f>
        <v>1006</v>
      </c>
      <c r="I120" s="19" t="s">
        <v>23</v>
      </c>
      <c r="J120" s="19" t="s">
        <v>1</v>
      </c>
    </row>
    <row r="121" spans="1:10" x14ac:dyDescent="0.3">
      <c r="A121" s="14">
        <v>45719</v>
      </c>
      <c r="B121" t="s">
        <v>57</v>
      </c>
      <c r="C121">
        <v>665</v>
      </c>
      <c r="D121">
        <v>187</v>
      </c>
      <c r="E121">
        <v>274567</v>
      </c>
      <c r="F121">
        <v>7.39</v>
      </c>
      <c r="G121">
        <v>22428</v>
      </c>
      <c r="H121">
        <f>Engagement_Summary68[[#This Row],[New_Followers]]-Engagement_Summary68[[#This Row],[Unfollows]]</f>
        <v>478</v>
      </c>
      <c r="I121" s="19" t="s">
        <v>23</v>
      </c>
      <c r="J121" s="19" t="s">
        <v>1</v>
      </c>
    </row>
    <row r="122" spans="1:10" x14ac:dyDescent="0.3">
      <c r="A122" s="14">
        <v>45726</v>
      </c>
      <c r="B122" t="s">
        <v>42</v>
      </c>
      <c r="C122">
        <v>631</v>
      </c>
      <c r="D122">
        <v>86</v>
      </c>
      <c r="E122">
        <v>295090</v>
      </c>
      <c r="F122">
        <v>7.89</v>
      </c>
      <c r="G122">
        <v>11911</v>
      </c>
      <c r="H122">
        <f>Engagement_Summary68[[#This Row],[New_Followers]]-Engagement_Summary68[[#This Row],[Unfollows]]</f>
        <v>545</v>
      </c>
      <c r="I122" s="19" t="s">
        <v>23</v>
      </c>
      <c r="J122" s="19" t="s">
        <v>1</v>
      </c>
    </row>
    <row r="123" spans="1:10" x14ac:dyDescent="0.3">
      <c r="A123" s="14">
        <v>45726</v>
      </c>
      <c r="B123" t="s">
        <v>50</v>
      </c>
      <c r="C123">
        <v>1159</v>
      </c>
      <c r="D123">
        <v>154</v>
      </c>
      <c r="E123">
        <v>194994</v>
      </c>
      <c r="F123">
        <v>6.39</v>
      </c>
      <c r="G123">
        <v>21900</v>
      </c>
      <c r="H123">
        <f>Engagement_Summary68[[#This Row],[New_Followers]]-Engagement_Summary68[[#This Row],[Unfollows]]</f>
        <v>1005</v>
      </c>
      <c r="I123" s="19" t="s">
        <v>23</v>
      </c>
      <c r="J123" s="19" t="s">
        <v>1</v>
      </c>
    </row>
    <row r="124" spans="1:10" x14ac:dyDescent="0.3">
      <c r="A124" s="14">
        <v>45726</v>
      </c>
      <c r="B124" t="s">
        <v>57</v>
      </c>
      <c r="C124">
        <v>950</v>
      </c>
      <c r="D124">
        <v>185</v>
      </c>
      <c r="E124">
        <v>340750</v>
      </c>
      <c r="F124">
        <v>6.77</v>
      </c>
      <c r="G124">
        <v>25542</v>
      </c>
      <c r="H124">
        <f>Engagement_Summary68[[#This Row],[New_Followers]]-Engagement_Summary68[[#This Row],[Unfollows]]</f>
        <v>765</v>
      </c>
      <c r="I124" s="19" t="s">
        <v>23</v>
      </c>
      <c r="J124" s="19" t="s">
        <v>1</v>
      </c>
    </row>
    <row r="125" spans="1:10" x14ac:dyDescent="0.3">
      <c r="A125" s="14">
        <v>45733</v>
      </c>
      <c r="B125" t="s">
        <v>42</v>
      </c>
      <c r="C125">
        <v>693</v>
      </c>
      <c r="D125">
        <v>129</v>
      </c>
      <c r="E125">
        <v>296031</v>
      </c>
      <c r="F125">
        <v>3.41</v>
      </c>
      <c r="G125">
        <v>7140</v>
      </c>
      <c r="H125">
        <f>Engagement_Summary68[[#This Row],[New_Followers]]-Engagement_Summary68[[#This Row],[Unfollows]]</f>
        <v>564</v>
      </c>
      <c r="I125" s="19" t="s">
        <v>23</v>
      </c>
      <c r="J125" s="19" t="s">
        <v>1</v>
      </c>
    </row>
    <row r="126" spans="1:10" x14ac:dyDescent="0.3">
      <c r="A126" s="14">
        <v>45733</v>
      </c>
      <c r="B126" t="s">
        <v>50</v>
      </c>
      <c r="C126">
        <v>576</v>
      </c>
      <c r="D126">
        <v>80</v>
      </c>
      <c r="E126">
        <v>345688</v>
      </c>
      <c r="F126">
        <v>4.1100000000000003</v>
      </c>
      <c r="G126">
        <v>20474</v>
      </c>
      <c r="H126">
        <f>Engagement_Summary68[[#This Row],[New_Followers]]-Engagement_Summary68[[#This Row],[Unfollows]]</f>
        <v>496</v>
      </c>
      <c r="I126" s="19" t="s">
        <v>23</v>
      </c>
      <c r="J126" s="19" t="s">
        <v>1</v>
      </c>
    </row>
    <row r="127" spans="1:10" x14ac:dyDescent="0.3">
      <c r="A127" s="14">
        <v>45733</v>
      </c>
      <c r="B127" t="s">
        <v>57</v>
      </c>
      <c r="C127">
        <v>1274</v>
      </c>
      <c r="D127">
        <v>146</v>
      </c>
      <c r="E127">
        <v>263488</v>
      </c>
      <c r="F127">
        <v>9.58</v>
      </c>
      <c r="G127">
        <v>8698</v>
      </c>
      <c r="H127">
        <f>Engagement_Summary68[[#This Row],[New_Followers]]-Engagement_Summary68[[#This Row],[Unfollows]]</f>
        <v>1128</v>
      </c>
      <c r="I127" s="19" t="s">
        <v>23</v>
      </c>
      <c r="J127" s="19" t="s">
        <v>1</v>
      </c>
    </row>
    <row r="128" spans="1:10" x14ac:dyDescent="0.3">
      <c r="A128" s="14">
        <v>45740</v>
      </c>
      <c r="B128" t="s">
        <v>42</v>
      </c>
      <c r="C128">
        <v>818</v>
      </c>
      <c r="D128">
        <v>253</v>
      </c>
      <c r="E128">
        <v>184911</v>
      </c>
      <c r="F128">
        <v>3.39</v>
      </c>
      <c r="G128">
        <v>10402</v>
      </c>
      <c r="H128">
        <f>Engagement_Summary68[[#This Row],[New_Followers]]-Engagement_Summary68[[#This Row],[Unfollows]]</f>
        <v>565</v>
      </c>
      <c r="I128" s="19" t="s">
        <v>23</v>
      </c>
      <c r="J128" s="19" t="s">
        <v>1</v>
      </c>
    </row>
    <row r="129" spans="1:10" x14ac:dyDescent="0.3">
      <c r="A129" s="14">
        <v>45740</v>
      </c>
      <c r="B129" t="s">
        <v>50</v>
      </c>
      <c r="C129">
        <v>975</v>
      </c>
      <c r="D129">
        <v>162</v>
      </c>
      <c r="E129">
        <v>124497</v>
      </c>
      <c r="F129">
        <v>9.58</v>
      </c>
      <c r="G129">
        <v>26618</v>
      </c>
      <c r="H129">
        <f>Engagement_Summary68[[#This Row],[New_Followers]]-Engagement_Summary68[[#This Row],[Unfollows]]</f>
        <v>813</v>
      </c>
      <c r="I129" s="19" t="s">
        <v>23</v>
      </c>
      <c r="J129" s="19" t="s">
        <v>1</v>
      </c>
    </row>
    <row r="130" spans="1:10" x14ac:dyDescent="0.3">
      <c r="A130" s="14">
        <v>45740</v>
      </c>
      <c r="B130" t="s">
        <v>57</v>
      </c>
      <c r="C130">
        <v>1398</v>
      </c>
      <c r="D130">
        <v>97</v>
      </c>
      <c r="E130">
        <v>397607</v>
      </c>
      <c r="F130">
        <v>5.09</v>
      </c>
      <c r="G130">
        <v>7975</v>
      </c>
      <c r="H130">
        <f>Engagement_Summary68[[#This Row],[New_Followers]]-Engagement_Summary68[[#This Row],[Unfollows]]</f>
        <v>1301</v>
      </c>
      <c r="I130" s="19" t="s">
        <v>23</v>
      </c>
      <c r="J130" s="19" t="s">
        <v>1</v>
      </c>
    </row>
    <row r="131" spans="1:10" x14ac:dyDescent="0.3">
      <c r="A131" s="14">
        <v>45747</v>
      </c>
      <c r="B131" t="s">
        <v>42</v>
      </c>
      <c r="C131">
        <v>591</v>
      </c>
      <c r="D131">
        <v>155</v>
      </c>
      <c r="E131">
        <v>138521</v>
      </c>
      <c r="F131">
        <v>7.85</v>
      </c>
      <c r="G131">
        <v>19054</v>
      </c>
      <c r="H131">
        <f>Engagement_Summary68[[#This Row],[New_Followers]]-Engagement_Summary68[[#This Row],[Unfollows]]</f>
        <v>436</v>
      </c>
      <c r="I131" s="19" t="s">
        <v>23</v>
      </c>
      <c r="J131" s="19" t="s">
        <v>1</v>
      </c>
    </row>
    <row r="132" spans="1:10" x14ac:dyDescent="0.3">
      <c r="A132" s="14">
        <v>45747</v>
      </c>
      <c r="B132" t="s">
        <v>50</v>
      </c>
      <c r="C132">
        <v>1232</v>
      </c>
      <c r="D132">
        <v>254</v>
      </c>
      <c r="E132">
        <v>107718</v>
      </c>
      <c r="F132">
        <v>9.7100000000000009</v>
      </c>
      <c r="G132">
        <v>13740</v>
      </c>
      <c r="H132">
        <f>Engagement_Summary68[[#This Row],[New_Followers]]-Engagement_Summary68[[#This Row],[Unfollows]]</f>
        <v>978</v>
      </c>
      <c r="I132" s="19" t="s">
        <v>23</v>
      </c>
      <c r="J132" s="19" t="s">
        <v>1</v>
      </c>
    </row>
    <row r="133" spans="1:10" x14ac:dyDescent="0.3">
      <c r="A133" s="14">
        <v>45747</v>
      </c>
      <c r="B133" t="s">
        <v>57</v>
      </c>
      <c r="C133">
        <v>1425</v>
      </c>
      <c r="D133">
        <v>58</v>
      </c>
      <c r="E133">
        <v>202234</v>
      </c>
      <c r="F133">
        <v>6.67</v>
      </c>
      <c r="G133">
        <v>18442</v>
      </c>
      <c r="H133">
        <f>Engagement_Summary68[[#This Row],[New_Followers]]-Engagement_Summary68[[#This Row],[Unfollows]]</f>
        <v>1367</v>
      </c>
      <c r="I133" s="19" t="s">
        <v>23</v>
      </c>
      <c r="J133" s="19" t="s">
        <v>1</v>
      </c>
    </row>
    <row r="134" spans="1:10" x14ac:dyDescent="0.3">
      <c r="A134" s="14">
        <v>45754</v>
      </c>
      <c r="B134" t="s">
        <v>42</v>
      </c>
      <c r="C134">
        <v>1417</v>
      </c>
      <c r="D134">
        <v>80</v>
      </c>
      <c r="E134">
        <v>340987</v>
      </c>
      <c r="F134">
        <v>6.13</v>
      </c>
      <c r="G134">
        <v>10104</v>
      </c>
      <c r="H134">
        <f>Engagement_Summary68[[#This Row],[New_Followers]]-Engagement_Summary68[[#This Row],[Unfollows]]</f>
        <v>1337</v>
      </c>
    </row>
    <row r="135" spans="1:10" x14ac:dyDescent="0.3">
      <c r="A135" s="14">
        <v>45754</v>
      </c>
      <c r="B135" t="s">
        <v>50</v>
      </c>
      <c r="C135">
        <v>1222</v>
      </c>
      <c r="D135">
        <v>208</v>
      </c>
      <c r="E135">
        <v>340098</v>
      </c>
      <c r="F135">
        <v>7.34</v>
      </c>
      <c r="G135">
        <v>21771</v>
      </c>
      <c r="H135">
        <f>Engagement_Summary68[[#This Row],[New_Followers]]-Engagement_Summary68[[#This Row],[Unfollows]]</f>
        <v>1014</v>
      </c>
    </row>
    <row r="136" spans="1:10" x14ac:dyDescent="0.3">
      <c r="A136" s="14">
        <v>45754</v>
      </c>
      <c r="B136" t="s">
        <v>57</v>
      </c>
      <c r="C136">
        <v>1071</v>
      </c>
      <c r="D136">
        <v>131</v>
      </c>
      <c r="E136">
        <v>254727</v>
      </c>
      <c r="F136">
        <v>6.87</v>
      </c>
      <c r="G136">
        <v>22191</v>
      </c>
      <c r="H136">
        <f>Engagement_Summary68[[#This Row],[New_Followers]]-Engagement_Summary68[[#This Row],[Unfollows]]</f>
        <v>940</v>
      </c>
    </row>
    <row r="137" spans="1:10" x14ac:dyDescent="0.3">
      <c r="A137" s="14">
        <v>45761</v>
      </c>
      <c r="B137" t="s">
        <v>42</v>
      </c>
      <c r="C137">
        <v>772</v>
      </c>
      <c r="D137">
        <v>82</v>
      </c>
      <c r="E137">
        <v>345659</v>
      </c>
      <c r="F137">
        <v>3.52</v>
      </c>
      <c r="G137">
        <v>27753</v>
      </c>
      <c r="H137">
        <f>Engagement_Summary68[[#This Row],[New_Followers]]-Engagement_Summary68[[#This Row],[Unfollows]]</f>
        <v>690</v>
      </c>
    </row>
    <row r="138" spans="1:10" x14ac:dyDescent="0.3">
      <c r="A138" s="14">
        <v>45761</v>
      </c>
      <c r="B138" t="s">
        <v>50</v>
      </c>
      <c r="C138">
        <v>1472</v>
      </c>
      <c r="D138">
        <v>137</v>
      </c>
      <c r="E138">
        <v>213950</v>
      </c>
      <c r="F138">
        <v>6.96</v>
      </c>
      <c r="G138">
        <v>23736</v>
      </c>
      <c r="H138">
        <f>Engagement_Summary68[[#This Row],[New_Followers]]-Engagement_Summary68[[#This Row],[Unfollows]]</f>
        <v>1335</v>
      </c>
    </row>
    <row r="139" spans="1:10" x14ac:dyDescent="0.3">
      <c r="A139" s="14">
        <v>45761</v>
      </c>
      <c r="B139" t="s">
        <v>57</v>
      </c>
      <c r="C139">
        <v>1472</v>
      </c>
      <c r="D139">
        <v>281</v>
      </c>
      <c r="E139">
        <v>258115</v>
      </c>
      <c r="F139">
        <v>7.23</v>
      </c>
      <c r="G139">
        <v>27393</v>
      </c>
      <c r="H139">
        <f>Engagement_Summary68[[#This Row],[New_Followers]]-Engagement_Summary68[[#This Row],[Unfollows]]</f>
        <v>1191</v>
      </c>
    </row>
    <row r="140" spans="1:10" x14ac:dyDescent="0.3">
      <c r="A140" s="14">
        <v>45768</v>
      </c>
      <c r="B140" t="s">
        <v>42</v>
      </c>
      <c r="C140">
        <v>585</v>
      </c>
      <c r="D140">
        <v>232</v>
      </c>
      <c r="E140">
        <v>321258</v>
      </c>
      <c r="F140">
        <v>7.42</v>
      </c>
      <c r="G140">
        <v>10343</v>
      </c>
      <c r="H140">
        <f>Engagement_Summary68[[#This Row],[New_Followers]]-Engagement_Summary68[[#This Row],[Unfollows]]</f>
        <v>353</v>
      </c>
    </row>
    <row r="141" spans="1:10" x14ac:dyDescent="0.3">
      <c r="A141" s="14">
        <v>45768</v>
      </c>
      <c r="B141" t="s">
        <v>50</v>
      </c>
      <c r="C141">
        <v>747</v>
      </c>
      <c r="D141">
        <v>261</v>
      </c>
      <c r="E141">
        <v>338650</v>
      </c>
      <c r="F141">
        <v>7.73</v>
      </c>
      <c r="G141">
        <v>25259</v>
      </c>
      <c r="H141">
        <f>Engagement_Summary68[[#This Row],[New_Followers]]-Engagement_Summary68[[#This Row],[Unfollows]]</f>
        <v>486</v>
      </c>
    </row>
    <row r="142" spans="1:10" x14ac:dyDescent="0.3">
      <c r="A142" s="14">
        <v>45768</v>
      </c>
      <c r="B142" t="s">
        <v>57</v>
      </c>
      <c r="C142">
        <v>1113</v>
      </c>
      <c r="D142">
        <v>224</v>
      </c>
      <c r="E142">
        <v>272989</v>
      </c>
      <c r="F142">
        <v>5.13</v>
      </c>
      <c r="G142">
        <v>24827</v>
      </c>
      <c r="H142">
        <f>Engagement_Summary68[[#This Row],[New_Followers]]-Engagement_Summary68[[#This Row],[Unfollows]]</f>
        <v>889</v>
      </c>
    </row>
    <row r="143" spans="1:10" x14ac:dyDescent="0.3">
      <c r="A143" s="14">
        <v>45775</v>
      </c>
      <c r="B143" t="s">
        <v>42</v>
      </c>
      <c r="C143">
        <v>1100</v>
      </c>
      <c r="D143">
        <v>117</v>
      </c>
      <c r="E143">
        <v>260204</v>
      </c>
      <c r="F143">
        <v>4.4000000000000004</v>
      </c>
      <c r="G143">
        <v>11908</v>
      </c>
      <c r="H143">
        <f>Engagement_Summary68[[#This Row],[New_Followers]]-Engagement_Summary68[[#This Row],[Unfollows]]</f>
        <v>983</v>
      </c>
    </row>
    <row r="144" spans="1:10" x14ac:dyDescent="0.3">
      <c r="A144" s="14">
        <v>45775</v>
      </c>
      <c r="B144" t="s">
        <v>50</v>
      </c>
      <c r="C144">
        <v>751</v>
      </c>
      <c r="D144">
        <v>170</v>
      </c>
      <c r="E144">
        <v>283278</v>
      </c>
      <c r="F144">
        <v>3.49</v>
      </c>
      <c r="G144">
        <v>11005</v>
      </c>
      <c r="H144">
        <f>Engagement_Summary68[[#This Row],[New_Followers]]-Engagement_Summary68[[#This Row],[Unfollows]]</f>
        <v>581</v>
      </c>
    </row>
    <row r="145" spans="1:8" x14ac:dyDescent="0.3">
      <c r="A145" s="14">
        <v>45775</v>
      </c>
      <c r="B145" t="s">
        <v>57</v>
      </c>
      <c r="C145">
        <v>864</v>
      </c>
      <c r="D145">
        <v>50</v>
      </c>
      <c r="E145">
        <v>277445</v>
      </c>
      <c r="F145">
        <v>3.57</v>
      </c>
      <c r="G145">
        <v>26333</v>
      </c>
      <c r="H145">
        <f>Engagement_Summary68[[#This Row],[New_Followers]]-Engagement_Summary68[[#This Row],[Unfollows]]</f>
        <v>814</v>
      </c>
    </row>
    <row r="146" spans="1:8" x14ac:dyDescent="0.3">
      <c r="A146" s="14">
        <v>45782</v>
      </c>
      <c r="B146" t="s">
        <v>42</v>
      </c>
      <c r="C146">
        <v>1146</v>
      </c>
      <c r="D146">
        <v>227</v>
      </c>
      <c r="E146">
        <v>353781</v>
      </c>
      <c r="F146">
        <v>6.41</v>
      </c>
      <c r="G146">
        <v>5495</v>
      </c>
      <c r="H146">
        <f>Engagement_Summary68[[#This Row],[New_Followers]]-Engagement_Summary68[[#This Row],[Unfollows]]</f>
        <v>919</v>
      </c>
    </row>
    <row r="147" spans="1:8" x14ac:dyDescent="0.3">
      <c r="A147" s="14">
        <v>45782</v>
      </c>
      <c r="B147" t="s">
        <v>50</v>
      </c>
      <c r="C147">
        <v>883</v>
      </c>
      <c r="D147">
        <v>207</v>
      </c>
      <c r="E147">
        <v>265019</v>
      </c>
      <c r="F147">
        <v>6.04</v>
      </c>
      <c r="G147">
        <v>15655</v>
      </c>
      <c r="H147">
        <f>Engagement_Summary68[[#This Row],[New_Followers]]-Engagement_Summary68[[#This Row],[Unfollows]]</f>
        <v>676</v>
      </c>
    </row>
    <row r="148" spans="1:8" x14ac:dyDescent="0.3">
      <c r="A148" s="14">
        <v>45782</v>
      </c>
      <c r="B148" t="s">
        <v>57</v>
      </c>
      <c r="C148">
        <v>622</v>
      </c>
      <c r="D148">
        <v>163</v>
      </c>
      <c r="E148">
        <v>231925</v>
      </c>
      <c r="F148">
        <v>9.18</v>
      </c>
      <c r="G148">
        <v>13763</v>
      </c>
      <c r="H148">
        <f>Engagement_Summary68[[#This Row],[New_Followers]]-Engagement_Summary68[[#This Row],[Unfollows]]</f>
        <v>459</v>
      </c>
    </row>
    <row r="149" spans="1:8" x14ac:dyDescent="0.3">
      <c r="A149" s="14">
        <v>45789</v>
      </c>
      <c r="B149" t="s">
        <v>42</v>
      </c>
      <c r="C149">
        <v>837</v>
      </c>
      <c r="D149">
        <v>261</v>
      </c>
      <c r="E149">
        <v>366149</v>
      </c>
      <c r="F149">
        <v>6.54</v>
      </c>
      <c r="G149">
        <v>26073</v>
      </c>
      <c r="H149">
        <f>Engagement_Summary68[[#This Row],[New_Followers]]-Engagement_Summary68[[#This Row],[Unfollows]]</f>
        <v>576</v>
      </c>
    </row>
    <row r="150" spans="1:8" x14ac:dyDescent="0.3">
      <c r="A150" s="14">
        <v>45789</v>
      </c>
      <c r="B150" t="s">
        <v>50</v>
      </c>
      <c r="C150">
        <v>544</v>
      </c>
      <c r="D150">
        <v>97</v>
      </c>
      <c r="E150">
        <v>168375</v>
      </c>
      <c r="F150">
        <v>8.66</v>
      </c>
      <c r="G150">
        <v>12774</v>
      </c>
      <c r="H150">
        <f>Engagement_Summary68[[#This Row],[New_Followers]]-Engagement_Summary68[[#This Row],[Unfollows]]</f>
        <v>447</v>
      </c>
    </row>
    <row r="151" spans="1:8" x14ac:dyDescent="0.3">
      <c r="A151" s="14">
        <v>45789</v>
      </c>
      <c r="B151" t="s">
        <v>57</v>
      </c>
      <c r="C151">
        <v>624</v>
      </c>
      <c r="D151">
        <v>247</v>
      </c>
      <c r="E151">
        <v>252763</v>
      </c>
      <c r="F151">
        <v>3.89</v>
      </c>
      <c r="G151">
        <v>19000</v>
      </c>
      <c r="H151">
        <f>Engagement_Summary68[[#This Row],[New_Followers]]-Engagement_Summary68[[#This Row],[Unfollows]]</f>
        <v>377</v>
      </c>
    </row>
    <row r="152" spans="1:8" x14ac:dyDescent="0.3">
      <c r="A152" s="14">
        <v>45796</v>
      </c>
      <c r="B152" t="s">
        <v>42</v>
      </c>
      <c r="C152">
        <v>1073</v>
      </c>
      <c r="D152">
        <v>141</v>
      </c>
      <c r="E152">
        <v>118393</v>
      </c>
      <c r="F152">
        <v>7.95</v>
      </c>
      <c r="G152">
        <v>14051</v>
      </c>
      <c r="H152">
        <f>Engagement_Summary68[[#This Row],[New_Followers]]-Engagement_Summary68[[#This Row],[Unfollows]]</f>
        <v>932</v>
      </c>
    </row>
    <row r="153" spans="1:8" x14ac:dyDescent="0.3">
      <c r="A153" s="14">
        <v>45796</v>
      </c>
      <c r="B153" t="s">
        <v>50</v>
      </c>
      <c r="C153">
        <v>1430</v>
      </c>
      <c r="D153">
        <v>74</v>
      </c>
      <c r="E153">
        <v>327012</v>
      </c>
      <c r="F153">
        <v>6.66</v>
      </c>
      <c r="G153">
        <v>27782</v>
      </c>
      <c r="H153">
        <f>Engagement_Summary68[[#This Row],[New_Followers]]-Engagement_Summary68[[#This Row],[Unfollows]]</f>
        <v>1356</v>
      </c>
    </row>
    <row r="154" spans="1:8" x14ac:dyDescent="0.3">
      <c r="A154" s="14">
        <v>45796</v>
      </c>
      <c r="B154" t="s">
        <v>57</v>
      </c>
      <c r="C154">
        <v>1358</v>
      </c>
      <c r="D154">
        <v>77</v>
      </c>
      <c r="E154">
        <v>169688</v>
      </c>
      <c r="F154">
        <v>5.25</v>
      </c>
      <c r="G154">
        <v>7859</v>
      </c>
      <c r="H154">
        <f>Engagement_Summary68[[#This Row],[New_Followers]]-Engagement_Summary68[[#This Row],[Unfollows]]</f>
        <v>1281</v>
      </c>
    </row>
    <row r="155" spans="1:8" x14ac:dyDescent="0.3">
      <c r="A155" s="14">
        <v>45803</v>
      </c>
      <c r="B155" t="s">
        <v>42</v>
      </c>
      <c r="C155">
        <v>1242</v>
      </c>
      <c r="D155">
        <v>201</v>
      </c>
      <c r="E155">
        <v>271935</v>
      </c>
      <c r="F155">
        <v>5.07</v>
      </c>
      <c r="G155">
        <v>15773</v>
      </c>
      <c r="H155">
        <f>Engagement_Summary68[[#This Row],[New_Followers]]-Engagement_Summary68[[#This Row],[Unfollows]]</f>
        <v>1041</v>
      </c>
    </row>
    <row r="156" spans="1:8" x14ac:dyDescent="0.3">
      <c r="A156" s="14">
        <v>45803</v>
      </c>
      <c r="B156" t="s">
        <v>50</v>
      </c>
      <c r="C156">
        <v>1389</v>
      </c>
      <c r="D156">
        <v>205</v>
      </c>
      <c r="E156">
        <v>315981</v>
      </c>
      <c r="F156">
        <v>7.62</v>
      </c>
      <c r="G156">
        <v>20595</v>
      </c>
      <c r="H156">
        <f>Engagement_Summary68[[#This Row],[New_Followers]]-Engagement_Summary68[[#This Row],[Unfollows]]</f>
        <v>1184</v>
      </c>
    </row>
    <row r="157" spans="1:8" x14ac:dyDescent="0.3">
      <c r="A157" s="14">
        <v>45803</v>
      </c>
      <c r="B157" t="s">
        <v>57</v>
      </c>
      <c r="C157">
        <v>826</v>
      </c>
      <c r="D157">
        <v>142</v>
      </c>
      <c r="E157">
        <v>341016</v>
      </c>
      <c r="F157">
        <v>7.44</v>
      </c>
      <c r="G157">
        <v>12031</v>
      </c>
      <c r="H157">
        <f>Engagement_Summary68[[#This Row],[New_Followers]]-Engagement_Summary68[[#This Row],[Unfollows]]</f>
        <v>684</v>
      </c>
    </row>
    <row r="158" spans="1:8" x14ac:dyDescent="0.3">
      <c r="A158" s="14">
        <v>45810</v>
      </c>
      <c r="B158" t="s">
        <v>42</v>
      </c>
      <c r="C158">
        <v>618</v>
      </c>
      <c r="D158">
        <v>264</v>
      </c>
      <c r="E158">
        <v>285164</v>
      </c>
      <c r="F158">
        <v>4.8600000000000003</v>
      </c>
      <c r="G158">
        <v>15128</v>
      </c>
      <c r="H158">
        <f>Engagement_Summary68[[#This Row],[New_Followers]]-Engagement_Summary68[[#This Row],[Unfollows]]</f>
        <v>354</v>
      </c>
    </row>
    <row r="159" spans="1:8" x14ac:dyDescent="0.3">
      <c r="A159" s="14">
        <v>45810</v>
      </c>
      <c r="B159" t="s">
        <v>50</v>
      </c>
      <c r="C159">
        <v>1419</v>
      </c>
      <c r="D159">
        <v>293</v>
      </c>
      <c r="E159">
        <v>116632</v>
      </c>
      <c r="F159">
        <v>6.93</v>
      </c>
      <c r="G159">
        <v>11826</v>
      </c>
      <c r="H159">
        <f>Engagement_Summary68[[#This Row],[New_Followers]]-Engagement_Summary68[[#This Row],[Unfollows]]</f>
        <v>1126</v>
      </c>
    </row>
    <row r="160" spans="1:8" x14ac:dyDescent="0.3">
      <c r="A160" s="14">
        <v>45810</v>
      </c>
      <c r="B160" t="s">
        <v>57</v>
      </c>
      <c r="C160">
        <v>637</v>
      </c>
      <c r="D160">
        <v>68</v>
      </c>
      <c r="E160">
        <v>115694</v>
      </c>
      <c r="F160">
        <v>9.99</v>
      </c>
      <c r="G160">
        <v>12562</v>
      </c>
      <c r="H160">
        <f>Engagement_Summary68[[#This Row],[New_Followers]]-Engagement_Summary68[[#This Row],[Unfollows]]</f>
        <v>569</v>
      </c>
    </row>
    <row r="161" spans="1:8" x14ac:dyDescent="0.3">
      <c r="A161" s="14">
        <v>45817</v>
      </c>
      <c r="B161" t="s">
        <v>42</v>
      </c>
      <c r="C161">
        <v>917</v>
      </c>
      <c r="D161">
        <v>187</v>
      </c>
      <c r="E161">
        <v>64444</v>
      </c>
      <c r="F161">
        <v>5.22</v>
      </c>
      <c r="G161">
        <v>13013</v>
      </c>
      <c r="H161">
        <f>Engagement_Summary68[[#This Row],[New_Followers]]-Engagement_Summary68[[#This Row],[Unfollows]]</f>
        <v>730</v>
      </c>
    </row>
    <row r="162" spans="1:8" x14ac:dyDescent="0.3">
      <c r="A162" s="14">
        <v>45817</v>
      </c>
      <c r="B162" t="s">
        <v>50</v>
      </c>
      <c r="C162">
        <v>810</v>
      </c>
      <c r="D162">
        <v>232</v>
      </c>
      <c r="E162">
        <v>362559</v>
      </c>
      <c r="F162">
        <v>5.17</v>
      </c>
      <c r="G162">
        <v>12937</v>
      </c>
      <c r="H162">
        <f>Engagement_Summary68[[#This Row],[New_Followers]]-Engagement_Summary68[[#This Row],[Unfollows]]</f>
        <v>578</v>
      </c>
    </row>
    <row r="163" spans="1:8" x14ac:dyDescent="0.3">
      <c r="A163" s="14">
        <v>45817</v>
      </c>
      <c r="B163" t="s">
        <v>57</v>
      </c>
      <c r="C163">
        <v>1183</v>
      </c>
      <c r="D163">
        <v>248</v>
      </c>
      <c r="E163">
        <v>226881</v>
      </c>
      <c r="F163">
        <v>5.17</v>
      </c>
      <c r="G163">
        <v>14534</v>
      </c>
      <c r="H163">
        <f>Engagement_Summary68[[#This Row],[New_Followers]]-Engagement_Summary68[[#This Row],[Unfollows]]</f>
        <v>935</v>
      </c>
    </row>
    <row r="164" spans="1:8" x14ac:dyDescent="0.3">
      <c r="A164" s="14">
        <v>45824</v>
      </c>
      <c r="B164" t="s">
        <v>42</v>
      </c>
      <c r="C164">
        <v>765</v>
      </c>
      <c r="D164">
        <v>67</v>
      </c>
      <c r="E164">
        <v>283537</v>
      </c>
      <c r="F164">
        <v>6.18</v>
      </c>
      <c r="G164">
        <v>8182</v>
      </c>
      <c r="H164">
        <f>Engagement_Summary68[[#This Row],[New_Followers]]-Engagement_Summary68[[#This Row],[Unfollows]]</f>
        <v>698</v>
      </c>
    </row>
    <row r="165" spans="1:8" x14ac:dyDescent="0.3">
      <c r="A165" s="14">
        <v>45824</v>
      </c>
      <c r="B165" t="s">
        <v>50</v>
      </c>
      <c r="C165">
        <v>540</v>
      </c>
      <c r="D165">
        <v>215</v>
      </c>
      <c r="E165">
        <v>62837</v>
      </c>
      <c r="F165">
        <v>5.3</v>
      </c>
      <c r="G165">
        <v>10615</v>
      </c>
      <c r="H165">
        <f>Engagement_Summary68[[#This Row],[New_Followers]]-Engagement_Summary68[[#This Row],[Unfollows]]</f>
        <v>325</v>
      </c>
    </row>
    <row r="166" spans="1:8" x14ac:dyDescent="0.3">
      <c r="A166" s="14">
        <v>45824</v>
      </c>
      <c r="B166" t="s">
        <v>57</v>
      </c>
      <c r="C166">
        <v>1145</v>
      </c>
      <c r="D166">
        <v>151</v>
      </c>
      <c r="E166">
        <v>182759</v>
      </c>
      <c r="F166">
        <v>5.99</v>
      </c>
      <c r="G166">
        <v>20109</v>
      </c>
      <c r="H166">
        <f>Engagement_Summary68[[#This Row],[New_Followers]]-Engagement_Summary68[[#This Row],[Unfollows]]</f>
        <v>994</v>
      </c>
    </row>
    <row r="167" spans="1:8" x14ac:dyDescent="0.3">
      <c r="A167" s="14">
        <v>45831</v>
      </c>
      <c r="B167" t="s">
        <v>42</v>
      </c>
      <c r="C167">
        <v>564</v>
      </c>
      <c r="D167">
        <v>244</v>
      </c>
      <c r="E167">
        <v>279405</v>
      </c>
      <c r="F167">
        <v>8.43</v>
      </c>
      <c r="G167">
        <v>26024</v>
      </c>
      <c r="H167">
        <f>Engagement_Summary68[[#This Row],[New_Followers]]-Engagement_Summary68[[#This Row],[Unfollows]]</f>
        <v>320</v>
      </c>
    </row>
    <row r="168" spans="1:8" x14ac:dyDescent="0.3">
      <c r="A168" s="14">
        <v>45831</v>
      </c>
      <c r="B168" t="s">
        <v>50</v>
      </c>
      <c r="C168">
        <v>668</v>
      </c>
      <c r="D168">
        <v>124</v>
      </c>
      <c r="E168">
        <v>257485</v>
      </c>
      <c r="F168">
        <v>7.55</v>
      </c>
      <c r="G168">
        <v>26730</v>
      </c>
      <c r="H168">
        <f>Engagement_Summary68[[#This Row],[New_Followers]]-Engagement_Summary68[[#This Row],[Unfollows]]</f>
        <v>544</v>
      </c>
    </row>
    <row r="169" spans="1:8" x14ac:dyDescent="0.3">
      <c r="A169" s="14">
        <v>45831</v>
      </c>
      <c r="B169" t="s">
        <v>57</v>
      </c>
      <c r="C169">
        <v>761</v>
      </c>
      <c r="D169">
        <v>241</v>
      </c>
      <c r="E169">
        <v>154977</v>
      </c>
      <c r="F169">
        <v>5.63</v>
      </c>
      <c r="G169">
        <v>10563</v>
      </c>
      <c r="H169">
        <f>Engagement_Summary68[[#This Row],[New_Followers]]-Engagement_Summary68[[#This Row],[Unfollows]]</f>
        <v>520</v>
      </c>
    </row>
    <row r="170" spans="1:8" x14ac:dyDescent="0.3">
      <c r="A170" s="14">
        <v>45838</v>
      </c>
      <c r="B170" t="s">
        <v>42</v>
      </c>
      <c r="C170">
        <v>593</v>
      </c>
      <c r="D170">
        <v>108</v>
      </c>
      <c r="E170">
        <v>216500</v>
      </c>
      <c r="F170">
        <v>4.71</v>
      </c>
      <c r="G170">
        <v>27575</v>
      </c>
      <c r="H170">
        <f>Engagement_Summary68[[#This Row],[New_Followers]]-Engagement_Summary68[[#This Row],[Unfollows]]</f>
        <v>485</v>
      </c>
    </row>
    <row r="171" spans="1:8" x14ac:dyDescent="0.3">
      <c r="A171" s="14">
        <v>45838</v>
      </c>
      <c r="B171" t="s">
        <v>50</v>
      </c>
      <c r="C171">
        <v>1349</v>
      </c>
      <c r="D171">
        <v>115</v>
      </c>
      <c r="E171">
        <v>102102</v>
      </c>
      <c r="F171">
        <v>5.28</v>
      </c>
      <c r="G171">
        <v>14479</v>
      </c>
      <c r="H171">
        <f>Engagement_Summary68[[#This Row],[New_Followers]]-Engagement_Summary68[[#This Row],[Unfollows]]</f>
        <v>1234</v>
      </c>
    </row>
    <row r="172" spans="1:8" x14ac:dyDescent="0.3">
      <c r="A172" s="14">
        <v>45838</v>
      </c>
      <c r="B172" t="s">
        <v>57</v>
      </c>
      <c r="C172">
        <v>693</v>
      </c>
      <c r="D172">
        <v>97</v>
      </c>
      <c r="E172">
        <v>92025</v>
      </c>
      <c r="F172">
        <v>5.95</v>
      </c>
      <c r="G172">
        <v>15915</v>
      </c>
      <c r="H172">
        <f>Engagement_Summary68[[#This Row],[New_Followers]]-Engagement_Summary68[[#This Row],[Unfollows]]</f>
        <v>596</v>
      </c>
    </row>
    <row r="173" spans="1:8" x14ac:dyDescent="0.3">
      <c r="A173" s="14">
        <v>45845</v>
      </c>
      <c r="B173" t="s">
        <v>42</v>
      </c>
      <c r="C173">
        <v>974</v>
      </c>
      <c r="D173">
        <v>143</v>
      </c>
      <c r="E173">
        <v>247965</v>
      </c>
      <c r="F173">
        <v>9.98</v>
      </c>
      <c r="G173">
        <v>12767</v>
      </c>
      <c r="H173">
        <f>Engagement_Summary68[[#This Row],[New_Followers]]-Engagement_Summary68[[#This Row],[Unfollows]]</f>
        <v>831</v>
      </c>
    </row>
    <row r="174" spans="1:8" x14ac:dyDescent="0.3">
      <c r="A174" s="14">
        <v>45845</v>
      </c>
      <c r="B174" t="s">
        <v>50</v>
      </c>
      <c r="C174">
        <v>1155</v>
      </c>
      <c r="D174">
        <v>122</v>
      </c>
      <c r="E174">
        <v>387352</v>
      </c>
      <c r="F174">
        <v>9.93</v>
      </c>
      <c r="G174">
        <v>12170</v>
      </c>
      <c r="H174">
        <f>Engagement_Summary68[[#This Row],[New_Followers]]-Engagement_Summary68[[#This Row],[Unfollows]]</f>
        <v>1033</v>
      </c>
    </row>
    <row r="175" spans="1:8" x14ac:dyDescent="0.3">
      <c r="A175" s="14">
        <v>45845</v>
      </c>
      <c r="B175" t="s">
        <v>57</v>
      </c>
      <c r="C175">
        <v>1051</v>
      </c>
      <c r="D175">
        <v>246</v>
      </c>
      <c r="E175">
        <v>253985</v>
      </c>
      <c r="F175">
        <v>9.08</v>
      </c>
      <c r="G175">
        <v>7245</v>
      </c>
      <c r="H175">
        <f>Engagement_Summary68[[#This Row],[New_Followers]]-Engagement_Summary68[[#This Row],[Unfollows]]</f>
        <v>805</v>
      </c>
    </row>
    <row r="176" spans="1:8" x14ac:dyDescent="0.3">
      <c r="A176" s="14">
        <v>45852</v>
      </c>
      <c r="B176" t="s">
        <v>42</v>
      </c>
      <c r="C176">
        <v>1457</v>
      </c>
      <c r="D176">
        <v>183</v>
      </c>
      <c r="E176">
        <v>129640</v>
      </c>
      <c r="F176">
        <v>7.98</v>
      </c>
      <c r="G176">
        <v>12985</v>
      </c>
      <c r="H176">
        <f>Engagement_Summary68[[#This Row],[New_Followers]]-Engagement_Summary68[[#This Row],[Unfollows]]</f>
        <v>1274</v>
      </c>
    </row>
    <row r="177" spans="1:8" x14ac:dyDescent="0.3">
      <c r="A177" s="14">
        <v>45852</v>
      </c>
      <c r="B177" t="s">
        <v>50</v>
      </c>
      <c r="C177">
        <v>670</v>
      </c>
      <c r="D177">
        <v>242</v>
      </c>
      <c r="E177">
        <v>281913</v>
      </c>
      <c r="F177">
        <v>9.6199999999999992</v>
      </c>
      <c r="G177">
        <v>16377</v>
      </c>
      <c r="H177">
        <f>Engagement_Summary68[[#This Row],[New_Followers]]-Engagement_Summary68[[#This Row],[Unfollows]]</f>
        <v>428</v>
      </c>
    </row>
    <row r="178" spans="1:8" x14ac:dyDescent="0.3">
      <c r="A178" s="14">
        <v>45852</v>
      </c>
      <c r="B178" t="s">
        <v>57</v>
      </c>
      <c r="C178">
        <v>1111</v>
      </c>
      <c r="D178">
        <v>159</v>
      </c>
      <c r="E178">
        <v>360770</v>
      </c>
      <c r="F178">
        <v>8.7100000000000009</v>
      </c>
      <c r="G178">
        <v>11453</v>
      </c>
      <c r="H178">
        <f>Engagement_Summary68[[#This Row],[New_Followers]]-Engagement_Summary68[[#This Row],[Unfollows]]</f>
        <v>952</v>
      </c>
    </row>
    <row r="179" spans="1:8" x14ac:dyDescent="0.3">
      <c r="A179" s="14">
        <v>45859</v>
      </c>
      <c r="B179" t="s">
        <v>42</v>
      </c>
      <c r="C179">
        <v>1197</v>
      </c>
      <c r="D179">
        <v>246</v>
      </c>
      <c r="E179">
        <v>127273</v>
      </c>
      <c r="F179">
        <v>6.69</v>
      </c>
      <c r="G179">
        <v>12323</v>
      </c>
      <c r="H179">
        <f>Engagement_Summary68[[#This Row],[New_Followers]]-Engagement_Summary68[[#This Row],[Unfollows]]</f>
        <v>951</v>
      </c>
    </row>
    <row r="180" spans="1:8" x14ac:dyDescent="0.3">
      <c r="A180" s="14">
        <v>45859</v>
      </c>
      <c r="B180" t="s">
        <v>50</v>
      </c>
      <c r="C180">
        <v>754</v>
      </c>
      <c r="D180">
        <v>150</v>
      </c>
      <c r="E180">
        <v>189622</v>
      </c>
      <c r="F180">
        <v>4.25</v>
      </c>
      <c r="G180">
        <v>11911</v>
      </c>
      <c r="H180">
        <f>Engagement_Summary68[[#This Row],[New_Followers]]-Engagement_Summary68[[#This Row],[Unfollows]]</f>
        <v>604</v>
      </c>
    </row>
    <row r="181" spans="1:8" x14ac:dyDescent="0.3">
      <c r="A181" s="14">
        <v>45859</v>
      </c>
      <c r="B181" t="s">
        <v>57</v>
      </c>
      <c r="C181">
        <v>1246</v>
      </c>
      <c r="D181">
        <v>107</v>
      </c>
      <c r="E181">
        <v>350949</v>
      </c>
      <c r="F181">
        <v>4.9800000000000004</v>
      </c>
      <c r="G181">
        <v>27809</v>
      </c>
      <c r="H181">
        <f>Engagement_Summary68[[#This Row],[New_Followers]]-Engagement_Summary68[[#This Row],[Unfollows]]</f>
        <v>1139</v>
      </c>
    </row>
    <row r="182" spans="1:8" x14ac:dyDescent="0.3">
      <c r="A182" s="14">
        <v>45866</v>
      </c>
      <c r="B182" t="s">
        <v>42</v>
      </c>
      <c r="C182">
        <v>780</v>
      </c>
      <c r="D182">
        <v>213</v>
      </c>
      <c r="E182">
        <v>121431</v>
      </c>
      <c r="F182">
        <v>4.97</v>
      </c>
      <c r="G182">
        <v>21464</v>
      </c>
      <c r="H182">
        <f>Engagement_Summary68[[#This Row],[New_Followers]]-Engagement_Summary68[[#This Row],[Unfollows]]</f>
        <v>567</v>
      </c>
    </row>
    <row r="183" spans="1:8" x14ac:dyDescent="0.3">
      <c r="A183" s="14">
        <v>45866</v>
      </c>
      <c r="B183" t="s">
        <v>50</v>
      </c>
      <c r="C183">
        <v>1425</v>
      </c>
      <c r="D183">
        <v>143</v>
      </c>
      <c r="E183">
        <v>116742</v>
      </c>
      <c r="F183">
        <v>3.71</v>
      </c>
      <c r="G183">
        <v>27126</v>
      </c>
      <c r="H183">
        <f>Engagement_Summary68[[#This Row],[New_Followers]]-Engagement_Summary68[[#This Row],[Unfollows]]</f>
        <v>1282</v>
      </c>
    </row>
    <row r="184" spans="1:8" x14ac:dyDescent="0.3">
      <c r="A184" s="14">
        <v>45866</v>
      </c>
      <c r="B184" t="s">
        <v>57</v>
      </c>
      <c r="C184">
        <v>1490</v>
      </c>
      <c r="D184">
        <v>103</v>
      </c>
      <c r="E184">
        <v>81184</v>
      </c>
      <c r="F184">
        <v>7.79</v>
      </c>
      <c r="G184">
        <v>10681</v>
      </c>
      <c r="H184">
        <f>Engagement_Summary68[[#This Row],[New_Followers]]-Engagement_Summary68[[#This Row],[Unfollows]]</f>
        <v>1387</v>
      </c>
    </row>
    <row r="185" spans="1:8" x14ac:dyDescent="0.3">
      <c r="A185" s="14">
        <v>45873</v>
      </c>
      <c r="B185" t="s">
        <v>42</v>
      </c>
      <c r="C185">
        <v>949</v>
      </c>
      <c r="D185">
        <v>282</v>
      </c>
      <c r="E185">
        <v>87126</v>
      </c>
      <c r="F185">
        <v>4.96</v>
      </c>
      <c r="G185">
        <v>5413</v>
      </c>
      <c r="H185">
        <f>Engagement_Summary68[[#This Row],[New_Followers]]-Engagement_Summary68[[#This Row],[Unfollows]]</f>
        <v>667</v>
      </c>
    </row>
    <row r="186" spans="1:8" x14ac:dyDescent="0.3">
      <c r="A186" s="14">
        <v>45873</v>
      </c>
      <c r="B186" t="s">
        <v>50</v>
      </c>
      <c r="C186">
        <v>640</v>
      </c>
      <c r="D186">
        <v>141</v>
      </c>
      <c r="E186">
        <v>267546</v>
      </c>
      <c r="F186">
        <v>8.58</v>
      </c>
      <c r="G186">
        <v>25058</v>
      </c>
      <c r="H186">
        <f>Engagement_Summary68[[#This Row],[New_Followers]]-Engagement_Summary68[[#This Row],[Unfollows]]</f>
        <v>499</v>
      </c>
    </row>
    <row r="187" spans="1:8" x14ac:dyDescent="0.3">
      <c r="A187" s="14">
        <v>45873</v>
      </c>
      <c r="B187" t="s">
        <v>57</v>
      </c>
      <c r="C187">
        <v>616</v>
      </c>
      <c r="D187">
        <v>93</v>
      </c>
      <c r="E187">
        <v>133082</v>
      </c>
      <c r="F187">
        <v>8.51</v>
      </c>
      <c r="G187">
        <v>18303</v>
      </c>
      <c r="H187">
        <f>Engagement_Summary68[[#This Row],[New_Followers]]-Engagement_Summary68[[#This Row],[Unfollows]]</f>
        <v>523</v>
      </c>
    </row>
    <row r="188" spans="1:8" x14ac:dyDescent="0.3">
      <c r="A188" s="14">
        <v>45880</v>
      </c>
      <c r="B188" t="s">
        <v>42</v>
      </c>
      <c r="C188">
        <v>1080</v>
      </c>
      <c r="D188">
        <v>184</v>
      </c>
      <c r="E188">
        <v>340557</v>
      </c>
      <c r="F188">
        <v>5.41</v>
      </c>
      <c r="G188">
        <v>5526</v>
      </c>
      <c r="H188">
        <f>Engagement_Summary68[[#This Row],[New_Followers]]-Engagement_Summary68[[#This Row],[Unfollows]]</f>
        <v>896</v>
      </c>
    </row>
    <row r="189" spans="1:8" x14ac:dyDescent="0.3">
      <c r="A189" s="14">
        <v>45880</v>
      </c>
      <c r="B189" t="s">
        <v>50</v>
      </c>
      <c r="C189">
        <v>938</v>
      </c>
      <c r="D189">
        <v>236</v>
      </c>
      <c r="E189">
        <v>116472</v>
      </c>
      <c r="F189">
        <v>8.7200000000000006</v>
      </c>
      <c r="G189">
        <v>17460</v>
      </c>
      <c r="H189">
        <f>Engagement_Summary68[[#This Row],[New_Followers]]-Engagement_Summary68[[#This Row],[Unfollows]]</f>
        <v>702</v>
      </c>
    </row>
    <row r="190" spans="1:8" x14ac:dyDescent="0.3">
      <c r="A190" s="14">
        <v>45880</v>
      </c>
      <c r="B190" t="s">
        <v>57</v>
      </c>
      <c r="C190">
        <v>1007</v>
      </c>
      <c r="D190">
        <v>258</v>
      </c>
      <c r="E190">
        <v>113412</v>
      </c>
      <c r="F190">
        <v>7.71</v>
      </c>
      <c r="G190">
        <v>14475</v>
      </c>
      <c r="H190">
        <f>Engagement_Summary68[[#This Row],[New_Followers]]-Engagement_Summary68[[#This Row],[Unfollows]]</f>
        <v>749</v>
      </c>
    </row>
    <row r="191" spans="1:8" x14ac:dyDescent="0.3">
      <c r="A191" s="14">
        <v>45887</v>
      </c>
      <c r="B191" t="s">
        <v>42</v>
      </c>
      <c r="C191">
        <v>541</v>
      </c>
      <c r="D191">
        <v>208</v>
      </c>
      <c r="E191">
        <v>157547</v>
      </c>
      <c r="F191">
        <v>8.35</v>
      </c>
      <c r="G191">
        <v>20162</v>
      </c>
      <c r="H191">
        <f>Engagement_Summary68[[#This Row],[New_Followers]]-Engagement_Summary68[[#This Row],[Unfollows]]</f>
        <v>333</v>
      </c>
    </row>
    <row r="192" spans="1:8" x14ac:dyDescent="0.3">
      <c r="A192" s="14">
        <v>45887</v>
      </c>
      <c r="B192" t="s">
        <v>50</v>
      </c>
      <c r="C192">
        <v>745</v>
      </c>
      <c r="D192">
        <v>98</v>
      </c>
      <c r="E192">
        <v>354816</v>
      </c>
      <c r="F192">
        <v>4.03</v>
      </c>
      <c r="G192">
        <v>17103</v>
      </c>
      <c r="H192">
        <f>Engagement_Summary68[[#This Row],[New_Followers]]-Engagement_Summary68[[#This Row],[Unfollows]]</f>
        <v>647</v>
      </c>
    </row>
    <row r="193" spans="1:8" x14ac:dyDescent="0.3">
      <c r="A193" s="14">
        <v>45887</v>
      </c>
      <c r="B193" t="s">
        <v>57</v>
      </c>
      <c r="C193">
        <v>936</v>
      </c>
      <c r="D193">
        <v>97</v>
      </c>
      <c r="E193">
        <v>151799</v>
      </c>
      <c r="F193">
        <v>9.3699999999999992</v>
      </c>
      <c r="G193">
        <v>15461</v>
      </c>
      <c r="H193">
        <f>Engagement_Summary68[[#This Row],[New_Followers]]-Engagement_Summary68[[#This Row],[Unfollows]]</f>
        <v>839</v>
      </c>
    </row>
    <row r="194" spans="1:8" x14ac:dyDescent="0.3">
      <c r="A194" s="14">
        <v>45894</v>
      </c>
      <c r="B194" t="s">
        <v>42</v>
      </c>
      <c r="C194">
        <v>1183</v>
      </c>
      <c r="D194">
        <v>223</v>
      </c>
      <c r="E194">
        <v>143811</v>
      </c>
      <c r="F194">
        <v>6.07</v>
      </c>
      <c r="G194">
        <v>22103</v>
      </c>
      <c r="H194">
        <f>Engagement_Summary68[[#This Row],[New_Followers]]-Engagement_Summary68[[#This Row],[Unfollows]]</f>
        <v>960</v>
      </c>
    </row>
    <row r="195" spans="1:8" x14ac:dyDescent="0.3">
      <c r="A195" s="14">
        <v>45894</v>
      </c>
      <c r="B195" t="s">
        <v>50</v>
      </c>
      <c r="C195">
        <v>1413</v>
      </c>
      <c r="D195">
        <v>245</v>
      </c>
      <c r="E195">
        <v>296450</v>
      </c>
      <c r="F195">
        <v>6.52</v>
      </c>
      <c r="G195">
        <v>11625</v>
      </c>
      <c r="H195">
        <f>Engagement_Summary68[[#This Row],[New_Followers]]-Engagement_Summary68[[#This Row],[Unfollows]]</f>
        <v>1168</v>
      </c>
    </row>
    <row r="196" spans="1:8" x14ac:dyDescent="0.3">
      <c r="A196" s="14">
        <v>45894</v>
      </c>
      <c r="B196" t="s">
        <v>57</v>
      </c>
      <c r="C196">
        <v>791</v>
      </c>
      <c r="D196">
        <v>273</v>
      </c>
      <c r="E196">
        <v>144049</v>
      </c>
      <c r="F196">
        <v>3.08</v>
      </c>
      <c r="G196">
        <v>5281</v>
      </c>
      <c r="H196">
        <f>Engagement_Summary68[[#This Row],[New_Followers]]-Engagement_Summary68[[#This Row],[Unfollows]]</f>
        <v>518</v>
      </c>
    </row>
    <row r="197" spans="1:8" x14ac:dyDescent="0.3">
      <c r="A197" s="14">
        <v>45901</v>
      </c>
      <c r="B197" t="s">
        <v>42</v>
      </c>
      <c r="C197">
        <v>1052</v>
      </c>
      <c r="D197">
        <v>180</v>
      </c>
      <c r="E197">
        <v>272534</v>
      </c>
      <c r="F197">
        <v>5.34</v>
      </c>
      <c r="G197">
        <v>13424</v>
      </c>
      <c r="H197">
        <f>Engagement_Summary68[[#This Row],[New_Followers]]-Engagement_Summary68[[#This Row],[Unfollows]]</f>
        <v>872</v>
      </c>
    </row>
    <row r="198" spans="1:8" x14ac:dyDescent="0.3">
      <c r="A198" s="14">
        <v>45901</v>
      </c>
      <c r="B198" t="s">
        <v>50</v>
      </c>
      <c r="C198">
        <v>572</v>
      </c>
      <c r="D198">
        <v>270</v>
      </c>
      <c r="E198">
        <v>82265</v>
      </c>
      <c r="F198">
        <v>3.65</v>
      </c>
      <c r="G198">
        <v>13140</v>
      </c>
      <c r="H198">
        <f>Engagement_Summary68[[#This Row],[New_Followers]]-Engagement_Summary68[[#This Row],[Unfollows]]</f>
        <v>302</v>
      </c>
    </row>
    <row r="199" spans="1:8" x14ac:dyDescent="0.3">
      <c r="A199" s="14">
        <v>45901</v>
      </c>
      <c r="B199" t="s">
        <v>57</v>
      </c>
      <c r="C199">
        <v>503</v>
      </c>
      <c r="D199">
        <v>253</v>
      </c>
      <c r="E199">
        <v>313562</v>
      </c>
      <c r="F199">
        <v>4.18</v>
      </c>
      <c r="G199">
        <v>19538</v>
      </c>
      <c r="H199">
        <f>Engagement_Summary68[[#This Row],[New_Followers]]-Engagement_Summary68[[#This Row],[Unfollows]]</f>
        <v>250</v>
      </c>
    </row>
    <row r="200" spans="1:8" x14ac:dyDescent="0.3">
      <c r="A200" s="14">
        <v>45908</v>
      </c>
      <c r="B200" t="s">
        <v>42</v>
      </c>
      <c r="C200">
        <v>1017</v>
      </c>
      <c r="D200">
        <v>197</v>
      </c>
      <c r="E200">
        <v>89918</v>
      </c>
      <c r="F200">
        <v>3.91</v>
      </c>
      <c r="G200">
        <v>7881</v>
      </c>
      <c r="H200">
        <f>Engagement_Summary68[[#This Row],[New_Followers]]-Engagement_Summary68[[#This Row],[Unfollows]]</f>
        <v>820</v>
      </c>
    </row>
    <row r="201" spans="1:8" x14ac:dyDescent="0.3">
      <c r="A201" s="14">
        <v>45908</v>
      </c>
      <c r="B201" t="s">
        <v>50</v>
      </c>
      <c r="C201">
        <v>860</v>
      </c>
      <c r="D201">
        <v>244</v>
      </c>
      <c r="E201">
        <v>348686</v>
      </c>
      <c r="F201">
        <v>5.12</v>
      </c>
      <c r="G201">
        <v>11418</v>
      </c>
      <c r="H201">
        <f>Engagement_Summary68[[#This Row],[New_Followers]]-Engagement_Summary68[[#This Row],[Unfollows]]</f>
        <v>616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1536A49-F171-489B-B6FD-3E399F587A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Task 5</vt:lpstr>
      <vt:lpstr>Post (5.1)</vt:lpstr>
      <vt:lpstr>Campaign Metadata</vt:lpstr>
      <vt:lpstr>Engagement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Vishnupriya S</dc:creator>
  <cp:lastModifiedBy>Vishnupriya S</cp:lastModifiedBy>
  <dcterms:created xsi:type="dcterms:W3CDTF">2026-03-01T16:37:01Z</dcterms:created>
  <dcterms:modified xsi:type="dcterms:W3CDTF">2026-03-09T18:48:11Z</dcterms:modified>
</cp:coreProperties>
</file>