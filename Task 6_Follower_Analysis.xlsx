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shn\Desktop\Spotify-Excel\"/>
    </mc:Choice>
  </mc:AlternateContent>
  <xr:revisionPtr revIDLastSave="0" documentId="13_ncr:1_{947DB4C8-FAE5-4E71-9CBD-36DE83DC9DC0}" xr6:coauthVersionLast="47" xr6:coauthVersionMax="47" xr10:uidLastSave="{00000000-0000-0000-0000-000000000000}"/>
  <bookViews>
    <workbookView xWindow="-108" yWindow="-108" windowWidth="23256" windowHeight="12456" xr2:uid="{18A4C6F6-CE9F-4F7F-90BA-BC3974E61DEA}"/>
  </bookViews>
  <sheets>
    <sheet name="Task 6" sheetId="2" r:id="rId1"/>
    <sheet name="Engagement Summary" sheetId="3" r:id="rId2"/>
  </sheets>
  <externalReferences>
    <externalReference r:id="rId3"/>
  </externalReferences>
  <definedNames>
    <definedName name="ExternalData_1" localSheetId="1" hidden="1">'Engagement Summary'!$A$1:$G$201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2" l="1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2504A2-87A7-4C67-B6FC-F0D1876A96AD}" keepAlive="1" name="Query - Engagement Summary (8)" description="Connection to the 'Engagement Summary (8)' query in the workbook." type="5" refreshedVersion="8" background="1" saveData="1">
    <dbPr connection="Provider=Microsoft.Mashup.OleDb.1;Data Source=$Workbook$;Location=&quot;Engagement Summary (8)&quot;;Extended Properties=&quot;&quot;" command="SELECT * FROM [Engagement Summary (8)]"/>
  </connection>
</connections>
</file>

<file path=xl/sharedStrings.xml><?xml version="1.0" encoding="utf-8"?>
<sst xmlns="http://schemas.openxmlformats.org/spreadsheetml/2006/main" count="217" uniqueCount="19">
  <si>
    <t>6.1) Weeks and net follower gain</t>
  </si>
  <si>
    <t>6.2) Moving Average chart to analyse follower trends</t>
  </si>
  <si>
    <t>6.3) Correlation between Ad Spend vs Follower Growth</t>
  </si>
  <si>
    <t>Sum of Net follower growth</t>
  </si>
  <si>
    <t xml:space="preserve"> Net follower growth</t>
  </si>
  <si>
    <t>Grand Total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</si>
  <si>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</si>
  <si>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</si>
  <si>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</si>
  <si>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</si>
  <si>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</si>
  <si>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</si>
  <si>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</si>
  <si>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Net follower growth</t>
  </si>
  <si>
    <t>Instagram</t>
  </si>
  <si>
    <t>Twitter</t>
  </si>
  <si>
    <t>YouTube</t>
  </si>
  <si>
    <t>Week Start Date</t>
  </si>
  <si>
    <t>TASK 6: FOLLOWER RETENTION &amp; LOYALTY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</si>
</sst>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8"/>
      <color theme="1"/>
      <name val="Lucida Handwriting"/>
      <family val="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1" fillId="0" borderId="0" xfId="0" applyFon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14" fontId="0" fillId="3" borderId="1" xfId="0" applyNumberFormat="1" applyFill="1" applyBorder="1" applyAlignment="1">
      <alignment horizontal="left"/>
    </xf>
    <xf numFmtId="0" fontId="3" fillId="0" borderId="0" xfId="0" applyFont="1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25"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colors>
    <mruColors>
      <color rgb="FF403151"/>
      <color rgb="FFB1A0C7"/>
      <color rgb="FFC4D79B"/>
      <color rgb="FFEBF1DD"/>
      <color rgb="FF64330F"/>
      <color rgb="FF4D5D31"/>
      <color rgb="FFFFEADB"/>
      <color rgb="FFEEE6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 6!PivotTable6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403151"/>
                </a:solidFill>
              </a:rPr>
              <a:t>Moving</a:t>
            </a:r>
            <a:r>
              <a:rPr lang="en-US" sz="1600" b="1" baseline="0">
                <a:solidFill>
                  <a:srgbClr val="403151"/>
                </a:solidFill>
              </a:rPr>
              <a:t> Average Chart</a:t>
            </a:r>
            <a:endParaRPr lang="en-US" sz="1600" b="1">
              <a:solidFill>
                <a:srgbClr val="403151"/>
              </a:solidFill>
            </a:endParaRPr>
          </a:p>
        </c:rich>
      </c:tx>
      <c:layout>
        <c:manualLayout>
          <c:xMode val="edge"/>
          <c:yMode val="edge"/>
          <c:x val="0.35112483712695058"/>
          <c:y val="4.3486395883682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386519094257418E-2"/>
          <c:y val="0.2616437796760554"/>
          <c:w val="0.88742711381475914"/>
          <c:h val="0.38954511874134556"/>
        </c:manualLayout>
      </c:layout>
      <c:lineChart>
        <c:grouping val="standard"/>
        <c:varyColors val="0"/>
        <c:ser>
          <c:idx val="0"/>
          <c:order val="0"/>
          <c:tx>
            <c:strRef>
              <c:f>'Task 6'!$G$4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'Task 6'!$F$5:$F$71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'Task 6'!$G$5:$G$71</c:f>
              <c:numCache>
                <c:formatCode>General</c:formatCode>
                <c:ptCount val="67"/>
                <c:pt idx="0">
                  <c:v>3419</c:v>
                </c:pt>
                <c:pt idx="1">
                  <c:v>2777</c:v>
                </c:pt>
                <c:pt idx="2">
                  <c:v>3175</c:v>
                </c:pt>
                <c:pt idx="3">
                  <c:v>2433</c:v>
                </c:pt>
                <c:pt idx="4">
                  <c:v>2426</c:v>
                </c:pt>
                <c:pt idx="5">
                  <c:v>3155</c:v>
                </c:pt>
                <c:pt idx="6">
                  <c:v>2369</c:v>
                </c:pt>
                <c:pt idx="7">
                  <c:v>2281</c:v>
                </c:pt>
                <c:pt idx="8">
                  <c:v>2132</c:v>
                </c:pt>
                <c:pt idx="9">
                  <c:v>2693</c:v>
                </c:pt>
                <c:pt idx="10">
                  <c:v>3072</c:v>
                </c:pt>
                <c:pt idx="11">
                  <c:v>2300</c:v>
                </c:pt>
                <c:pt idx="12">
                  <c:v>2450</c:v>
                </c:pt>
                <c:pt idx="13">
                  <c:v>2502</c:v>
                </c:pt>
                <c:pt idx="14">
                  <c:v>2630</c:v>
                </c:pt>
                <c:pt idx="15">
                  <c:v>2162</c:v>
                </c:pt>
                <c:pt idx="16">
                  <c:v>2785</c:v>
                </c:pt>
                <c:pt idx="17">
                  <c:v>3151</c:v>
                </c:pt>
                <c:pt idx="18">
                  <c:v>2338</c:v>
                </c:pt>
                <c:pt idx="19">
                  <c:v>2670</c:v>
                </c:pt>
                <c:pt idx="20">
                  <c:v>2792</c:v>
                </c:pt>
                <c:pt idx="21">
                  <c:v>2181</c:v>
                </c:pt>
                <c:pt idx="22">
                  <c:v>3576</c:v>
                </c:pt>
                <c:pt idx="23">
                  <c:v>2794</c:v>
                </c:pt>
                <c:pt idx="24">
                  <c:v>1935</c:v>
                </c:pt>
                <c:pt idx="25">
                  <c:v>2287</c:v>
                </c:pt>
                <c:pt idx="26">
                  <c:v>2383</c:v>
                </c:pt>
                <c:pt idx="27">
                  <c:v>1398</c:v>
                </c:pt>
                <c:pt idx="28">
                  <c:v>2693</c:v>
                </c:pt>
                <c:pt idx="29">
                  <c:v>2550</c:v>
                </c:pt>
                <c:pt idx="30">
                  <c:v>2337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B-4BF6-B6CC-2CC405646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139024"/>
        <c:axId val="1014140464"/>
      </c:lineChart>
      <c:catAx>
        <c:axId val="101413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Week_Start_Date</a:t>
                </a:r>
              </a:p>
            </c:rich>
          </c:tx>
          <c:layout>
            <c:manualLayout>
              <c:xMode val="edge"/>
              <c:yMode val="edge"/>
              <c:x val="0.40140449178905391"/>
              <c:y val="0.90202957303604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140464"/>
        <c:crosses val="autoZero"/>
        <c:auto val="1"/>
        <c:lblAlgn val="ctr"/>
        <c:lblOffset val="100"/>
        <c:noMultiLvlLbl val="0"/>
      </c:catAx>
      <c:valAx>
        <c:axId val="101414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Net_Follower_Growth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13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578400819950278"/>
          <c:y val="0.17383087015113208"/>
          <c:w val="0.40204658619519523"/>
          <c:h val="7.8383395144913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BF1DD"/>
    </a:solidFill>
    <a:ln w="9525" cap="flat" cmpd="sng" algn="ctr">
      <a:solidFill>
        <a:schemeClr val="tx1"/>
      </a:solidFill>
      <a:round/>
    </a:ln>
    <a:effectLst>
      <a:glow rad="88900">
        <a:srgbClr val="C4D79B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Ad</a:t>
            </a:r>
            <a:r>
              <a:rPr lang="en-IN" sz="1600" b="1" baseline="0">
                <a:solidFill>
                  <a:srgbClr val="002060"/>
                </a:solidFill>
              </a:rPr>
              <a:t> Spend vs Follower Growth</a:t>
            </a:r>
            <a:endParaRPr lang="en-IN" sz="16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5660484299927627"/>
          <c:y val="3.7860892388451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090155782283223"/>
                  <c:y val="4.4417912997561697E-2"/>
                </c:manualLayout>
              </c:layout>
              <c:tx>
                <c:rich>
                  <a:bodyPr rot="5400000" spcFirstLastPara="1" vertOverflow="ellipsis" wrap="square" anchor="t" anchorCtr="0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chemeClr val="tx1"/>
                        </a:solidFill>
                      </a:rPr>
                      <a:t>y = -0.0008x + 820.82</a:t>
                    </a:r>
                    <a:br>
                      <a:rPr lang="en-US" baseline="0">
                        <a:solidFill>
                          <a:schemeClr val="tx1"/>
                        </a:solidFill>
                      </a:rPr>
                    </a:br>
                    <a:r>
                      <a:rPr lang="en-US" b="1" baseline="0">
                        <a:solidFill>
                          <a:schemeClr val="tx1"/>
                        </a:solidFill>
                      </a:rPr>
                      <a:t>R² = 0.0003</a:t>
                    </a:r>
                    <a:endParaRPr lang="en-US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>
                  <a:glow>
                    <a:schemeClr val="accent1">
                      <a:alpha val="40000"/>
                    </a:schemeClr>
                  </a:glow>
                </a:effectLst>
              </c:spPr>
              <c:txPr>
                <a:bodyPr rot="5400000" spcFirstLastPara="1" vertOverflow="ellipsis" wrap="square" anchor="t" anchorCtr="0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'[1]Moving Average'!$G$2:$G$201</c:f>
              <c:numCache>
                <c:formatCode>General</c:formatCode>
                <c:ptCount val="200"/>
                <c:pt idx="0">
                  <c:v>23125</c:v>
                </c:pt>
                <c:pt idx="1">
                  <c:v>22788</c:v>
                </c:pt>
                <c:pt idx="2">
                  <c:v>7810</c:v>
                </c:pt>
                <c:pt idx="3">
                  <c:v>11966</c:v>
                </c:pt>
                <c:pt idx="4">
                  <c:v>26298</c:v>
                </c:pt>
                <c:pt idx="5">
                  <c:v>22029</c:v>
                </c:pt>
                <c:pt idx="6">
                  <c:v>12391</c:v>
                </c:pt>
                <c:pt idx="7">
                  <c:v>14477</c:v>
                </c:pt>
                <c:pt idx="8">
                  <c:v>25040</c:v>
                </c:pt>
                <c:pt idx="9">
                  <c:v>22619</c:v>
                </c:pt>
                <c:pt idx="10">
                  <c:v>12399</c:v>
                </c:pt>
                <c:pt idx="11">
                  <c:v>22456</c:v>
                </c:pt>
                <c:pt idx="12">
                  <c:v>19328</c:v>
                </c:pt>
                <c:pt idx="13">
                  <c:v>21107</c:v>
                </c:pt>
                <c:pt idx="14">
                  <c:v>12277</c:v>
                </c:pt>
                <c:pt idx="15">
                  <c:v>11684</c:v>
                </c:pt>
                <c:pt idx="16">
                  <c:v>14412</c:v>
                </c:pt>
                <c:pt idx="17">
                  <c:v>15924</c:v>
                </c:pt>
                <c:pt idx="18">
                  <c:v>12390</c:v>
                </c:pt>
                <c:pt idx="19">
                  <c:v>25742</c:v>
                </c:pt>
                <c:pt idx="20">
                  <c:v>10495</c:v>
                </c:pt>
                <c:pt idx="21">
                  <c:v>7797</c:v>
                </c:pt>
                <c:pt idx="22">
                  <c:v>15595</c:v>
                </c:pt>
                <c:pt idx="23">
                  <c:v>24617</c:v>
                </c:pt>
                <c:pt idx="24">
                  <c:v>9847</c:v>
                </c:pt>
                <c:pt idx="25">
                  <c:v>13644</c:v>
                </c:pt>
                <c:pt idx="26">
                  <c:v>11421</c:v>
                </c:pt>
                <c:pt idx="27">
                  <c:v>15613</c:v>
                </c:pt>
                <c:pt idx="28">
                  <c:v>23900</c:v>
                </c:pt>
                <c:pt idx="29">
                  <c:v>5836</c:v>
                </c:pt>
                <c:pt idx="30">
                  <c:v>5624</c:v>
                </c:pt>
                <c:pt idx="31">
                  <c:v>10311</c:v>
                </c:pt>
                <c:pt idx="32">
                  <c:v>8274</c:v>
                </c:pt>
                <c:pt idx="33">
                  <c:v>6031</c:v>
                </c:pt>
                <c:pt idx="34">
                  <c:v>27829</c:v>
                </c:pt>
                <c:pt idx="35">
                  <c:v>18267</c:v>
                </c:pt>
                <c:pt idx="36">
                  <c:v>26624</c:v>
                </c:pt>
                <c:pt idx="37">
                  <c:v>26644</c:v>
                </c:pt>
                <c:pt idx="38">
                  <c:v>13051</c:v>
                </c:pt>
                <c:pt idx="39">
                  <c:v>14217</c:v>
                </c:pt>
                <c:pt idx="40">
                  <c:v>16385</c:v>
                </c:pt>
                <c:pt idx="41">
                  <c:v>24548</c:v>
                </c:pt>
                <c:pt idx="42">
                  <c:v>9195</c:v>
                </c:pt>
                <c:pt idx="43">
                  <c:v>18071</c:v>
                </c:pt>
                <c:pt idx="44">
                  <c:v>16875</c:v>
                </c:pt>
                <c:pt idx="45">
                  <c:v>9567</c:v>
                </c:pt>
                <c:pt idx="46">
                  <c:v>20306</c:v>
                </c:pt>
                <c:pt idx="47">
                  <c:v>21134</c:v>
                </c:pt>
                <c:pt idx="48">
                  <c:v>26872</c:v>
                </c:pt>
                <c:pt idx="49">
                  <c:v>10253</c:v>
                </c:pt>
                <c:pt idx="50">
                  <c:v>23963</c:v>
                </c:pt>
                <c:pt idx="51">
                  <c:v>11335</c:v>
                </c:pt>
                <c:pt idx="52">
                  <c:v>12115</c:v>
                </c:pt>
                <c:pt idx="53">
                  <c:v>24358</c:v>
                </c:pt>
                <c:pt idx="54">
                  <c:v>12181</c:v>
                </c:pt>
                <c:pt idx="55">
                  <c:v>17729</c:v>
                </c:pt>
                <c:pt idx="56">
                  <c:v>10881</c:v>
                </c:pt>
                <c:pt idx="57">
                  <c:v>18576</c:v>
                </c:pt>
                <c:pt idx="58">
                  <c:v>9383</c:v>
                </c:pt>
                <c:pt idx="59">
                  <c:v>14178</c:v>
                </c:pt>
                <c:pt idx="60">
                  <c:v>21254</c:v>
                </c:pt>
                <c:pt idx="61">
                  <c:v>14215</c:v>
                </c:pt>
                <c:pt idx="62">
                  <c:v>16921</c:v>
                </c:pt>
                <c:pt idx="63">
                  <c:v>25130</c:v>
                </c:pt>
                <c:pt idx="64">
                  <c:v>25537</c:v>
                </c:pt>
                <c:pt idx="65">
                  <c:v>24943</c:v>
                </c:pt>
                <c:pt idx="66">
                  <c:v>14563</c:v>
                </c:pt>
                <c:pt idx="67">
                  <c:v>26273</c:v>
                </c:pt>
                <c:pt idx="68">
                  <c:v>10858</c:v>
                </c:pt>
                <c:pt idx="69">
                  <c:v>25038</c:v>
                </c:pt>
                <c:pt idx="70">
                  <c:v>9092</c:v>
                </c:pt>
                <c:pt idx="71">
                  <c:v>17662</c:v>
                </c:pt>
                <c:pt idx="72">
                  <c:v>5924</c:v>
                </c:pt>
                <c:pt idx="73">
                  <c:v>25347</c:v>
                </c:pt>
                <c:pt idx="74">
                  <c:v>8910</c:v>
                </c:pt>
                <c:pt idx="75">
                  <c:v>20438</c:v>
                </c:pt>
                <c:pt idx="76">
                  <c:v>8760</c:v>
                </c:pt>
                <c:pt idx="77">
                  <c:v>6625</c:v>
                </c:pt>
                <c:pt idx="78">
                  <c:v>23329</c:v>
                </c:pt>
                <c:pt idx="79">
                  <c:v>7299</c:v>
                </c:pt>
                <c:pt idx="80">
                  <c:v>14496</c:v>
                </c:pt>
                <c:pt idx="81">
                  <c:v>25703</c:v>
                </c:pt>
                <c:pt idx="82">
                  <c:v>15108</c:v>
                </c:pt>
                <c:pt idx="83">
                  <c:v>18867</c:v>
                </c:pt>
                <c:pt idx="84">
                  <c:v>17574</c:v>
                </c:pt>
                <c:pt idx="85">
                  <c:v>12840</c:v>
                </c:pt>
                <c:pt idx="86">
                  <c:v>21079</c:v>
                </c:pt>
                <c:pt idx="87">
                  <c:v>23486</c:v>
                </c:pt>
                <c:pt idx="88">
                  <c:v>5960</c:v>
                </c:pt>
                <c:pt idx="89">
                  <c:v>13301</c:v>
                </c:pt>
                <c:pt idx="90">
                  <c:v>10563</c:v>
                </c:pt>
                <c:pt idx="91">
                  <c:v>19949</c:v>
                </c:pt>
                <c:pt idx="92">
                  <c:v>14273</c:v>
                </c:pt>
                <c:pt idx="93">
                  <c:v>9247</c:v>
                </c:pt>
                <c:pt idx="94">
                  <c:v>11972</c:v>
                </c:pt>
                <c:pt idx="95">
                  <c:v>13314</c:v>
                </c:pt>
                <c:pt idx="96">
                  <c:v>14749</c:v>
                </c:pt>
                <c:pt idx="97">
                  <c:v>6868</c:v>
                </c:pt>
                <c:pt idx="98">
                  <c:v>6027</c:v>
                </c:pt>
                <c:pt idx="99">
                  <c:v>25267</c:v>
                </c:pt>
                <c:pt idx="100">
                  <c:v>5900</c:v>
                </c:pt>
                <c:pt idx="101">
                  <c:v>11181</c:v>
                </c:pt>
                <c:pt idx="102">
                  <c:v>9592</c:v>
                </c:pt>
                <c:pt idx="103">
                  <c:v>5291</c:v>
                </c:pt>
                <c:pt idx="104">
                  <c:v>22244</c:v>
                </c:pt>
                <c:pt idx="105">
                  <c:v>6824</c:v>
                </c:pt>
                <c:pt idx="106">
                  <c:v>24112</c:v>
                </c:pt>
                <c:pt idx="107">
                  <c:v>25478</c:v>
                </c:pt>
                <c:pt idx="108">
                  <c:v>11235</c:v>
                </c:pt>
                <c:pt idx="109">
                  <c:v>6120</c:v>
                </c:pt>
                <c:pt idx="110">
                  <c:v>20572</c:v>
                </c:pt>
                <c:pt idx="111">
                  <c:v>14975</c:v>
                </c:pt>
                <c:pt idx="112">
                  <c:v>22234</c:v>
                </c:pt>
                <c:pt idx="113">
                  <c:v>6532</c:v>
                </c:pt>
                <c:pt idx="114">
                  <c:v>24858</c:v>
                </c:pt>
                <c:pt idx="115">
                  <c:v>13883</c:v>
                </c:pt>
                <c:pt idx="116">
                  <c:v>18654</c:v>
                </c:pt>
                <c:pt idx="117">
                  <c:v>25234</c:v>
                </c:pt>
                <c:pt idx="118">
                  <c:v>6772</c:v>
                </c:pt>
                <c:pt idx="119">
                  <c:v>22428</c:v>
                </c:pt>
                <c:pt idx="120">
                  <c:v>11911</c:v>
                </c:pt>
                <c:pt idx="121">
                  <c:v>21900</c:v>
                </c:pt>
                <c:pt idx="122">
                  <c:v>25542</c:v>
                </c:pt>
                <c:pt idx="123">
                  <c:v>7140</c:v>
                </c:pt>
                <c:pt idx="124">
                  <c:v>20474</c:v>
                </c:pt>
                <c:pt idx="125">
                  <c:v>8698</c:v>
                </c:pt>
                <c:pt idx="126">
                  <c:v>10402</c:v>
                </c:pt>
                <c:pt idx="127">
                  <c:v>26618</c:v>
                </c:pt>
                <c:pt idx="128">
                  <c:v>7975</c:v>
                </c:pt>
                <c:pt idx="129">
                  <c:v>19054</c:v>
                </c:pt>
                <c:pt idx="130">
                  <c:v>13740</c:v>
                </c:pt>
                <c:pt idx="131">
                  <c:v>18442</c:v>
                </c:pt>
                <c:pt idx="132">
                  <c:v>10104</c:v>
                </c:pt>
                <c:pt idx="133">
                  <c:v>21771</c:v>
                </c:pt>
                <c:pt idx="134">
                  <c:v>22191</c:v>
                </c:pt>
                <c:pt idx="135">
                  <c:v>27753</c:v>
                </c:pt>
                <c:pt idx="136">
                  <c:v>23736</c:v>
                </c:pt>
                <c:pt idx="137">
                  <c:v>27393</c:v>
                </c:pt>
                <c:pt idx="138">
                  <c:v>10343</c:v>
                </c:pt>
                <c:pt idx="139">
                  <c:v>25259</c:v>
                </c:pt>
                <c:pt idx="140">
                  <c:v>24827</c:v>
                </c:pt>
                <c:pt idx="141">
                  <c:v>11908</c:v>
                </c:pt>
                <c:pt idx="142">
                  <c:v>11005</c:v>
                </c:pt>
                <c:pt idx="143">
                  <c:v>26333</c:v>
                </c:pt>
                <c:pt idx="144">
                  <c:v>5495</c:v>
                </c:pt>
                <c:pt idx="145">
                  <c:v>15655</c:v>
                </c:pt>
                <c:pt idx="146">
                  <c:v>13763</c:v>
                </c:pt>
                <c:pt idx="147">
                  <c:v>26073</c:v>
                </c:pt>
                <c:pt idx="148">
                  <c:v>12774</c:v>
                </c:pt>
                <c:pt idx="149">
                  <c:v>19000</c:v>
                </c:pt>
                <c:pt idx="150">
                  <c:v>14051</c:v>
                </c:pt>
                <c:pt idx="151">
                  <c:v>27782</c:v>
                </c:pt>
                <c:pt idx="152">
                  <c:v>7859</c:v>
                </c:pt>
                <c:pt idx="153">
                  <c:v>15773</c:v>
                </c:pt>
                <c:pt idx="154">
                  <c:v>20595</c:v>
                </c:pt>
                <c:pt idx="155">
                  <c:v>12031</c:v>
                </c:pt>
                <c:pt idx="156">
                  <c:v>15128</c:v>
                </c:pt>
                <c:pt idx="157">
                  <c:v>11826</c:v>
                </c:pt>
                <c:pt idx="158">
                  <c:v>12562</c:v>
                </c:pt>
                <c:pt idx="159">
                  <c:v>13013</c:v>
                </c:pt>
                <c:pt idx="160">
                  <c:v>12937</c:v>
                </c:pt>
                <c:pt idx="161">
                  <c:v>14534</c:v>
                </c:pt>
                <c:pt idx="162">
                  <c:v>8182</c:v>
                </c:pt>
                <c:pt idx="163">
                  <c:v>10615</c:v>
                </c:pt>
                <c:pt idx="164">
                  <c:v>20109</c:v>
                </c:pt>
                <c:pt idx="165">
                  <c:v>26024</c:v>
                </c:pt>
                <c:pt idx="166">
                  <c:v>26730</c:v>
                </c:pt>
                <c:pt idx="167">
                  <c:v>10563</c:v>
                </c:pt>
                <c:pt idx="168">
                  <c:v>27575</c:v>
                </c:pt>
                <c:pt idx="169">
                  <c:v>14479</c:v>
                </c:pt>
                <c:pt idx="170">
                  <c:v>15915</c:v>
                </c:pt>
                <c:pt idx="171">
                  <c:v>12767</c:v>
                </c:pt>
                <c:pt idx="172">
                  <c:v>12170</c:v>
                </c:pt>
                <c:pt idx="173">
                  <c:v>7245</c:v>
                </c:pt>
                <c:pt idx="174">
                  <c:v>12985</c:v>
                </c:pt>
                <c:pt idx="175">
                  <c:v>16377</c:v>
                </c:pt>
                <c:pt idx="176">
                  <c:v>11453</c:v>
                </c:pt>
                <c:pt idx="177">
                  <c:v>12323</c:v>
                </c:pt>
                <c:pt idx="178">
                  <c:v>11911</c:v>
                </c:pt>
                <c:pt idx="179">
                  <c:v>27809</c:v>
                </c:pt>
                <c:pt idx="180">
                  <c:v>21464</c:v>
                </c:pt>
                <c:pt idx="181">
                  <c:v>27126</c:v>
                </c:pt>
                <c:pt idx="182">
                  <c:v>10681</c:v>
                </c:pt>
                <c:pt idx="183">
                  <c:v>5413</c:v>
                </c:pt>
                <c:pt idx="184">
                  <c:v>25058</c:v>
                </c:pt>
                <c:pt idx="185">
                  <c:v>18303</c:v>
                </c:pt>
                <c:pt idx="186">
                  <c:v>5526</c:v>
                </c:pt>
                <c:pt idx="187">
                  <c:v>17460</c:v>
                </c:pt>
                <c:pt idx="188">
                  <c:v>14475</c:v>
                </c:pt>
                <c:pt idx="189">
                  <c:v>20162</c:v>
                </c:pt>
                <c:pt idx="190">
                  <c:v>17103</c:v>
                </c:pt>
                <c:pt idx="191">
                  <c:v>15461</c:v>
                </c:pt>
                <c:pt idx="192">
                  <c:v>22103</c:v>
                </c:pt>
                <c:pt idx="193">
                  <c:v>11625</c:v>
                </c:pt>
                <c:pt idx="194">
                  <c:v>5281</c:v>
                </c:pt>
                <c:pt idx="195">
                  <c:v>13424</c:v>
                </c:pt>
                <c:pt idx="196">
                  <c:v>13140</c:v>
                </c:pt>
                <c:pt idx="197">
                  <c:v>19538</c:v>
                </c:pt>
                <c:pt idx="198">
                  <c:v>7881</c:v>
                </c:pt>
                <c:pt idx="199">
                  <c:v>11418</c:v>
                </c:pt>
              </c:numCache>
            </c:numRef>
          </c:xVal>
          <c:yVal>
            <c:numRef>
              <c:f>'[1]Moving Average'!$H$2:$H$201</c:f>
              <c:numCache>
                <c:formatCode>General</c:formatCode>
                <c:ptCount val="200"/>
                <c:pt idx="0">
                  <c:v>1334</c:v>
                </c:pt>
                <c:pt idx="1">
                  <c:v>909</c:v>
                </c:pt>
                <c:pt idx="2">
                  <c:v>1176</c:v>
                </c:pt>
                <c:pt idx="3">
                  <c:v>928</c:v>
                </c:pt>
                <c:pt idx="4">
                  <c:v>1397</c:v>
                </c:pt>
                <c:pt idx="5">
                  <c:v>452</c:v>
                </c:pt>
                <c:pt idx="6">
                  <c:v>590</c:v>
                </c:pt>
                <c:pt idx="7">
                  <c:v>1283</c:v>
                </c:pt>
                <c:pt idx="8">
                  <c:v>1302</c:v>
                </c:pt>
                <c:pt idx="9">
                  <c:v>612</c:v>
                </c:pt>
                <c:pt idx="10">
                  <c:v>1121</c:v>
                </c:pt>
                <c:pt idx="11">
                  <c:v>700</c:v>
                </c:pt>
                <c:pt idx="12">
                  <c:v>714</c:v>
                </c:pt>
                <c:pt idx="13">
                  <c:v>595</c:v>
                </c:pt>
                <c:pt idx="14">
                  <c:v>1117</c:v>
                </c:pt>
                <c:pt idx="15">
                  <c:v>667</c:v>
                </c:pt>
                <c:pt idx="16">
                  <c:v>1371</c:v>
                </c:pt>
                <c:pt idx="17">
                  <c:v>1117</c:v>
                </c:pt>
                <c:pt idx="18">
                  <c:v>359</c:v>
                </c:pt>
                <c:pt idx="19">
                  <c:v>1098</c:v>
                </c:pt>
                <c:pt idx="20">
                  <c:v>912</c:v>
                </c:pt>
                <c:pt idx="21">
                  <c:v>792</c:v>
                </c:pt>
                <c:pt idx="22">
                  <c:v>364</c:v>
                </c:pt>
                <c:pt idx="23">
                  <c:v>1125</c:v>
                </c:pt>
                <c:pt idx="24">
                  <c:v>869</c:v>
                </c:pt>
                <c:pt idx="25">
                  <c:v>414</c:v>
                </c:pt>
                <c:pt idx="26">
                  <c:v>849</c:v>
                </c:pt>
                <c:pt idx="27">
                  <c:v>1353</c:v>
                </c:pt>
                <c:pt idx="28">
                  <c:v>582</c:v>
                </c:pt>
                <c:pt idx="29">
                  <c:v>758</c:v>
                </c:pt>
                <c:pt idx="30">
                  <c:v>977</c:v>
                </c:pt>
                <c:pt idx="31">
                  <c:v>1191</c:v>
                </c:pt>
                <c:pt idx="32">
                  <c:v>904</c:v>
                </c:pt>
                <c:pt idx="33">
                  <c:v>909</c:v>
                </c:pt>
                <c:pt idx="34">
                  <c:v>382</c:v>
                </c:pt>
                <c:pt idx="35">
                  <c:v>1009</c:v>
                </c:pt>
                <c:pt idx="36">
                  <c:v>1022</c:v>
                </c:pt>
                <c:pt idx="37">
                  <c:v>262</c:v>
                </c:pt>
                <c:pt idx="38">
                  <c:v>1166</c:v>
                </c:pt>
                <c:pt idx="39">
                  <c:v>515</c:v>
                </c:pt>
                <c:pt idx="40">
                  <c:v>956</c:v>
                </c:pt>
                <c:pt idx="41">
                  <c:v>1031</c:v>
                </c:pt>
                <c:pt idx="42">
                  <c:v>637</c:v>
                </c:pt>
                <c:pt idx="43">
                  <c:v>1268</c:v>
                </c:pt>
                <c:pt idx="44">
                  <c:v>725</c:v>
                </c:pt>
                <c:pt idx="45">
                  <c:v>471</c:v>
                </c:pt>
                <c:pt idx="46">
                  <c:v>1291</c:v>
                </c:pt>
                <c:pt idx="47">
                  <c:v>400</c:v>
                </c:pt>
                <c:pt idx="48">
                  <c:v>1113</c:v>
                </c:pt>
                <c:pt idx="49">
                  <c:v>1198</c:v>
                </c:pt>
                <c:pt idx="50">
                  <c:v>474</c:v>
                </c:pt>
                <c:pt idx="51">
                  <c:v>1132</c:v>
                </c:pt>
                <c:pt idx="52">
                  <c:v>844</c:v>
                </c:pt>
                <c:pt idx="53">
                  <c:v>1175</c:v>
                </c:pt>
                <c:pt idx="54">
                  <c:v>559</c:v>
                </c:pt>
                <c:pt idx="55">
                  <c:v>554</c:v>
                </c:pt>
                <c:pt idx="56">
                  <c:v>1225</c:v>
                </c:pt>
                <c:pt idx="57">
                  <c:v>892</c:v>
                </c:pt>
                <c:pt idx="58">
                  <c:v>536</c:v>
                </c:pt>
                <c:pt idx="59">
                  <c:v>1242</c:v>
                </c:pt>
                <c:pt idx="60">
                  <c:v>948</c:v>
                </c:pt>
                <c:pt idx="61">
                  <c:v>762</c:v>
                </c:pt>
                <c:pt idx="62">
                  <c:v>1082</c:v>
                </c:pt>
                <c:pt idx="63">
                  <c:v>1174</c:v>
                </c:pt>
                <c:pt idx="64">
                  <c:v>464</c:v>
                </c:pt>
                <c:pt idx="65">
                  <c:v>543</c:v>
                </c:pt>
                <c:pt idx="66">
                  <c:v>1202</c:v>
                </c:pt>
                <c:pt idx="67">
                  <c:v>1390</c:v>
                </c:pt>
                <c:pt idx="68">
                  <c:v>984</c:v>
                </c:pt>
                <c:pt idx="69">
                  <c:v>1204</c:v>
                </c:pt>
                <c:pt idx="70">
                  <c:v>532</c:v>
                </c:pt>
                <c:pt idx="71">
                  <c:v>1058</c:v>
                </c:pt>
                <c:pt idx="72">
                  <c:v>676</c:v>
                </c:pt>
                <c:pt idx="73">
                  <c:v>577</c:v>
                </c:pt>
                <c:pt idx="74">
                  <c:v>682</c:v>
                </c:pt>
                <c:pt idx="75">
                  <c:v>450</c:v>
                </c:pt>
                <c:pt idx="76">
                  <c:v>683</c:v>
                </c:pt>
                <c:pt idx="77">
                  <c:v>1154</c:v>
                </c:pt>
                <c:pt idx="78">
                  <c:v>808</c:v>
                </c:pt>
                <c:pt idx="79">
                  <c:v>871</c:v>
                </c:pt>
                <c:pt idx="80">
                  <c:v>704</c:v>
                </c:pt>
                <c:pt idx="81">
                  <c:v>611</c:v>
                </c:pt>
                <c:pt idx="82">
                  <c:v>405</c:v>
                </c:pt>
                <c:pt idx="83">
                  <c:v>382</c:v>
                </c:pt>
                <c:pt idx="84">
                  <c:v>1117</c:v>
                </c:pt>
                <c:pt idx="85">
                  <c:v>477</c:v>
                </c:pt>
                <c:pt idx="86">
                  <c:v>1099</c:v>
                </c:pt>
                <c:pt idx="87">
                  <c:v>567</c:v>
                </c:pt>
                <c:pt idx="88">
                  <c:v>1133</c:v>
                </c:pt>
                <c:pt idx="89">
                  <c:v>850</c:v>
                </c:pt>
                <c:pt idx="90">
                  <c:v>413</c:v>
                </c:pt>
                <c:pt idx="91">
                  <c:v>1387</c:v>
                </c:pt>
                <c:pt idx="92">
                  <c:v>537</c:v>
                </c:pt>
                <c:pt idx="93">
                  <c:v>443</c:v>
                </c:pt>
                <c:pt idx="94">
                  <c:v>1283</c:v>
                </c:pt>
                <c:pt idx="95">
                  <c:v>725</c:v>
                </c:pt>
                <c:pt idx="96">
                  <c:v>467</c:v>
                </c:pt>
                <c:pt idx="97">
                  <c:v>1354</c:v>
                </c:pt>
                <c:pt idx="98">
                  <c:v>520</c:v>
                </c:pt>
                <c:pt idx="99">
                  <c:v>442</c:v>
                </c:pt>
                <c:pt idx="100">
                  <c:v>546</c:v>
                </c:pt>
                <c:pt idx="101">
                  <c:v>844</c:v>
                </c:pt>
                <c:pt idx="102">
                  <c:v>341</c:v>
                </c:pt>
                <c:pt idx="103">
                  <c:v>869</c:v>
                </c:pt>
                <c:pt idx="104">
                  <c:v>718</c:v>
                </c:pt>
                <c:pt idx="105">
                  <c:v>735</c:v>
                </c:pt>
                <c:pt idx="106">
                  <c:v>523</c:v>
                </c:pt>
                <c:pt idx="107">
                  <c:v>422</c:v>
                </c:pt>
                <c:pt idx="108">
                  <c:v>915</c:v>
                </c:pt>
                <c:pt idx="109">
                  <c:v>1108</c:v>
                </c:pt>
                <c:pt idx="110">
                  <c:v>338</c:v>
                </c:pt>
                <c:pt idx="111">
                  <c:v>724</c:v>
                </c:pt>
                <c:pt idx="112">
                  <c:v>463</c:v>
                </c:pt>
                <c:pt idx="113">
                  <c:v>356</c:v>
                </c:pt>
                <c:pt idx="114">
                  <c:v>378</c:v>
                </c:pt>
                <c:pt idx="115">
                  <c:v>636</c:v>
                </c:pt>
                <c:pt idx="116">
                  <c:v>699</c:v>
                </c:pt>
                <c:pt idx="117">
                  <c:v>1279</c:v>
                </c:pt>
                <c:pt idx="118">
                  <c:v>1006</c:v>
                </c:pt>
                <c:pt idx="119">
                  <c:v>478</c:v>
                </c:pt>
                <c:pt idx="120">
                  <c:v>545</c:v>
                </c:pt>
                <c:pt idx="121">
                  <c:v>1005</c:v>
                </c:pt>
                <c:pt idx="122">
                  <c:v>765</c:v>
                </c:pt>
                <c:pt idx="123">
                  <c:v>564</c:v>
                </c:pt>
                <c:pt idx="124">
                  <c:v>496</c:v>
                </c:pt>
                <c:pt idx="125">
                  <c:v>1128</c:v>
                </c:pt>
                <c:pt idx="126">
                  <c:v>565</c:v>
                </c:pt>
                <c:pt idx="127">
                  <c:v>813</c:v>
                </c:pt>
                <c:pt idx="128">
                  <c:v>1301</c:v>
                </c:pt>
                <c:pt idx="129">
                  <c:v>436</c:v>
                </c:pt>
                <c:pt idx="130">
                  <c:v>978</c:v>
                </c:pt>
                <c:pt idx="131">
                  <c:v>1367</c:v>
                </c:pt>
                <c:pt idx="132">
                  <c:v>1337</c:v>
                </c:pt>
                <c:pt idx="133">
                  <c:v>1014</c:v>
                </c:pt>
                <c:pt idx="134">
                  <c:v>940</c:v>
                </c:pt>
                <c:pt idx="135">
                  <c:v>690</c:v>
                </c:pt>
                <c:pt idx="136">
                  <c:v>1335</c:v>
                </c:pt>
                <c:pt idx="137">
                  <c:v>1191</c:v>
                </c:pt>
                <c:pt idx="138">
                  <c:v>353</c:v>
                </c:pt>
                <c:pt idx="139">
                  <c:v>486</c:v>
                </c:pt>
                <c:pt idx="140">
                  <c:v>889</c:v>
                </c:pt>
                <c:pt idx="141">
                  <c:v>983</c:v>
                </c:pt>
                <c:pt idx="142">
                  <c:v>581</c:v>
                </c:pt>
                <c:pt idx="143">
                  <c:v>814</c:v>
                </c:pt>
                <c:pt idx="144">
                  <c:v>919</c:v>
                </c:pt>
                <c:pt idx="145">
                  <c:v>676</c:v>
                </c:pt>
                <c:pt idx="146">
                  <c:v>459</c:v>
                </c:pt>
                <c:pt idx="147">
                  <c:v>576</c:v>
                </c:pt>
                <c:pt idx="148">
                  <c:v>447</c:v>
                </c:pt>
                <c:pt idx="149">
                  <c:v>377</c:v>
                </c:pt>
                <c:pt idx="150">
                  <c:v>932</c:v>
                </c:pt>
                <c:pt idx="151">
                  <c:v>1356</c:v>
                </c:pt>
                <c:pt idx="152">
                  <c:v>1281</c:v>
                </c:pt>
                <c:pt idx="153">
                  <c:v>1041</c:v>
                </c:pt>
                <c:pt idx="154">
                  <c:v>1184</c:v>
                </c:pt>
                <c:pt idx="155">
                  <c:v>684</c:v>
                </c:pt>
                <c:pt idx="156">
                  <c:v>354</c:v>
                </c:pt>
                <c:pt idx="157">
                  <c:v>1126</c:v>
                </c:pt>
                <c:pt idx="158">
                  <c:v>569</c:v>
                </c:pt>
                <c:pt idx="159">
                  <c:v>730</c:v>
                </c:pt>
                <c:pt idx="160">
                  <c:v>578</c:v>
                </c:pt>
                <c:pt idx="161">
                  <c:v>935</c:v>
                </c:pt>
                <c:pt idx="162">
                  <c:v>698</c:v>
                </c:pt>
                <c:pt idx="163">
                  <c:v>325</c:v>
                </c:pt>
                <c:pt idx="164">
                  <c:v>994</c:v>
                </c:pt>
                <c:pt idx="165">
                  <c:v>320</c:v>
                </c:pt>
                <c:pt idx="166">
                  <c:v>544</c:v>
                </c:pt>
                <c:pt idx="167">
                  <c:v>520</c:v>
                </c:pt>
                <c:pt idx="168">
                  <c:v>485</c:v>
                </c:pt>
                <c:pt idx="169">
                  <c:v>1234</c:v>
                </c:pt>
                <c:pt idx="170">
                  <c:v>596</c:v>
                </c:pt>
                <c:pt idx="171">
                  <c:v>831</c:v>
                </c:pt>
                <c:pt idx="172">
                  <c:v>1033</c:v>
                </c:pt>
                <c:pt idx="173">
                  <c:v>805</c:v>
                </c:pt>
                <c:pt idx="174">
                  <c:v>1274</c:v>
                </c:pt>
                <c:pt idx="175">
                  <c:v>428</c:v>
                </c:pt>
                <c:pt idx="176">
                  <c:v>952</c:v>
                </c:pt>
                <c:pt idx="177">
                  <c:v>951</c:v>
                </c:pt>
                <c:pt idx="178">
                  <c:v>604</c:v>
                </c:pt>
                <c:pt idx="179">
                  <c:v>1139</c:v>
                </c:pt>
                <c:pt idx="180">
                  <c:v>567</c:v>
                </c:pt>
                <c:pt idx="181">
                  <c:v>1282</c:v>
                </c:pt>
                <c:pt idx="182">
                  <c:v>1387</c:v>
                </c:pt>
                <c:pt idx="183">
                  <c:v>667</c:v>
                </c:pt>
                <c:pt idx="184">
                  <c:v>499</c:v>
                </c:pt>
                <c:pt idx="185">
                  <c:v>523</c:v>
                </c:pt>
                <c:pt idx="186">
                  <c:v>896</c:v>
                </c:pt>
                <c:pt idx="187">
                  <c:v>702</c:v>
                </c:pt>
                <c:pt idx="188">
                  <c:v>749</c:v>
                </c:pt>
                <c:pt idx="189">
                  <c:v>333</c:v>
                </c:pt>
                <c:pt idx="190">
                  <c:v>647</c:v>
                </c:pt>
                <c:pt idx="191">
                  <c:v>839</c:v>
                </c:pt>
                <c:pt idx="192">
                  <c:v>960</c:v>
                </c:pt>
                <c:pt idx="193">
                  <c:v>1168</c:v>
                </c:pt>
                <c:pt idx="194">
                  <c:v>518</c:v>
                </c:pt>
                <c:pt idx="195">
                  <c:v>872</c:v>
                </c:pt>
                <c:pt idx="196">
                  <c:v>302</c:v>
                </c:pt>
                <c:pt idx="197">
                  <c:v>250</c:v>
                </c:pt>
                <c:pt idx="198">
                  <c:v>820</c:v>
                </c:pt>
                <c:pt idx="199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EC-464E-B58D-F0F82FDE4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073312"/>
        <c:axId val="1655073792"/>
      </c:scatterChart>
      <c:valAx>
        <c:axId val="165507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002060"/>
                    </a:solidFill>
                  </a:rPr>
                  <a:t>Ad</a:t>
                </a:r>
                <a:r>
                  <a:rPr lang="en-IN" b="1" baseline="0">
                    <a:solidFill>
                      <a:srgbClr val="002060"/>
                    </a:solidFill>
                  </a:rPr>
                  <a:t> Spend</a:t>
                </a:r>
                <a:endParaRPr lang="en-IN" b="1">
                  <a:solidFill>
                    <a:srgbClr val="00206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8111042805695797"/>
              <c:y val="0.88064576247495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73792"/>
        <c:crosses val="autoZero"/>
        <c:crossBetween val="midCat"/>
      </c:valAx>
      <c:valAx>
        <c:axId val="16550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002060"/>
                    </a:solidFill>
                  </a:rPr>
                  <a:t>Net</a:t>
                </a:r>
                <a:r>
                  <a:rPr lang="en-IN" b="1" baseline="0">
                    <a:solidFill>
                      <a:srgbClr val="002060"/>
                    </a:solidFill>
                  </a:rPr>
                  <a:t>_Follower_Growth</a:t>
                </a:r>
                <a:endParaRPr lang="en-IN" b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7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EE6F3"/>
    </a:solidFill>
    <a:ln w="9525" cap="flat" cmpd="sng" algn="ctr">
      <a:solidFill>
        <a:schemeClr val="accent4">
          <a:lumMod val="50000"/>
        </a:schemeClr>
      </a:solidFill>
      <a:round/>
    </a:ln>
    <a:effectLst>
      <a:glow rad="88900">
        <a:srgbClr val="B1A0C7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144780</xdr:colOff>
      <xdr:row>6</xdr:row>
      <xdr:rowOff>91440</xdr:rowOff>
    </xdr:from>
    <xdr:ext cx="967740" cy="20802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31244F-DDEB-4730-91FD-5BCAE96D230E}"/>
            </a:ext>
          </a:extLst>
        </xdr:cNvPr>
        <xdr:cNvSpPr txBox="1"/>
      </xdr:nvSpPr>
      <xdr:spPr>
        <a:xfrm>
          <a:off x="2689860" y="1005840"/>
          <a:ext cx="967740" cy="2080260"/>
        </a:xfrm>
        <a:prstGeom prst="rect">
          <a:avLst/>
        </a:prstGeom>
        <a:solidFill>
          <a:srgbClr val="FFEADB"/>
        </a:solidFill>
        <a:ln w="19050">
          <a:solidFill>
            <a:srgbClr val="4D5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The week starting on 04-11-2024 has</a:t>
          </a:r>
          <a:r>
            <a:rPr lang="en-IN" sz="1100" b="1" baseline="0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the highest net follower gain. This contributes greatly to follower retention. </a:t>
          </a:r>
          <a:endParaRPr lang="en-IN" sz="1100" b="1">
            <a:solidFill>
              <a:schemeClr val="accent2">
                <a:lumMod val="50000"/>
              </a:schemeClr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  <xdr:twoCellAnchor>
    <xdr:from>
      <xdr:col>7</xdr:col>
      <xdr:colOff>114300</xdr:colOff>
      <xdr:row>3</xdr:row>
      <xdr:rowOff>64770</xdr:rowOff>
    </xdr:from>
    <xdr:to>
      <xdr:col>17</xdr:col>
      <xdr:colOff>83820</xdr:colOff>
      <xdr:row>18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50C045-3E77-4701-84B7-A98693958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548640</xdr:colOff>
      <xdr:row>18</xdr:row>
      <xdr:rowOff>160020</xdr:rowOff>
    </xdr:from>
    <xdr:to>
      <xdr:col>14</xdr:col>
      <xdr:colOff>594360</xdr:colOff>
      <xdr:row>21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FDE074-F902-4B6C-95ED-9D15182B5D8A}"/>
            </a:ext>
          </a:extLst>
        </xdr:cNvPr>
        <xdr:cNvSpPr txBox="1"/>
      </xdr:nvSpPr>
      <xdr:spPr>
        <a:xfrm>
          <a:off x="7856220" y="3268980"/>
          <a:ext cx="3703320" cy="480060"/>
        </a:xfrm>
        <a:prstGeom prst="rect">
          <a:avLst/>
        </a:prstGeom>
        <a:solidFill>
          <a:srgbClr val="FFEADB"/>
        </a:solidFill>
        <a:ln w="19050" cmpd="sng">
          <a:solidFill>
            <a:srgbClr val="4D5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The Total</a:t>
          </a:r>
          <a:r>
            <a:rPr lang="en-IN" sz="1100" b="1" baseline="0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here refers to Weekly Net Follower Growth. </a:t>
          </a:r>
        </a:p>
        <a:p>
          <a:pPr algn="ctr"/>
          <a:r>
            <a:rPr lang="en-IN" sz="1100" b="1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The red line represents the Moving</a:t>
          </a:r>
          <a:r>
            <a:rPr lang="en-IN" sz="1100" b="1" baseline="0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Average. </a:t>
          </a:r>
          <a:endParaRPr lang="en-IN" sz="1100" b="1">
            <a:solidFill>
              <a:schemeClr val="accent2">
                <a:lumMod val="50000"/>
              </a:schemeClr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twoCellAnchor>
  <xdr:oneCellAnchor>
    <xdr:from>
      <xdr:col>8</xdr:col>
      <xdr:colOff>205740</xdr:colOff>
      <xdr:row>23</xdr:row>
      <xdr:rowOff>0</xdr:rowOff>
    </xdr:from>
    <xdr:ext cx="4511040" cy="20726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12E9BE1-0729-4544-B950-71C4470A09E5}"/>
            </a:ext>
          </a:extLst>
        </xdr:cNvPr>
        <xdr:cNvSpPr txBox="1"/>
      </xdr:nvSpPr>
      <xdr:spPr>
        <a:xfrm>
          <a:off x="7757160" y="4366260"/>
          <a:ext cx="4511040" cy="2072640"/>
        </a:xfrm>
        <a:prstGeom prst="rect">
          <a:avLst/>
        </a:prstGeom>
        <a:solidFill>
          <a:srgbClr val="FFEADB"/>
        </a:solidFill>
        <a:ln w="19050">
          <a:solidFill>
            <a:srgbClr val="4D5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chemeClr val="accent2">
                  <a:lumMod val="50000"/>
                </a:schemeClr>
              </a:solidFill>
              <a:effectLst/>
              <a:uLnTx/>
              <a:uFillTx/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The moving average indicates that follower growth remains relatively stable over the period.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chemeClr val="accent2">
                <a:lumMod val="50000"/>
              </a:schemeClr>
            </a:solidFill>
            <a:effectLst/>
            <a:uLnTx/>
            <a:uFillTx/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r>
            <a:rPr lang="en-IN" sz="1100" b="1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The</a:t>
          </a:r>
          <a:r>
            <a:rPr lang="en-IN" sz="1100" b="1" baseline="0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Weekly Follower Growth shows some fluctuations whereas the Moving Average smoothens those fluctuations. 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lang="en-IN" sz="1100" b="1" baseline="0">
            <a:solidFill>
              <a:schemeClr val="accent2">
                <a:lumMod val="50000"/>
              </a:schemeClr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r>
            <a:rPr lang="en-IN" sz="1100" b="1" baseline="0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This shows that there is a sustained growth patterns in followers growth.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lang="en-IN" sz="1100" b="1" baseline="0">
            <a:solidFill>
              <a:schemeClr val="accent2">
                <a:lumMod val="50000"/>
              </a:schemeClr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r>
            <a:rPr lang="en-IN" sz="1100" b="1" baseline="0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Occasional spikes in moving average indicates high performing weeks.</a:t>
          </a:r>
        </a:p>
      </xdr:txBody>
    </xdr:sp>
    <xdr:clientData/>
  </xdr:oneCellAnchor>
  <xdr:oneCellAnchor>
    <xdr:from>
      <xdr:col>18</xdr:col>
      <xdr:colOff>358140</xdr:colOff>
      <xdr:row>20</xdr:row>
      <xdr:rowOff>15240</xdr:rowOff>
    </xdr:from>
    <xdr:ext cx="4183380" cy="1813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B2ECC84-2CF4-497C-BAEE-D5323773AD64}"/>
            </a:ext>
          </a:extLst>
        </xdr:cNvPr>
        <xdr:cNvSpPr txBox="1"/>
      </xdr:nvSpPr>
      <xdr:spPr>
        <a:xfrm>
          <a:off x="14005560" y="3489960"/>
          <a:ext cx="4183380" cy="1813560"/>
        </a:xfrm>
        <a:prstGeom prst="rect">
          <a:avLst/>
        </a:prstGeom>
        <a:solidFill>
          <a:srgbClr val="FFEADB"/>
        </a:solidFill>
        <a:ln w="19050">
          <a:solidFill>
            <a:srgbClr val="4D5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The Correlation between Ad Spend vs Follower Growth is</a:t>
          </a:r>
          <a:r>
            <a:rPr lang="en-IN" sz="1100" b="1" baseline="0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</a:t>
          </a:r>
          <a:r>
            <a:rPr lang="en-IN" sz="1100" b="1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-0.01692 and the R^2 value is 0.0003 (low).</a:t>
          </a:r>
        </a:p>
        <a:p>
          <a:pPr marL="171450" indent="-171450">
            <a:buFont typeface="Wingdings" panose="05000000000000000000" pitchFamily="2" charset="2"/>
            <a:buChar char="Ø"/>
          </a:pPr>
          <a:endParaRPr lang="en-IN" sz="1100" b="1">
            <a:solidFill>
              <a:schemeClr val="accent2">
                <a:lumMod val="50000"/>
              </a:schemeClr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Ø"/>
          </a:pPr>
          <a:r>
            <a:rPr kumimoji="0" lang="en-IN" sz="1100" b="1" i="0" u="none" strike="noStrike" kern="0" cap="none" spc="0" normalizeH="0" baseline="0" noProof="0">
              <a:ln>
                <a:noFill/>
              </a:ln>
              <a:solidFill>
                <a:schemeClr val="accent2">
                  <a:lumMod val="50000"/>
                </a:schemeClr>
              </a:solidFill>
              <a:effectLst/>
              <a:uLnTx/>
              <a:uFillTx/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This indicates that the ad spend does not have a significant linear relationship with net follower growth.</a:t>
          </a:r>
        </a:p>
        <a:p>
          <a:pPr marL="171450" indent="-171450">
            <a:buFont typeface="Wingdings" panose="05000000000000000000" pitchFamily="2" charset="2"/>
            <a:buChar char="Ø"/>
          </a:pPr>
          <a:endParaRPr lang="en-IN" sz="1100" b="1" baseline="0">
            <a:solidFill>
              <a:schemeClr val="accent2">
                <a:lumMod val="50000"/>
              </a:schemeClr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accent2">
                  <a:lumMod val="50000"/>
                </a:schemeClr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Follower growth is influenced by additional factors beyond ad spend alone.</a:t>
          </a:r>
        </a:p>
        <a:p>
          <a:r>
            <a:rPr lang="en-IN" sz="1100" b="1" baseline="0">
              <a:solidFill>
                <a:srgbClr val="64330F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</a:t>
          </a:r>
          <a:endParaRPr lang="en-IN" sz="1100" b="1">
            <a:solidFill>
              <a:srgbClr val="64330F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  <xdr:twoCellAnchor>
    <xdr:from>
      <xdr:col>18</xdr:col>
      <xdr:colOff>76200</xdr:colOff>
      <xdr:row>4</xdr:row>
      <xdr:rowOff>60960</xdr:rowOff>
    </xdr:from>
    <xdr:to>
      <xdr:col>25</xdr:col>
      <xdr:colOff>396240</xdr:colOff>
      <xdr:row>18</xdr:row>
      <xdr:rowOff>76200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3FF97E0B-4D71-4F6E-8C7A-68CDC0401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%20Project%20INS/Spotify%20(20th).xlsx" TargetMode="External"/><Relationship Id="rId2" Type="http://schemas.openxmlformats.org/officeDocument/2006/relationships/externalLinkPath" Target="file:///C:\Users\vishn\Desktop\Excel%20Project%20INS\Spotify%20(20th).xlsx" TargetMode="External"/><Relationship Id="rId1" Type="http://schemas.openxmlformats.org/officeDocument/2006/relationships/externalLinkPath" Target="/Users/vishn/Desktop/Excel%20Project%20INS/Spotify%20(20th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sk 1"/>
      <sheetName val="Task 2"/>
      <sheetName val="Posts 2, 4.2, 5.1"/>
      <sheetName val="Task 3"/>
      <sheetName val="Engagement Summary 3"/>
      <sheetName val="Task 4"/>
      <sheetName val="Post 4,5"/>
      <sheetName val="Task 5"/>
      <sheetName val="ROI"/>
      <sheetName val="Net follower growth"/>
      <sheetName val="Task 6"/>
      <sheetName val="Moving Average"/>
      <sheetName val="Posts"/>
      <sheetName val="Engagement Summary"/>
      <sheetName val="Campaign Metadata"/>
      <sheetName val="Spotify (20th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G2">
            <v>23125</v>
          </cell>
          <cell r="H2">
            <v>1334</v>
          </cell>
        </row>
        <row r="3">
          <cell r="G3">
            <v>22788</v>
          </cell>
          <cell r="H3">
            <v>909</v>
          </cell>
        </row>
        <row r="4">
          <cell r="G4">
            <v>7810</v>
          </cell>
          <cell r="H4">
            <v>1176</v>
          </cell>
        </row>
        <row r="5">
          <cell r="G5">
            <v>11966</v>
          </cell>
          <cell r="H5">
            <v>928</v>
          </cell>
        </row>
        <row r="6">
          <cell r="G6">
            <v>26298</v>
          </cell>
          <cell r="H6">
            <v>1397</v>
          </cell>
        </row>
        <row r="7">
          <cell r="G7">
            <v>22029</v>
          </cell>
          <cell r="H7">
            <v>452</v>
          </cell>
        </row>
        <row r="8">
          <cell r="G8">
            <v>12391</v>
          </cell>
          <cell r="H8">
            <v>590</v>
          </cell>
        </row>
        <row r="9">
          <cell r="G9">
            <v>14477</v>
          </cell>
          <cell r="H9">
            <v>1283</v>
          </cell>
        </row>
        <row r="10">
          <cell r="G10">
            <v>25040</v>
          </cell>
          <cell r="H10">
            <v>1302</v>
          </cell>
        </row>
        <row r="11">
          <cell r="G11">
            <v>22619</v>
          </cell>
          <cell r="H11">
            <v>612</v>
          </cell>
        </row>
        <row r="12">
          <cell r="G12">
            <v>12399</v>
          </cell>
          <cell r="H12">
            <v>1121</v>
          </cell>
        </row>
        <row r="13">
          <cell r="G13">
            <v>22456</v>
          </cell>
          <cell r="H13">
            <v>700</v>
          </cell>
        </row>
        <row r="14">
          <cell r="G14">
            <v>19328</v>
          </cell>
          <cell r="H14">
            <v>714</v>
          </cell>
        </row>
        <row r="15">
          <cell r="G15">
            <v>21107</v>
          </cell>
          <cell r="H15">
            <v>595</v>
          </cell>
        </row>
        <row r="16">
          <cell r="G16">
            <v>12277</v>
          </cell>
          <cell r="H16">
            <v>1117</v>
          </cell>
        </row>
        <row r="17">
          <cell r="G17">
            <v>11684</v>
          </cell>
          <cell r="H17">
            <v>667</v>
          </cell>
        </row>
        <row r="18">
          <cell r="G18">
            <v>14412</v>
          </cell>
          <cell r="H18">
            <v>1371</v>
          </cell>
        </row>
        <row r="19">
          <cell r="G19">
            <v>15924</v>
          </cell>
          <cell r="H19">
            <v>1117</v>
          </cell>
        </row>
        <row r="20">
          <cell r="G20">
            <v>12390</v>
          </cell>
          <cell r="H20">
            <v>359</v>
          </cell>
        </row>
        <row r="21">
          <cell r="G21">
            <v>25742</v>
          </cell>
          <cell r="H21">
            <v>1098</v>
          </cell>
        </row>
        <row r="22">
          <cell r="G22">
            <v>10495</v>
          </cell>
          <cell r="H22">
            <v>912</v>
          </cell>
        </row>
        <row r="23">
          <cell r="G23">
            <v>7797</v>
          </cell>
          <cell r="H23">
            <v>792</v>
          </cell>
        </row>
        <row r="24">
          <cell r="G24">
            <v>15595</v>
          </cell>
          <cell r="H24">
            <v>364</v>
          </cell>
        </row>
        <row r="25">
          <cell r="G25">
            <v>24617</v>
          </cell>
          <cell r="H25">
            <v>1125</v>
          </cell>
        </row>
        <row r="26">
          <cell r="G26">
            <v>9847</v>
          </cell>
          <cell r="H26">
            <v>869</v>
          </cell>
        </row>
        <row r="27">
          <cell r="G27">
            <v>13644</v>
          </cell>
          <cell r="H27">
            <v>414</v>
          </cell>
        </row>
        <row r="28">
          <cell r="G28">
            <v>11421</v>
          </cell>
          <cell r="H28">
            <v>849</v>
          </cell>
        </row>
        <row r="29">
          <cell r="G29">
            <v>15613</v>
          </cell>
          <cell r="H29">
            <v>1353</v>
          </cell>
        </row>
        <row r="30">
          <cell r="G30">
            <v>23900</v>
          </cell>
          <cell r="H30">
            <v>582</v>
          </cell>
        </row>
        <row r="31">
          <cell r="G31">
            <v>5836</v>
          </cell>
          <cell r="H31">
            <v>758</v>
          </cell>
        </row>
        <row r="32">
          <cell r="G32">
            <v>5624</v>
          </cell>
          <cell r="H32">
            <v>977</v>
          </cell>
        </row>
        <row r="33">
          <cell r="G33">
            <v>10311</v>
          </cell>
          <cell r="H33">
            <v>1191</v>
          </cell>
        </row>
        <row r="34">
          <cell r="G34">
            <v>8274</v>
          </cell>
          <cell r="H34">
            <v>904</v>
          </cell>
        </row>
        <row r="35">
          <cell r="G35">
            <v>6031</v>
          </cell>
          <cell r="H35">
            <v>909</v>
          </cell>
        </row>
        <row r="36">
          <cell r="G36">
            <v>27829</v>
          </cell>
          <cell r="H36">
            <v>382</v>
          </cell>
        </row>
        <row r="37">
          <cell r="G37">
            <v>18267</v>
          </cell>
          <cell r="H37">
            <v>1009</v>
          </cell>
        </row>
        <row r="38">
          <cell r="G38">
            <v>26624</v>
          </cell>
          <cell r="H38">
            <v>1022</v>
          </cell>
        </row>
        <row r="39">
          <cell r="G39">
            <v>26644</v>
          </cell>
          <cell r="H39">
            <v>262</v>
          </cell>
        </row>
        <row r="40">
          <cell r="G40">
            <v>13051</v>
          </cell>
          <cell r="H40">
            <v>1166</v>
          </cell>
        </row>
        <row r="41">
          <cell r="G41">
            <v>14217</v>
          </cell>
          <cell r="H41">
            <v>515</v>
          </cell>
        </row>
        <row r="42">
          <cell r="G42">
            <v>16385</v>
          </cell>
          <cell r="H42">
            <v>956</v>
          </cell>
        </row>
        <row r="43">
          <cell r="G43">
            <v>24548</v>
          </cell>
          <cell r="H43">
            <v>1031</v>
          </cell>
        </row>
        <row r="44">
          <cell r="G44">
            <v>9195</v>
          </cell>
          <cell r="H44">
            <v>637</v>
          </cell>
        </row>
        <row r="45">
          <cell r="G45">
            <v>18071</v>
          </cell>
          <cell r="H45">
            <v>1268</v>
          </cell>
        </row>
        <row r="46">
          <cell r="G46">
            <v>16875</v>
          </cell>
          <cell r="H46">
            <v>725</v>
          </cell>
        </row>
        <row r="47">
          <cell r="G47">
            <v>9567</v>
          </cell>
          <cell r="H47">
            <v>471</v>
          </cell>
        </row>
        <row r="48">
          <cell r="G48">
            <v>20306</v>
          </cell>
          <cell r="H48">
            <v>1291</v>
          </cell>
        </row>
        <row r="49">
          <cell r="G49">
            <v>21134</v>
          </cell>
          <cell r="H49">
            <v>400</v>
          </cell>
        </row>
        <row r="50">
          <cell r="G50">
            <v>26872</v>
          </cell>
          <cell r="H50">
            <v>1113</v>
          </cell>
        </row>
        <row r="51">
          <cell r="G51">
            <v>10253</v>
          </cell>
          <cell r="H51">
            <v>1198</v>
          </cell>
        </row>
        <row r="52">
          <cell r="G52">
            <v>23963</v>
          </cell>
          <cell r="H52">
            <v>474</v>
          </cell>
        </row>
        <row r="53">
          <cell r="G53">
            <v>11335</v>
          </cell>
          <cell r="H53">
            <v>1132</v>
          </cell>
        </row>
        <row r="54">
          <cell r="G54">
            <v>12115</v>
          </cell>
          <cell r="H54">
            <v>844</v>
          </cell>
        </row>
        <row r="55">
          <cell r="G55">
            <v>24358</v>
          </cell>
          <cell r="H55">
            <v>1175</v>
          </cell>
        </row>
        <row r="56">
          <cell r="G56">
            <v>12181</v>
          </cell>
          <cell r="H56">
            <v>559</v>
          </cell>
        </row>
        <row r="57">
          <cell r="G57">
            <v>17729</v>
          </cell>
          <cell r="H57">
            <v>554</v>
          </cell>
        </row>
        <row r="58">
          <cell r="G58">
            <v>10881</v>
          </cell>
          <cell r="H58">
            <v>1225</v>
          </cell>
        </row>
        <row r="59">
          <cell r="G59">
            <v>18576</v>
          </cell>
          <cell r="H59">
            <v>892</v>
          </cell>
        </row>
        <row r="60">
          <cell r="G60">
            <v>9383</v>
          </cell>
          <cell r="H60">
            <v>536</v>
          </cell>
        </row>
        <row r="61">
          <cell r="G61">
            <v>14178</v>
          </cell>
          <cell r="H61">
            <v>1242</v>
          </cell>
        </row>
        <row r="62">
          <cell r="G62">
            <v>21254</v>
          </cell>
          <cell r="H62">
            <v>948</v>
          </cell>
        </row>
        <row r="63">
          <cell r="G63">
            <v>14215</v>
          </cell>
          <cell r="H63">
            <v>762</v>
          </cell>
        </row>
        <row r="64">
          <cell r="G64">
            <v>16921</v>
          </cell>
          <cell r="H64">
            <v>1082</v>
          </cell>
        </row>
        <row r="65">
          <cell r="G65">
            <v>25130</v>
          </cell>
          <cell r="H65">
            <v>1174</v>
          </cell>
        </row>
        <row r="66">
          <cell r="G66">
            <v>25537</v>
          </cell>
          <cell r="H66">
            <v>464</v>
          </cell>
        </row>
        <row r="67">
          <cell r="G67">
            <v>24943</v>
          </cell>
          <cell r="H67">
            <v>543</v>
          </cell>
        </row>
        <row r="68">
          <cell r="G68">
            <v>14563</v>
          </cell>
          <cell r="H68">
            <v>1202</v>
          </cell>
        </row>
        <row r="69">
          <cell r="G69">
            <v>26273</v>
          </cell>
          <cell r="H69">
            <v>1390</v>
          </cell>
        </row>
        <row r="70">
          <cell r="G70">
            <v>10858</v>
          </cell>
          <cell r="H70">
            <v>984</v>
          </cell>
        </row>
        <row r="71">
          <cell r="G71">
            <v>25038</v>
          </cell>
          <cell r="H71">
            <v>1204</v>
          </cell>
        </row>
        <row r="72">
          <cell r="G72">
            <v>9092</v>
          </cell>
          <cell r="H72">
            <v>532</v>
          </cell>
        </row>
        <row r="73">
          <cell r="G73">
            <v>17662</v>
          </cell>
          <cell r="H73">
            <v>1058</v>
          </cell>
        </row>
        <row r="74">
          <cell r="G74">
            <v>5924</v>
          </cell>
          <cell r="H74">
            <v>676</v>
          </cell>
        </row>
        <row r="75">
          <cell r="G75">
            <v>25347</v>
          </cell>
          <cell r="H75">
            <v>577</v>
          </cell>
        </row>
        <row r="76">
          <cell r="G76">
            <v>8910</v>
          </cell>
          <cell r="H76">
            <v>682</v>
          </cell>
        </row>
        <row r="77">
          <cell r="G77">
            <v>20438</v>
          </cell>
          <cell r="H77">
            <v>450</v>
          </cell>
        </row>
        <row r="78">
          <cell r="G78">
            <v>8760</v>
          </cell>
          <cell r="H78">
            <v>683</v>
          </cell>
        </row>
        <row r="79">
          <cell r="G79">
            <v>6625</v>
          </cell>
          <cell r="H79">
            <v>1154</v>
          </cell>
        </row>
        <row r="80">
          <cell r="G80">
            <v>23329</v>
          </cell>
          <cell r="H80">
            <v>808</v>
          </cell>
        </row>
        <row r="81">
          <cell r="G81">
            <v>7299</v>
          </cell>
          <cell r="H81">
            <v>871</v>
          </cell>
        </row>
        <row r="82">
          <cell r="G82">
            <v>14496</v>
          </cell>
          <cell r="H82">
            <v>704</v>
          </cell>
        </row>
        <row r="83">
          <cell r="G83">
            <v>25703</v>
          </cell>
          <cell r="H83">
            <v>611</v>
          </cell>
        </row>
        <row r="84">
          <cell r="G84">
            <v>15108</v>
          </cell>
          <cell r="H84">
            <v>405</v>
          </cell>
        </row>
        <row r="85">
          <cell r="G85">
            <v>18867</v>
          </cell>
          <cell r="H85">
            <v>382</v>
          </cell>
        </row>
        <row r="86">
          <cell r="G86">
            <v>17574</v>
          </cell>
          <cell r="H86">
            <v>1117</v>
          </cell>
        </row>
        <row r="87">
          <cell r="G87">
            <v>12840</v>
          </cell>
          <cell r="H87">
            <v>477</v>
          </cell>
        </row>
        <row r="88">
          <cell r="G88">
            <v>21079</v>
          </cell>
          <cell r="H88">
            <v>1099</v>
          </cell>
        </row>
        <row r="89">
          <cell r="G89">
            <v>23486</v>
          </cell>
          <cell r="H89">
            <v>567</v>
          </cell>
        </row>
        <row r="90">
          <cell r="G90">
            <v>5960</v>
          </cell>
          <cell r="H90">
            <v>1133</v>
          </cell>
        </row>
        <row r="91">
          <cell r="G91">
            <v>13301</v>
          </cell>
          <cell r="H91">
            <v>850</v>
          </cell>
        </row>
        <row r="92">
          <cell r="G92">
            <v>10563</v>
          </cell>
          <cell r="H92">
            <v>413</v>
          </cell>
        </row>
        <row r="93">
          <cell r="G93">
            <v>19949</v>
          </cell>
          <cell r="H93">
            <v>1387</v>
          </cell>
        </row>
        <row r="94">
          <cell r="G94">
            <v>14273</v>
          </cell>
          <cell r="H94">
            <v>537</v>
          </cell>
        </row>
        <row r="95">
          <cell r="G95">
            <v>9247</v>
          </cell>
          <cell r="H95">
            <v>443</v>
          </cell>
        </row>
        <row r="96">
          <cell r="G96">
            <v>11972</v>
          </cell>
          <cell r="H96">
            <v>1283</v>
          </cell>
        </row>
        <row r="97">
          <cell r="G97">
            <v>13314</v>
          </cell>
          <cell r="H97">
            <v>725</v>
          </cell>
        </row>
        <row r="98">
          <cell r="G98">
            <v>14749</v>
          </cell>
          <cell r="H98">
            <v>467</v>
          </cell>
        </row>
        <row r="99">
          <cell r="G99">
            <v>6868</v>
          </cell>
          <cell r="H99">
            <v>1354</v>
          </cell>
        </row>
        <row r="100">
          <cell r="G100">
            <v>6027</v>
          </cell>
          <cell r="H100">
            <v>520</v>
          </cell>
        </row>
        <row r="101">
          <cell r="G101">
            <v>25267</v>
          </cell>
          <cell r="H101">
            <v>442</v>
          </cell>
        </row>
        <row r="102">
          <cell r="G102">
            <v>5900</v>
          </cell>
          <cell r="H102">
            <v>546</v>
          </cell>
        </row>
        <row r="103">
          <cell r="G103">
            <v>11181</v>
          </cell>
          <cell r="H103">
            <v>844</v>
          </cell>
        </row>
        <row r="104">
          <cell r="G104">
            <v>9592</v>
          </cell>
          <cell r="H104">
            <v>341</v>
          </cell>
        </row>
        <row r="105">
          <cell r="G105">
            <v>5291</v>
          </cell>
          <cell r="H105">
            <v>869</v>
          </cell>
        </row>
        <row r="106">
          <cell r="G106">
            <v>22244</v>
          </cell>
          <cell r="H106">
            <v>718</v>
          </cell>
        </row>
        <row r="107">
          <cell r="G107">
            <v>6824</v>
          </cell>
          <cell r="H107">
            <v>735</v>
          </cell>
        </row>
        <row r="108">
          <cell r="G108">
            <v>24112</v>
          </cell>
          <cell r="H108">
            <v>523</v>
          </cell>
        </row>
        <row r="109">
          <cell r="G109">
            <v>25478</v>
          </cell>
          <cell r="H109">
            <v>422</v>
          </cell>
        </row>
        <row r="110">
          <cell r="G110">
            <v>11235</v>
          </cell>
          <cell r="H110">
            <v>915</v>
          </cell>
        </row>
        <row r="111">
          <cell r="G111">
            <v>6120</v>
          </cell>
          <cell r="H111">
            <v>1108</v>
          </cell>
        </row>
        <row r="112">
          <cell r="G112">
            <v>20572</v>
          </cell>
          <cell r="H112">
            <v>338</v>
          </cell>
        </row>
        <row r="113">
          <cell r="G113">
            <v>14975</v>
          </cell>
          <cell r="H113">
            <v>724</v>
          </cell>
        </row>
        <row r="114">
          <cell r="G114">
            <v>22234</v>
          </cell>
          <cell r="H114">
            <v>463</v>
          </cell>
        </row>
        <row r="115">
          <cell r="G115">
            <v>6532</v>
          </cell>
          <cell r="H115">
            <v>356</v>
          </cell>
        </row>
        <row r="116">
          <cell r="G116">
            <v>24858</v>
          </cell>
          <cell r="H116">
            <v>378</v>
          </cell>
        </row>
        <row r="117">
          <cell r="G117">
            <v>13883</v>
          </cell>
          <cell r="H117">
            <v>636</v>
          </cell>
        </row>
        <row r="118">
          <cell r="G118">
            <v>18654</v>
          </cell>
          <cell r="H118">
            <v>699</v>
          </cell>
        </row>
        <row r="119">
          <cell r="G119">
            <v>25234</v>
          </cell>
          <cell r="H119">
            <v>1279</v>
          </cell>
        </row>
        <row r="120">
          <cell r="G120">
            <v>6772</v>
          </cell>
          <cell r="H120">
            <v>1006</v>
          </cell>
        </row>
        <row r="121">
          <cell r="G121">
            <v>22428</v>
          </cell>
          <cell r="H121">
            <v>478</v>
          </cell>
        </row>
        <row r="122">
          <cell r="G122">
            <v>11911</v>
          </cell>
          <cell r="H122">
            <v>545</v>
          </cell>
        </row>
        <row r="123">
          <cell r="G123">
            <v>21900</v>
          </cell>
          <cell r="H123">
            <v>1005</v>
          </cell>
        </row>
        <row r="124">
          <cell r="G124">
            <v>25542</v>
          </cell>
          <cell r="H124">
            <v>765</v>
          </cell>
        </row>
        <row r="125">
          <cell r="G125">
            <v>7140</v>
          </cell>
          <cell r="H125">
            <v>564</v>
          </cell>
        </row>
        <row r="126">
          <cell r="G126">
            <v>20474</v>
          </cell>
          <cell r="H126">
            <v>496</v>
          </cell>
        </row>
        <row r="127">
          <cell r="G127">
            <v>8698</v>
          </cell>
          <cell r="H127">
            <v>1128</v>
          </cell>
        </row>
        <row r="128">
          <cell r="G128">
            <v>10402</v>
          </cell>
          <cell r="H128">
            <v>565</v>
          </cell>
        </row>
        <row r="129">
          <cell r="G129">
            <v>26618</v>
          </cell>
          <cell r="H129">
            <v>813</v>
          </cell>
        </row>
        <row r="130">
          <cell r="G130">
            <v>7975</v>
          </cell>
          <cell r="H130">
            <v>1301</v>
          </cell>
        </row>
        <row r="131">
          <cell r="G131">
            <v>19054</v>
          </cell>
          <cell r="H131">
            <v>436</v>
          </cell>
        </row>
        <row r="132">
          <cell r="G132">
            <v>13740</v>
          </cell>
          <cell r="H132">
            <v>978</v>
          </cell>
        </row>
        <row r="133">
          <cell r="G133">
            <v>18442</v>
          </cell>
          <cell r="H133">
            <v>1367</v>
          </cell>
        </row>
        <row r="134">
          <cell r="G134">
            <v>10104</v>
          </cell>
          <cell r="H134">
            <v>1337</v>
          </cell>
        </row>
        <row r="135">
          <cell r="G135">
            <v>21771</v>
          </cell>
          <cell r="H135">
            <v>1014</v>
          </cell>
        </row>
        <row r="136">
          <cell r="G136">
            <v>22191</v>
          </cell>
          <cell r="H136">
            <v>940</v>
          </cell>
        </row>
        <row r="137">
          <cell r="G137">
            <v>27753</v>
          </cell>
          <cell r="H137">
            <v>690</v>
          </cell>
        </row>
        <row r="138">
          <cell r="G138">
            <v>23736</v>
          </cell>
          <cell r="H138">
            <v>1335</v>
          </cell>
        </row>
        <row r="139">
          <cell r="G139">
            <v>27393</v>
          </cell>
          <cell r="H139">
            <v>1191</v>
          </cell>
        </row>
        <row r="140">
          <cell r="G140">
            <v>10343</v>
          </cell>
          <cell r="H140">
            <v>353</v>
          </cell>
        </row>
        <row r="141">
          <cell r="G141">
            <v>25259</v>
          </cell>
          <cell r="H141">
            <v>486</v>
          </cell>
        </row>
        <row r="142">
          <cell r="G142">
            <v>24827</v>
          </cell>
          <cell r="H142">
            <v>889</v>
          </cell>
        </row>
        <row r="143">
          <cell r="G143">
            <v>11908</v>
          </cell>
          <cell r="H143">
            <v>983</v>
          </cell>
        </row>
        <row r="144">
          <cell r="G144">
            <v>11005</v>
          </cell>
          <cell r="H144">
            <v>581</v>
          </cell>
        </row>
        <row r="145">
          <cell r="G145">
            <v>26333</v>
          </cell>
          <cell r="H145">
            <v>814</v>
          </cell>
        </row>
        <row r="146">
          <cell r="G146">
            <v>5495</v>
          </cell>
          <cell r="H146">
            <v>919</v>
          </cell>
        </row>
        <row r="147">
          <cell r="G147">
            <v>15655</v>
          </cell>
          <cell r="H147">
            <v>676</v>
          </cell>
        </row>
        <row r="148">
          <cell r="G148">
            <v>13763</v>
          </cell>
          <cell r="H148">
            <v>459</v>
          </cell>
        </row>
        <row r="149">
          <cell r="G149">
            <v>26073</v>
          </cell>
          <cell r="H149">
            <v>576</v>
          </cell>
        </row>
        <row r="150">
          <cell r="G150">
            <v>12774</v>
          </cell>
          <cell r="H150">
            <v>447</v>
          </cell>
        </row>
        <row r="151">
          <cell r="G151">
            <v>19000</v>
          </cell>
          <cell r="H151">
            <v>377</v>
          </cell>
        </row>
        <row r="152">
          <cell r="G152">
            <v>14051</v>
          </cell>
          <cell r="H152">
            <v>932</v>
          </cell>
        </row>
        <row r="153">
          <cell r="G153">
            <v>27782</v>
          </cell>
          <cell r="H153">
            <v>1356</v>
          </cell>
        </row>
        <row r="154">
          <cell r="G154">
            <v>7859</v>
          </cell>
          <cell r="H154">
            <v>1281</v>
          </cell>
        </row>
        <row r="155">
          <cell r="G155">
            <v>15773</v>
          </cell>
          <cell r="H155">
            <v>1041</v>
          </cell>
        </row>
        <row r="156">
          <cell r="G156">
            <v>20595</v>
          </cell>
          <cell r="H156">
            <v>1184</v>
          </cell>
        </row>
        <row r="157">
          <cell r="G157">
            <v>12031</v>
          </cell>
          <cell r="H157">
            <v>684</v>
          </cell>
        </row>
        <row r="158">
          <cell r="G158">
            <v>15128</v>
          </cell>
          <cell r="H158">
            <v>354</v>
          </cell>
        </row>
        <row r="159">
          <cell r="G159">
            <v>11826</v>
          </cell>
          <cell r="H159">
            <v>1126</v>
          </cell>
        </row>
        <row r="160">
          <cell r="G160">
            <v>12562</v>
          </cell>
          <cell r="H160">
            <v>569</v>
          </cell>
        </row>
        <row r="161">
          <cell r="G161">
            <v>13013</v>
          </cell>
          <cell r="H161">
            <v>730</v>
          </cell>
        </row>
        <row r="162">
          <cell r="G162">
            <v>12937</v>
          </cell>
          <cell r="H162">
            <v>578</v>
          </cell>
        </row>
        <row r="163">
          <cell r="G163">
            <v>14534</v>
          </cell>
          <cell r="H163">
            <v>935</v>
          </cell>
        </row>
        <row r="164">
          <cell r="G164">
            <v>8182</v>
          </cell>
          <cell r="H164">
            <v>698</v>
          </cell>
        </row>
        <row r="165">
          <cell r="G165">
            <v>10615</v>
          </cell>
          <cell r="H165">
            <v>325</v>
          </cell>
        </row>
        <row r="166">
          <cell r="G166">
            <v>20109</v>
          </cell>
          <cell r="H166">
            <v>994</v>
          </cell>
        </row>
        <row r="167">
          <cell r="G167">
            <v>26024</v>
          </cell>
          <cell r="H167">
            <v>320</v>
          </cell>
        </row>
        <row r="168">
          <cell r="G168">
            <v>26730</v>
          </cell>
          <cell r="H168">
            <v>544</v>
          </cell>
        </row>
        <row r="169">
          <cell r="G169">
            <v>10563</v>
          </cell>
          <cell r="H169">
            <v>520</v>
          </cell>
        </row>
        <row r="170">
          <cell r="G170">
            <v>27575</v>
          </cell>
          <cell r="H170">
            <v>485</v>
          </cell>
        </row>
        <row r="171">
          <cell r="G171">
            <v>14479</v>
          </cell>
          <cell r="H171">
            <v>1234</v>
          </cell>
        </row>
        <row r="172">
          <cell r="G172">
            <v>15915</v>
          </cell>
          <cell r="H172">
            <v>596</v>
          </cell>
        </row>
        <row r="173">
          <cell r="G173">
            <v>12767</v>
          </cell>
          <cell r="H173">
            <v>831</v>
          </cell>
        </row>
        <row r="174">
          <cell r="G174">
            <v>12170</v>
          </cell>
          <cell r="H174">
            <v>1033</v>
          </cell>
        </row>
        <row r="175">
          <cell r="G175">
            <v>7245</v>
          </cell>
          <cell r="H175">
            <v>805</v>
          </cell>
        </row>
        <row r="176">
          <cell r="G176">
            <v>12985</v>
          </cell>
          <cell r="H176">
            <v>1274</v>
          </cell>
        </row>
        <row r="177">
          <cell r="G177">
            <v>16377</v>
          </cell>
          <cell r="H177">
            <v>428</v>
          </cell>
        </row>
        <row r="178">
          <cell r="G178">
            <v>11453</v>
          </cell>
          <cell r="H178">
            <v>952</v>
          </cell>
        </row>
        <row r="179">
          <cell r="G179">
            <v>12323</v>
          </cell>
          <cell r="H179">
            <v>951</v>
          </cell>
        </row>
        <row r="180">
          <cell r="G180">
            <v>11911</v>
          </cell>
          <cell r="H180">
            <v>604</v>
          </cell>
        </row>
        <row r="181">
          <cell r="G181">
            <v>27809</v>
          </cell>
          <cell r="H181">
            <v>1139</v>
          </cell>
        </row>
        <row r="182">
          <cell r="G182">
            <v>21464</v>
          </cell>
          <cell r="H182">
            <v>567</v>
          </cell>
        </row>
        <row r="183">
          <cell r="G183">
            <v>27126</v>
          </cell>
          <cell r="H183">
            <v>1282</v>
          </cell>
        </row>
        <row r="184">
          <cell r="G184">
            <v>10681</v>
          </cell>
          <cell r="H184">
            <v>1387</v>
          </cell>
        </row>
        <row r="185">
          <cell r="G185">
            <v>5413</v>
          </cell>
          <cell r="H185">
            <v>667</v>
          </cell>
        </row>
        <row r="186">
          <cell r="G186">
            <v>25058</v>
          </cell>
          <cell r="H186">
            <v>499</v>
          </cell>
        </row>
        <row r="187">
          <cell r="G187">
            <v>18303</v>
          </cell>
          <cell r="H187">
            <v>523</v>
          </cell>
        </row>
        <row r="188">
          <cell r="G188">
            <v>5526</v>
          </cell>
          <cell r="H188">
            <v>896</v>
          </cell>
        </row>
        <row r="189">
          <cell r="G189">
            <v>17460</v>
          </cell>
          <cell r="H189">
            <v>702</v>
          </cell>
        </row>
        <row r="190">
          <cell r="G190">
            <v>14475</v>
          </cell>
          <cell r="H190">
            <v>749</v>
          </cell>
        </row>
        <row r="191">
          <cell r="G191">
            <v>20162</v>
          </cell>
          <cell r="H191">
            <v>333</v>
          </cell>
        </row>
        <row r="192">
          <cell r="G192">
            <v>17103</v>
          </cell>
          <cell r="H192">
            <v>647</v>
          </cell>
        </row>
        <row r="193">
          <cell r="G193">
            <v>15461</v>
          </cell>
          <cell r="H193">
            <v>839</v>
          </cell>
        </row>
        <row r="194">
          <cell r="G194">
            <v>22103</v>
          </cell>
          <cell r="H194">
            <v>960</v>
          </cell>
        </row>
        <row r="195">
          <cell r="G195">
            <v>11625</v>
          </cell>
          <cell r="H195">
            <v>1168</v>
          </cell>
        </row>
        <row r="196">
          <cell r="G196">
            <v>5281</v>
          </cell>
          <cell r="H196">
            <v>518</v>
          </cell>
        </row>
        <row r="197">
          <cell r="G197">
            <v>13424</v>
          </cell>
          <cell r="H197">
            <v>872</v>
          </cell>
        </row>
        <row r="198">
          <cell r="G198">
            <v>13140</v>
          </cell>
          <cell r="H198">
            <v>302</v>
          </cell>
        </row>
        <row r="199">
          <cell r="G199">
            <v>19538</v>
          </cell>
          <cell r="H199">
            <v>250</v>
          </cell>
        </row>
        <row r="200">
          <cell r="G200">
            <v>7881</v>
          </cell>
          <cell r="H200">
            <v>820</v>
          </cell>
        </row>
        <row r="201">
          <cell r="G201">
            <v>11418</v>
          </cell>
          <cell r="H201">
            <v>616</v>
          </cell>
        </row>
      </sheetData>
      <sheetData sheetId="12"/>
      <sheetData sheetId="13"/>
      <sheetData sheetId="14">
        <row r="1">
          <cell r="A1" t="str">
            <v>Campaign_Name</v>
          </cell>
        </row>
      </sheetData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n/Desktop/Excel%20Project%20INS/Spotify%20(20th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priya S" refreshedDate="46077.675785995372" createdVersion="8" refreshedVersion="8" minRefreshableVersion="3" recordCount="200" xr:uid="{CBBD66FE-48B4-402C-9239-AB7B50B1B8B6}">
  <cacheSource type="worksheet">
    <worksheetSource name="Engagement_Summary68" r:id="rId2"/>
  </cacheSource>
  <cacheFields count="13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2"/>
    </cacheField>
    <cacheField name="Platform" numFmtId="0">
      <sharedItems/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Net follower growth" numFmtId="0">
      <sharedItems containsSemiMixedTypes="0" containsString="0" containsNumber="1" containsInteger="1" minValue="250" maxValue="1397"/>
    </cacheField>
    <cacheField name="Campaign name" numFmtId="0">
      <sharedItems containsBlank="1" count="5">
        <m/>
        <s v="SummerBeats"/>
        <s v="Wrapped2024"/>
        <s v="ChillVibes"/>
        <s v="IndieWaves"/>
      </sharedItems>
    </cacheField>
    <cacheField name="Campaign status" numFmtId="0">
      <sharedItems containsBlank="1" count="2">
        <m/>
        <s v="During"/>
      </sharedItems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24562"/>
    <n v="9.92"/>
    <n v="23125"/>
    <n v="1334"/>
    <x v="0"/>
    <x v="0"/>
  </r>
  <r>
    <x v="0"/>
    <s v="Twitter"/>
    <n v="995"/>
    <n v="86"/>
    <n v="227958"/>
    <n v="8.0500000000000007"/>
    <n v="22788"/>
    <n v="909"/>
    <x v="0"/>
    <x v="0"/>
  </r>
  <r>
    <x v="0"/>
    <s v="YouTube"/>
    <n v="1472"/>
    <n v="296"/>
    <n v="370242"/>
    <n v="7.72"/>
    <n v="7810"/>
    <n v="1176"/>
    <x v="0"/>
    <x v="0"/>
  </r>
  <r>
    <x v="1"/>
    <s v="Instagram"/>
    <n v="1018"/>
    <n v="90"/>
    <n v="92474"/>
    <n v="9.4"/>
    <n v="11966"/>
    <n v="928"/>
    <x v="0"/>
    <x v="0"/>
  </r>
  <r>
    <x v="1"/>
    <s v="Twitter"/>
    <n v="1461"/>
    <n v="64"/>
    <n v="328902"/>
    <n v="9.02"/>
    <n v="26298"/>
    <n v="1397"/>
    <x v="0"/>
    <x v="0"/>
  </r>
  <r>
    <x v="1"/>
    <s v="YouTube"/>
    <n v="545"/>
    <n v="93"/>
    <n v="391621"/>
    <n v="9.9600000000000009"/>
    <n v="22029"/>
    <n v="452"/>
    <x v="0"/>
    <x v="0"/>
  </r>
  <r>
    <x v="2"/>
    <s v="Instagram"/>
    <n v="881"/>
    <n v="291"/>
    <n v="95885"/>
    <n v="5.29"/>
    <n v="12391"/>
    <n v="590"/>
    <x v="1"/>
    <x v="1"/>
  </r>
  <r>
    <x v="2"/>
    <s v="Twitter"/>
    <n v="1414"/>
    <n v="131"/>
    <n v="245947"/>
    <n v="8.3000000000000007"/>
    <n v="14477"/>
    <n v="1283"/>
    <x v="1"/>
    <x v="1"/>
  </r>
  <r>
    <x v="2"/>
    <s v="YouTube"/>
    <n v="1472"/>
    <n v="170"/>
    <n v="250428"/>
    <n v="4.66"/>
    <n v="25040"/>
    <n v="1302"/>
    <x v="1"/>
    <x v="1"/>
  </r>
  <r>
    <x v="3"/>
    <s v="Instagram"/>
    <n v="809"/>
    <n v="197"/>
    <n v="87186"/>
    <n v="9.48"/>
    <n v="22619"/>
    <n v="612"/>
    <x v="1"/>
    <x v="1"/>
  </r>
  <r>
    <x v="3"/>
    <s v="Twitter"/>
    <n v="1371"/>
    <n v="250"/>
    <n v="128620"/>
    <n v="7.11"/>
    <n v="12399"/>
    <n v="1121"/>
    <x v="1"/>
    <x v="1"/>
  </r>
  <r>
    <x v="3"/>
    <s v="YouTube"/>
    <n v="844"/>
    <n v="144"/>
    <n v="126015"/>
    <n v="9.65"/>
    <n v="22456"/>
    <n v="700"/>
    <x v="1"/>
    <x v="1"/>
  </r>
  <r>
    <x v="4"/>
    <s v="Instagram"/>
    <n v="786"/>
    <n v="72"/>
    <n v="178615"/>
    <n v="5.43"/>
    <n v="19328"/>
    <n v="714"/>
    <x v="1"/>
    <x v="1"/>
  </r>
  <r>
    <x v="4"/>
    <s v="Twitter"/>
    <n v="845"/>
    <n v="250"/>
    <n v="218228"/>
    <n v="4.5199999999999996"/>
    <n v="21107"/>
    <n v="595"/>
    <x v="1"/>
    <x v="1"/>
  </r>
  <r>
    <x v="4"/>
    <s v="YouTube"/>
    <n v="1218"/>
    <n v="101"/>
    <n v="300397"/>
    <n v="4.33"/>
    <n v="12277"/>
    <n v="1117"/>
    <x v="1"/>
    <x v="1"/>
  </r>
  <r>
    <x v="5"/>
    <s v="Instagram"/>
    <n v="797"/>
    <n v="130"/>
    <n v="340121"/>
    <n v="8.52"/>
    <n v="11684"/>
    <n v="667"/>
    <x v="1"/>
    <x v="1"/>
  </r>
  <r>
    <x v="5"/>
    <s v="Twitter"/>
    <n v="1471"/>
    <n v="100"/>
    <n v="76866"/>
    <n v="8.5500000000000007"/>
    <n v="14412"/>
    <n v="1371"/>
    <x v="1"/>
    <x v="1"/>
  </r>
  <r>
    <x v="5"/>
    <s v="YouTube"/>
    <n v="1253"/>
    <n v="136"/>
    <n v="193131"/>
    <n v="7.99"/>
    <n v="15924"/>
    <n v="1117"/>
    <x v="1"/>
    <x v="1"/>
  </r>
  <r>
    <x v="6"/>
    <s v="Instagram"/>
    <n v="616"/>
    <n v="257"/>
    <n v="169665"/>
    <n v="6.31"/>
    <n v="12390"/>
    <n v="359"/>
    <x v="1"/>
    <x v="1"/>
  </r>
  <r>
    <x v="6"/>
    <s v="Twitter"/>
    <n v="1308"/>
    <n v="210"/>
    <n v="263729"/>
    <n v="8.5299999999999994"/>
    <n v="25742"/>
    <n v="1098"/>
    <x v="1"/>
    <x v="1"/>
  </r>
  <r>
    <x v="6"/>
    <s v="YouTube"/>
    <n v="981"/>
    <n v="69"/>
    <n v="206921"/>
    <n v="8.42"/>
    <n v="10495"/>
    <n v="912"/>
    <x v="1"/>
    <x v="1"/>
  </r>
  <r>
    <x v="7"/>
    <s v="Instagram"/>
    <n v="866"/>
    <n v="74"/>
    <n v="204121"/>
    <n v="9.34"/>
    <n v="7797"/>
    <n v="792"/>
    <x v="0"/>
    <x v="0"/>
  </r>
  <r>
    <x v="7"/>
    <s v="Twitter"/>
    <n v="547"/>
    <n v="183"/>
    <n v="266350"/>
    <n v="5.65"/>
    <n v="15595"/>
    <n v="364"/>
    <x v="0"/>
    <x v="0"/>
  </r>
  <r>
    <x v="7"/>
    <s v="YouTube"/>
    <n v="1241"/>
    <n v="116"/>
    <n v="380606"/>
    <n v="4.2"/>
    <n v="24617"/>
    <n v="1125"/>
    <x v="0"/>
    <x v="0"/>
  </r>
  <r>
    <x v="8"/>
    <s v="Instagram"/>
    <n v="973"/>
    <n v="104"/>
    <n v="376358"/>
    <n v="3.87"/>
    <n v="9847"/>
    <n v="869"/>
    <x v="0"/>
    <x v="0"/>
  </r>
  <r>
    <x v="8"/>
    <s v="Twitter"/>
    <n v="611"/>
    <n v="197"/>
    <n v="79423"/>
    <n v="5.82"/>
    <n v="13644"/>
    <n v="414"/>
    <x v="0"/>
    <x v="0"/>
  </r>
  <r>
    <x v="8"/>
    <s v="YouTube"/>
    <n v="983"/>
    <n v="134"/>
    <n v="352178"/>
    <n v="3.55"/>
    <n v="11421"/>
    <n v="849"/>
    <x v="0"/>
    <x v="0"/>
  </r>
  <r>
    <x v="9"/>
    <s v="Instagram"/>
    <n v="1449"/>
    <n v="96"/>
    <n v="200636"/>
    <n v="9.92"/>
    <n v="15613"/>
    <n v="1353"/>
    <x v="0"/>
    <x v="0"/>
  </r>
  <r>
    <x v="9"/>
    <s v="Twitter"/>
    <n v="752"/>
    <n v="170"/>
    <n v="132756"/>
    <n v="8.17"/>
    <n v="23900"/>
    <n v="582"/>
    <x v="0"/>
    <x v="0"/>
  </r>
  <r>
    <x v="9"/>
    <s v="YouTube"/>
    <n v="937"/>
    <n v="179"/>
    <n v="318098"/>
    <n v="5.3"/>
    <n v="5836"/>
    <n v="758"/>
    <x v="0"/>
    <x v="0"/>
  </r>
  <r>
    <x v="10"/>
    <s v="Instagram"/>
    <n v="1060"/>
    <n v="83"/>
    <n v="68724"/>
    <n v="5.98"/>
    <n v="5624"/>
    <n v="977"/>
    <x v="0"/>
    <x v="0"/>
  </r>
  <r>
    <x v="10"/>
    <s v="Twitter"/>
    <n v="1456"/>
    <n v="265"/>
    <n v="115505"/>
    <n v="7.49"/>
    <n v="10311"/>
    <n v="1191"/>
    <x v="0"/>
    <x v="0"/>
  </r>
  <r>
    <x v="10"/>
    <s v="YouTube"/>
    <n v="1109"/>
    <n v="205"/>
    <n v="276722"/>
    <n v="9.3800000000000008"/>
    <n v="8274"/>
    <n v="904"/>
    <x v="0"/>
    <x v="0"/>
  </r>
  <r>
    <x v="11"/>
    <s v="Instagram"/>
    <n v="1002"/>
    <n v="93"/>
    <n v="353538"/>
    <n v="5.84"/>
    <n v="6031"/>
    <n v="909"/>
    <x v="0"/>
    <x v="0"/>
  </r>
  <r>
    <x v="11"/>
    <s v="Twitter"/>
    <n v="571"/>
    <n v="189"/>
    <n v="61445"/>
    <n v="5.41"/>
    <n v="27829"/>
    <n v="382"/>
    <x v="0"/>
    <x v="0"/>
  </r>
  <r>
    <x v="11"/>
    <s v="YouTube"/>
    <n v="1240"/>
    <n v="231"/>
    <n v="165035"/>
    <n v="6.05"/>
    <n v="18267"/>
    <n v="1009"/>
    <x v="0"/>
    <x v="0"/>
  </r>
  <r>
    <x v="12"/>
    <s v="Instagram"/>
    <n v="1154"/>
    <n v="132"/>
    <n v="194595"/>
    <n v="7.54"/>
    <n v="26624"/>
    <n v="1022"/>
    <x v="0"/>
    <x v="0"/>
  </r>
  <r>
    <x v="12"/>
    <s v="Twitter"/>
    <n v="537"/>
    <n v="275"/>
    <n v="236238"/>
    <n v="5.87"/>
    <n v="26644"/>
    <n v="262"/>
    <x v="0"/>
    <x v="0"/>
  </r>
  <r>
    <x v="12"/>
    <s v="YouTube"/>
    <n v="1456"/>
    <n v="290"/>
    <n v="271044"/>
    <n v="7.17"/>
    <n v="13051"/>
    <n v="1166"/>
    <x v="0"/>
    <x v="0"/>
  </r>
  <r>
    <x v="13"/>
    <s v="Instagram"/>
    <n v="721"/>
    <n v="206"/>
    <n v="334887"/>
    <n v="6.05"/>
    <n v="14217"/>
    <n v="515"/>
    <x v="0"/>
    <x v="0"/>
  </r>
  <r>
    <x v="13"/>
    <s v="Twitter"/>
    <n v="1098"/>
    <n v="142"/>
    <n v="359150"/>
    <n v="7.51"/>
    <n v="16385"/>
    <n v="956"/>
    <x v="0"/>
    <x v="0"/>
  </r>
  <r>
    <x v="13"/>
    <s v="YouTube"/>
    <n v="1096"/>
    <n v="65"/>
    <n v="358295"/>
    <n v="7.66"/>
    <n v="24548"/>
    <n v="1031"/>
    <x v="0"/>
    <x v="0"/>
  </r>
  <r>
    <x v="14"/>
    <s v="Instagram"/>
    <n v="912"/>
    <n v="275"/>
    <n v="368454"/>
    <n v="6.03"/>
    <n v="9195"/>
    <n v="637"/>
    <x v="0"/>
    <x v="0"/>
  </r>
  <r>
    <x v="14"/>
    <s v="Twitter"/>
    <n v="1430"/>
    <n v="162"/>
    <n v="269082"/>
    <n v="3.4"/>
    <n v="18071"/>
    <n v="1268"/>
    <x v="0"/>
    <x v="0"/>
  </r>
  <r>
    <x v="14"/>
    <s v="YouTube"/>
    <n v="854"/>
    <n v="129"/>
    <n v="310903"/>
    <n v="7.83"/>
    <n v="16875"/>
    <n v="725"/>
    <x v="0"/>
    <x v="0"/>
  </r>
  <r>
    <x v="15"/>
    <s v="Instagram"/>
    <n v="681"/>
    <n v="210"/>
    <n v="248581"/>
    <n v="8.76"/>
    <n v="9567"/>
    <n v="471"/>
    <x v="0"/>
    <x v="0"/>
  </r>
  <r>
    <x v="15"/>
    <s v="Twitter"/>
    <n v="1373"/>
    <n v="82"/>
    <n v="371015"/>
    <n v="9.52"/>
    <n v="20306"/>
    <n v="1291"/>
    <x v="0"/>
    <x v="0"/>
  </r>
  <r>
    <x v="15"/>
    <s v="YouTube"/>
    <n v="685"/>
    <n v="285"/>
    <n v="177452"/>
    <n v="3.36"/>
    <n v="21134"/>
    <n v="400"/>
    <x v="0"/>
    <x v="0"/>
  </r>
  <r>
    <x v="16"/>
    <s v="Instagram"/>
    <n v="1290"/>
    <n v="177"/>
    <n v="80745"/>
    <n v="9.2200000000000006"/>
    <n v="26872"/>
    <n v="1113"/>
    <x v="0"/>
    <x v="0"/>
  </r>
  <r>
    <x v="16"/>
    <s v="Twitter"/>
    <n v="1437"/>
    <n v="239"/>
    <n v="362441"/>
    <n v="5.57"/>
    <n v="10253"/>
    <n v="1198"/>
    <x v="0"/>
    <x v="0"/>
  </r>
  <r>
    <x v="16"/>
    <s v="YouTube"/>
    <n v="769"/>
    <n v="295"/>
    <n v="344771"/>
    <n v="8.06"/>
    <n v="23963"/>
    <n v="474"/>
    <x v="0"/>
    <x v="0"/>
  </r>
  <r>
    <x v="17"/>
    <s v="Instagram"/>
    <n v="1416"/>
    <n v="284"/>
    <n v="374952"/>
    <n v="3.45"/>
    <n v="11335"/>
    <n v="1132"/>
    <x v="0"/>
    <x v="0"/>
  </r>
  <r>
    <x v="17"/>
    <s v="Twitter"/>
    <n v="998"/>
    <n v="154"/>
    <n v="179781"/>
    <n v="9.58"/>
    <n v="12115"/>
    <n v="844"/>
    <x v="0"/>
    <x v="0"/>
  </r>
  <r>
    <x v="17"/>
    <s v="YouTube"/>
    <n v="1421"/>
    <n v="246"/>
    <n v="358581"/>
    <n v="8.8800000000000008"/>
    <n v="24358"/>
    <n v="1175"/>
    <x v="0"/>
    <x v="0"/>
  </r>
  <r>
    <x v="18"/>
    <s v="Instagram"/>
    <n v="764"/>
    <n v="205"/>
    <n v="319294"/>
    <n v="6.23"/>
    <n v="12181"/>
    <n v="559"/>
    <x v="0"/>
    <x v="0"/>
  </r>
  <r>
    <x v="18"/>
    <s v="Twitter"/>
    <n v="678"/>
    <n v="124"/>
    <n v="192022"/>
    <n v="8.4499999999999993"/>
    <n v="17729"/>
    <n v="554"/>
    <x v="0"/>
    <x v="0"/>
  </r>
  <r>
    <x v="18"/>
    <s v="YouTube"/>
    <n v="1328"/>
    <n v="103"/>
    <n v="151462"/>
    <n v="8.4"/>
    <n v="10881"/>
    <n v="1225"/>
    <x v="0"/>
    <x v="0"/>
  </r>
  <r>
    <x v="19"/>
    <s v="Instagram"/>
    <n v="1161"/>
    <n v="269"/>
    <n v="188193"/>
    <n v="7.34"/>
    <n v="18576"/>
    <n v="892"/>
    <x v="0"/>
    <x v="0"/>
  </r>
  <r>
    <x v="19"/>
    <s v="Twitter"/>
    <n v="588"/>
    <n v="52"/>
    <n v="292040"/>
    <n v="8.14"/>
    <n v="9383"/>
    <n v="536"/>
    <x v="0"/>
    <x v="0"/>
  </r>
  <r>
    <x v="19"/>
    <s v="YouTube"/>
    <n v="1457"/>
    <n v="215"/>
    <n v="325325"/>
    <n v="9.58"/>
    <n v="14178"/>
    <n v="1242"/>
    <x v="0"/>
    <x v="0"/>
  </r>
  <r>
    <x v="20"/>
    <s v="Instagram"/>
    <n v="1190"/>
    <n v="242"/>
    <n v="86849"/>
    <n v="8.06"/>
    <n v="21254"/>
    <n v="948"/>
    <x v="0"/>
    <x v="0"/>
  </r>
  <r>
    <x v="20"/>
    <s v="Twitter"/>
    <n v="886"/>
    <n v="124"/>
    <n v="141161"/>
    <n v="8.19"/>
    <n v="14215"/>
    <n v="762"/>
    <x v="0"/>
    <x v="0"/>
  </r>
  <r>
    <x v="20"/>
    <s v="YouTube"/>
    <n v="1237"/>
    <n v="155"/>
    <n v="149916"/>
    <n v="4.4800000000000004"/>
    <n v="16921"/>
    <n v="1082"/>
    <x v="0"/>
    <x v="0"/>
  </r>
  <r>
    <x v="21"/>
    <s v="Instagram"/>
    <n v="1435"/>
    <n v="261"/>
    <n v="308533"/>
    <n v="4.5199999999999996"/>
    <n v="25130"/>
    <n v="1174"/>
    <x v="0"/>
    <x v="0"/>
  </r>
  <r>
    <x v="21"/>
    <s v="Twitter"/>
    <n v="746"/>
    <n v="282"/>
    <n v="293894"/>
    <n v="5.42"/>
    <n v="25537"/>
    <n v="464"/>
    <x v="0"/>
    <x v="0"/>
  </r>
  <r>
    <x v="21"/>
    <s v="YouTube"/>
    <n v="759"/>
    <n v="216"/>
    <n v="147656"/>
    <n v="4.08"/>
    <n v="24943"/>
    <n v="543"/>
    <x v="0"/>
    <x v="0"/>
  </r>
  <r>
    <x v="22"/>
    <s v="Instagram"/>
    <n v="1437"/>
    <n v="235"/>
    <n v="326791"/>
    <n v="4.0599999999999996"/>
    <n v="14563"/>
    <n v="1202"/>
    <x v="0"/>
    <x v="0"/>
  </r>
  <r>
    <x v="22"/>
    <s v="Twitter"/>
    <n v="1463"/>
    <n v="73"/>
    <n v="348877"/>
    <n v="9.91"/>
    <n v="26273"/>
    <n v="1390"/>
    <x v="0"/>
    <x v="0"/>
  </r>
  <r>
    <x v="22"/>
    <s v="YouTube"/>
    <n v="1208"/>
    <n v="224"/>
    <n v="122730"/>
    <n v="8.7200000000000006"/>
    <n v="10858"/>
    <n v="984"/>
    <x v="0"/>
    <x v="0"/>
  </r>
  <r>
    <x v="23"/>
    <s v="Instagram"/>
    <n v="1391"/>
    <n v="187"/>
    <n v="306508"/>
    <n v="8.3800000000000008"/>
    <n v="25038"/>
    <n v="1204"/>
    <x v="0"/>
    <x v="0"/>
  </r>
  <r>
    <x v="23"/>
    <s v="Twitter"/>
    <n v="655"/>
    <n v="123"/>
    <n v="202472"/>
    <n v="7.56"/>
    <n v="9092"/>
    <n v="532"/>
    <x v="0"/>
    <x v="0"/>
  </r>
  <r>
    <x v="23"/>
    <s v="YouTube"/>
    <n v="1148"/>
    <n v="90"/>
    <n v="227249"/>
    <n v="7.24"/>
    <n v="17662"/>
    <n v="1058"/>
    <x v="0"/>
    <x v="0"/>
  </r>
  <r>
    <x v="24"/>
    <s v="Instagram"/>
    <n v="946"/>
    <n v="270"/>
    <n v="246567"/>
    <n v="4.53"/>
    <n v="5924"/>
    <n v="676"/>
    <x v="0"/>
    <x v="0"/>
  </r>
  <r>
    <x v="24"/>
    <s v="Twitter"/>
    <n v="791"/>
    <n v="214"/>
    <n v="114738"/>
    <n v="6.62"/>
    <n v="25347"/>
    <n v="577"/>
    <x v="0"/>
    <x v="0"/>
  </r>
  <r>
    <x v="24"/>
    <s v="YouTube"/>
    <n v="793"/>
    <n v="111"/>
    <n v="333500"/>
    <n v="6.36"/>
    <n v="8910"/>
    <n v="682"/>
    <x v="0"/>
    <x v="0"/>
  </r>
  <r>
    <x v="25"/>
    <s v="Instagram"/>
    <n v="663"/>
    <n v="213"/>
    <n v="352677"/>
    <n v="9"/>
    <n v="20438"/>
    <n v="450"/>
    <x v="0"/>
    <x v="0"/>
  </r>
  <r>
    <x v="25"/>
    <s v="Twitter"/>
    <n v="954"/>
    <n v="271"/>
    <n v="160936"/>
    <n v="8.83"/>
    <n v="8760"/>
    <n v="683"/>
    <x v="0"/>
    <x v="0"/>
  </r>
  <r>
    <x v="25"/>
    <s v="YouTube"/>
    <n v="1313"/>
    <n v="159"/>
    <n v="197183"/>
    <n v="9.7100000000000009"/>
    <n v="6625"/>
    <n v="1154"/>
    <x v="0"/>
    <x v="0"/>
  </r>
  <r>
    <x v="26"/>
    <s v="Instagram"/>
    <n v="895"/>
    <n v="87"/>
    <n v="171271"/>
    <n v="6.68"/>
    <n v="23329"/>
    <n v="808"/>
    <x v="2"/>
    <x v="1"/>
  </r>
  <r>
    <x v="26"/>
    <s v="Twitter"/>
    <n v="1027"/>
    <n v="156"/>
    <n v="111293"/>
    <n v="5.51"/>
    <n v="7299"/>
    <n v="871"/>
    <x v="2"/>
    <x v="1"/>
  </r>
  <r>
    <x v="26"/>
    <s v="YouTube"/>
    <n v="990"/>
    <n v="286"/>
    <n v="351493"/>
    <n v="7.97"/>
    <n v="14496"/>
    <n v="704"/>
    <x v="2"/>
    <x v="1"/>
  </r>
  <r>
    <x v="27"/>
    <s v="Instagram"/>
    <n v="875"/>
    <n v="264"/>
    <n v="345631"/>
    <n v="9.18"/>
    <n v="25703"/>
    <n v="611"/>
    <x v="2"/>
    <x v="1"/>
  </r>
  <r>
    <x v="27"/>
    <s v="Twitter"/>
    <n v="599"/>
    <n v="194"/>
    <n v="105622"/>
    <n v="6.44"/>
    <n v="15108"/>
    <n v="405"/>
    <x v="2"/>
    <x v="1"/>
  </r>
  <r>
    <x v="27"/>
    <s v="YouTube"/>
    <n v="630"/>
    <n v="248"/>
    <n v="119054"/>
    <n v="5.0199999999999996"/>
    <n v="18867"/>
    <n v="382"/>
    <x v="2"/>
    <x v="1"/>
  </r>
  <r>
    <x v="28"/>
    <s v="Instagram"/>
    <n v="1350"/>
    <n v="233"/>
    <n v="171670"/>
    <n v="4.53"/>
    <n v="17574"/>
    <n v="1117"/>
    <x v="2"/>
    <x v="1"/>
  </r>
  <r>
    <x v="28"/>
    <s v="Twitter"/>
    <n v="632"/>
    <n v="155"/>
    <n v="170432"/>
    <n v="9.17"/>
    <n v="12840"/>
    <n v="477"/>
    <x v="2"/>
    <x v="1"/>
  </r>
  <r>
    <x v="28"/>
    <s v="YouTube"/>
    <n v="1182"/>
    <n v="83"/>
    <n v="140300"/>
    <n v="3.27"/>
    <n v="21079"/>
    <n v="1099"/>
    <x v="2"/>
    <x v="1"/>
  </r>
  <r>
    <x v="29"/>
    <s v="Instagram"/>
    <n v="661"/>
    <n v="94"/>
    <n v="116538"/>
    <n v="5.31"/>
    <n v="23486"/>
    <n v="567"/>
    <x v="2"/>
    <x v="1"/>
  </r>
  <r>
    <x v="29"/>
    <s v="Twitter"/>
    <n v="1360"/>
    <n v="227"/>
    <n v="176902"/>
    <n v="6.03"/>
    <n v="5960"/>
    <n v="1133"/>
    <x v="2"/>
    <x v="1"/>
  </r>
  <r>
    <x v="29"/>
    <s v="YouTube"/>
    <n v="935"/>
    <n v="85"/>
    <n v="326821"/>
    <n v="8.89"/>
    <n v="13301"/>
    <n v="850"/>
    <x v="2"/>
    <x v="1"/>
  </r>
  <r>
    <x v="30"/>
    <s v="Instagram"/>
    <n v="664"/>
    <n v="251"/>
    <n v="240598"/>
    <n v="4.79"/>
    <n v="10563"/>
    <n v="413"/>
    <x v="2"/>
    <x v="1"/>
  </r>
  <r>
    <x v="30"/>
    <s v="Twitter"/>
    <n v="1490"/>
    <n v="103"/>
    <n v="373274"/>
    <n v="4.8"/>
    <n v="19949"/>
    <n v="1387"/>
    <x v="2"/>
    <x v="1"/>
  </r>
  <r>
    <x v="30"/>
    <s v="YouTube"/>
    <n v="601"/>
    <n v="64"/>
    <n v="123272"/>
    <n v="4.07"/>
    <n v="14273"/>
    <n v="537"/>
    <x v="2"/>
    <x v="1"/>
  </r>
  <r>
    <x v="31"/>
    <s v="Instagram"/>
    <n v="613"/>
    <n v="170"/>
    <n v="139266"/>
    <n v="6.06"/>
    <n v="9247"/>
    <n v="443"/>
    <x v="0"/>
    <x v="0"/>
  </r>
  <r>
    <x v="31"/>
    <s v="Twitter"/>
    <n v="1340"/>
    <n v="57"/>
    <n v="155927"/>
    <n v="7.79"/>
    <n v="11972"/>
    <n v="1283"/>
    <x v="0"/>
    <x v="0"/>
  </r>
  <r>
    <x v="31"/>
    <s v="YouTube"/>
    <n v="953"/>
    <n v="228"/>
    <n v="258398"/>
    <n v="9.0500000000000007"/>
    <n v="13314"/>
    <n v="725"/>
    <x v="0"/>
    <x v="0"/>
  </r>
  <r>
    <x v="32"/>
    <s v="Instagram"/>
    <n v="532"/>
    <n v="65"/>
    <n v="338561"/>
    <n v="3.5"/>
    <n v="14749"/>
    <n v="467"/>
    <x v="3"/>
    <x v="1"/>
  </r>
  <r>
    <x v="32"/>
    <s v="Twitter"/>
    <n v="1414"/>
    <n v="60"/>
    <n v="341856"/>
    <n v="8.76"/>
    <n v="6868"/>
    <n v="1354"/>
    <x v="3"/>
    <x v="1"/>
  </r>
  <r>
    <x v="32"/>
    <s v="YouTube"/>
    <n v="685"/>
    <n v="165"/>
    <n v="175860"/>
    <n v="6.26"/>
    <n v="6027"/>
    <n v="520"/>
    <x v="3"/>
    <x v="1"/>
  </r>
  <r>
    <x v="33"/>
    <s v="Instagram"/>
    <n v="601"/>
    <n v="159"/>
    <n v="327722"/>
    <n v="3.33"/>
    <n v="25267"/>
    <n v="442"/>
    <x v="3"/>
    <x v="1"/>
  </r>
  <r>
    <x v="33"/>
    <s v="Twitter"/>
    <n v="841"/>
    <n v="295"/>
    <n v="271638"/>
    <n v="9.15"/>
    <n v="5900"/>
    <n v="546"/>
    <x v="3"/>
    <x v="1"/>
  </r>
  <r>
    <x v="33"/>
    <s v="YouTube"/>
    <n v="1105"/>
    <n v="261"/>
    <n v="333851"/>
    <n v="6.03"/>
    <n v="11181"/>
    <n v="844"/>
    <x v="3"/>
    <x v="1"/>
  </r>
  <r>
    <x v="34"/>
    <s v="Instagram"/>
    <n v="566"/>
    <n v="225"/>
    <n v="368984"/>
    <n v="9.82"/>
    <n v="9592"/>
    <n v="341"/>
    <x v="3"/>
    <x v="1"/>
  </r>
  <r>
    <x v="34"/>
    <s v="Twitter"/>
    <n v="1149"/>
    <n v="280"/>
    <n v="167310"/>
    <n v="3.7"/>
    <n v="5291"/>
    <n v="869"/>
    <x v="3"/>
    <x v="1"/>
  </r>
  <r>
    <x v="34"/>
    <s v="YouTube"/>
    <n v="819"/>
    <n v="101"/>
    <n v="194811"/>
    <n v="3.35"/>
    <n v="22244"/>
    <n v="718"/>
    <x v="3"/>
    <x v="1"/>
  </r>
  <r>
    <x v="35"/>
    <s v="Instagram"/>
    <n v="795"/>
    <n v="60"/>
    <n v="314982"/>
    <n v="7.31"/>
    <n v="6824"/>
    <n v="735"/>
    <x v="3"/>
    <x v="1"/>
  </r>
  <r>
    <x v="35"/>
    <s v="Twitter"/>
    <n v="681"/>
    <n v="158"/>
    <n v="75960"/>
    <n v="3.13"/>
    <n v="24112"/>
    <n v="523"/>
    <x v="3"/>
    <x v="1"/>
  </r>
  <r>
    <x v="35"/>
    <s v="YouTube"/>
    <n v="534"/>
    <n v="112"/>
    <n v="360759"/>
    <n v="4.8899999999999997"/>
    <n v="25478"/>
    <n v="422"/>
    <x v="3"/>
    <x v="1"/>
  </r>
  <r>
    <x v="36"/>
    <s v="Instagram"/>
    <n v="1066"/>
    <n v="151"/>
    <n v="297090"/>
    <n v="8.6300000000000008"/>
    <n v="11235"/>
    <n v="915"/>
    <x v="3"/>
    <x v="1"/>
  </r>
  <r>
    <x v="36"/>
    <s v="Twitter"/>
    <n v="1270"/>
    <n v="162"/>
    <n v="92040"/>
    <n v="8.0299999999999994"/>
    <n v="6120"/>
    <n v="1108"/>
    <x v="3"/>
    <x v="1"/>
  </r>
  <r>
    <x v="36"/>
    <s v="YouTube"/>
    <n v="536"/>
    <n v="198"/>
    <n v="174610"/>
    <n v="7.85"/>
    <n v="20572"/>
    <n v="338"/>
    <x v="3"/>
    <x v="1"/>
  </r>
  <r>
    <x v="37"/>
    <s v="Instagram"/>
    <n v="819"/>
    <n v="95"/>
    <n v="177376"/>
    <n v="6.12"/>
    <n v="14975"/>
    <n v="724"/>
    <x v="0"/>
    <x v="0"/>
  </r>
  <r>
    <x v="37"/>
    <s v="Twitter"/>
    <n v="681"/>
    <n v="218"/>
    <n v="198882"/>
    <n v="7.16"/>
    <n v="22234"/>
    <n v="463"/>
    <x v="0"/>
    <x v="0"/>
  </r>
  <r>
    <x v="37"/>
    <s v="YouTube"/>
    <n v="646"/>
    <n v="290"/>
    <n v="336383"/>
    <n v="7.04"/>
    <n v="6532"/>
    <n v="356"/>
    <x v="0"/>
    <x v="0"/>
  </r>
  <r>
    <x v="38"/>
    <s v="Instagram"/>
    <n v="645"/>
    <n v="267"/>
    <n v="346890"/>
    <n v="3.71"/>
    <n v="24858"/>
    <n v="378"/>
    <x v="0"/>
    <x v="0"/>
  </r>
  <r>
    <x v="38"/>
    <s v="Twitter"/>
    <n v="886"/>
    <n v="250"/>
    <n v="168170"/>
    <n v="4.12"/>
    <n v="13883"/>
    <n v="636"/>
    <x v="0"/>
    <x v="0"/>
  </r>
  <r>
    <x v="38"/>
    <s v="YouTube"/>
    <n v="978"/>
    <n v="279"/>
    <n v="368872"/>
    <n v="6.82"/>
    <n v="18654"/>
    <n v="699"/>
    <x v="0"/>
    <x v="0"/>
  </r>
  <r>
    <x v="39"/>
    <s v="Instagram"/>
    <n v="1444"/>
    <n v="165"/>
    <n v="116436"/>
    <n v="8.2200000000000006"/>
    <n v="25234"/>
    <n v="1279"/>
    <x v="4"/>
    <x v="1"/>
  </r>
  <r>
    <x v="39"/>
    <s v="Twitter"/>
    <n v="1234"/>
    <n v="228"/>
    <n v="127502"/>
    <n v="7.71"/>
    <n v="6772"/>
    <n v="1006"/>
    <x v="4"/>
    <x v="1"/>
  </r>
  <r>
    <x v="39"/>
    <s v="YouTube"/>
    <n v="665"/>
    <n v="187"/>
    <n v="274567"/>
    <n v="7.39"/>
    <n v="22428"/>
    <n v="478"/>
    <x v="4"/>
    <x v="1"/>
  </r>
  <r>
    <x v="40"/>
    <s v="Instagram"/>
    <n v="631"/>
    <n v="86"/>
    <n v="295090"/>
    <n v="7.89"/>
    <n v="11911"/>
    <n v="545"/>
    <x v="4"/>
    <x v="1"/>
  </r>
  <r>
    <x v="40"/>
    <s v="Twitter"/>
    <n v="1159"/>
    <n v="154"/>
    <n v="194994"/>
    <n v="6.39"/>
    <n v="21900"/>
    <n v="1005"/>
    <x v="4"/>
    <x v="1"/>
  </r>
  <r>
    <x v="40"/>
    <s v="YouTube"/>
    <n v="950"/>
    <n v="185"/>
    <n v="340750"/>
    <n v="6.77"/>
    <n v="25542"/>
    <n v="765"/>
    <x v="4"/>
    <x v="1"/>
  </r>
  <r>
    <x v="41"/>
    <s v="Instagram"/>
    <n v="693"/>
    <n v="129"/>
    <n v="296031"/>
    <n v="3.41"/>
    <n v="7140"/>
    <n v="564"/>
    <x v="4"/>
    <x v="1"/>
  </r>
  <r>
    <x v="41"/>
    <s v="Twitter"/>
    <n v="576"/>
    <n v="80"/>
    <n v="345688"/>
    <n v="4.1100000000000003"/>
    <n v="20474"/>
    <n v="496"/>
    <x v="4"/>
    <x v="1"/>
  </r>
  <r>
    <x v="41"/>
    <s v="YouTube"/>
    <n v="1274"/>
    <n v="146"/>
    <n v="263488"/>
    <n v="9.58"/>
    <n v="8698"/>
    <n v="1128"/>
    <x v="4"/>
    <x v="1"/>
  </r>
  <r>
    <x v="42"/>
    <s v="Instagram"/>
    <n v="818"/>
    <n v="253"/>
    <n v="184911"/>
    <n v="3.39"/>
    <n v="10402"/>
    <n v="565"/>
    <x v="4"/>
    <x v="1"/>
  </r>
  <r>
    <x v="42"/>
    <s v="Twitter"/>
    <n v="975"/>
    <n v="162"/>
    <n v="124497"/>
    <n v="9.58"/>
    <n v="26618"/>
    <n v="813"/>
    <x v="4"/>
    <x v="1"/>
  </r>
  <r>
    <x v="42"/>
    <s v="YouTube"/>
    <n v="1398"/>
    <n v="97"/>
    <n v="397607"/>
    <n v="5.09"/>
    <n v="7975"/>
    <n v="1301"/>
    <x v="4"/>
    <x v="1"/>
  </r>
  <r>
    <x v="43"/>
    <s v="Instagram"/>
    <n v="591"/>
    <n v="155"/>
    <n v="138521"/>
    <n v="7.85"/>
    <n v="19054"/>
    <n v="436"/>
    <x v="4"/>
    <x v="1"/>
  </r>
  <r>
    <x v="43"/>
    <s v="Twitter"/>
    <n v="1232"/>
    <n v="254"/>
    <n v="107718"/>
    <n v="9.7100000000000009"/>
    <n v="13740"/>
    <n v="978"/>
    <x v="4"/>
    <x v="1"/>
  </r>
  <r>
    <x v="43"/>
    <s v="YouTube"/>
    <n v="1425"/>
    <n v="58"/>
    <n v="202234"/>
    <n v="6.67"/>
    <n v="18442"/>
    <n v="1367"/>
    <x v="4"/>
    <x v="1"/>
  </r>
  <r>
    <x v="44"/>
    <s v="Instagram"/>
    <n v="1417"/>
    <n v="80"/>
    <n v="340987"/>
    <n v="6.13"/>
    <n v="10104"/>
    <n v="1337"/>
    <x v="0"/>
    <x v="0"/>
  </r>
  <r>
    <x v="44"/>
    <s v="Twitter"/>
    <n v="1222"/>
    <n v="208"/>
    <n v="340098"/>
    <n v="7.34"/>
    <n v="21771"/>
    <n v="1014"/>
    <x v="0"/>
    <x v="0"/>
  </r>
  <r>
    <x v="44"/>
    <s v="YouTube"/>
    <n v="1071"/>
    <n v="131"/>
    <n v="254727"/>
    <n v="6.87"/>
    <n v="22191"/>
    <n v="940"/>
    <x v="0"/>
    <x v="0"/>
  </r>
  <r>
    <x v="45"/>
    <s v="Instagram"/>
    <n v="772"/>
    <n v="82"/>
    <n v="345659"/>
    <n v="3.52"/>
    <n v="27753"/>
    <n v="690"/>
    <x v="0"/>
    <x v="0"/>
  </r>
  <r>
    <x v="45"/>
    <s v="Twitter"/>
    <n v="1472"/>
    <n v="137"/>
    <n v="213950"/>
    <n v="6.96"/>
    <n v="23736"/>
    <n v="1335"/>
    <x v="0"/>
    <x v="0"/>
  </r>
  <r>
    <x v="45"/>
    <s v="YouTube"/>
    <n v="1472"/>
    <n v="281"/>
    <n v="258115"/>
    <n v="7.23"/>
    <n v="27393"/>
    <n v="1191"/>
    <x v="0"/>
    <x v="0"/>
  </r>
  <r>
    <x v="46"/>
    <s v="Instagram"/>
    <n v="585"/>
    <n v="232"/>
    <n v="321258"/>
    <n v="7.42"/>
    <n v="10343"/>
    <n v="353"/>
    <x v="0"/>
    <x v="0"/>
  </r>
  <r>
    <x v="46"/>
    <s v="Twitter"/>
    <n v="747"/>
    <n v="261"/>
    <n v="338650"/>
    <n v="7.73"/>
    <n v="25259"/>
    <n v="486"/>
    <x v="0"/>
    <x v="0"/>
  </r>
  <r>
    <x v="46"/>
    <s v="YouTube"/>
    <n v="1113"/>
    <n v="224"/>
    <n v="272989"/>
    <n v="5.13"/>
    <n v="24827"/>
    <n v="889"/>
    <x v="0"/>
    <x v="0"/>
  </r>
  <r>
    <x v="47"/>
    <s v="Instagram"/>
    <n v="1100"/>
    <n v="117"/>
    <n v="260204"/>
    <n v="4.4000000000000004"/>
    <n v="11908"/>
    <n v="983"/>
    <x v="0"/>
    <x v="0"/>
  </r>
  <r>
    <x v="47"/>
    <s v="Twitter"/>
    <n v="751"/>
    <n v="170"/>
    <n v="283278"/>
    <n v="3.49"/>
    <n v="11005"/>
    <n v="581"/>
    <x v="0"/>
    <x v="0"/>
  </r>
  <r>
    <x v="47"/>
    <s v="YouTube"/>
    <n v="864"/>
    <n v="50"/>
    <n v="277445"/>
    <n v="3.57"/>
    <n v="26333"/>
    <n v="814"/>
    <x v="0"/>
    <x v="0"/>
  </r>
  <r>
    <x v="48"/>
    <s v="Instagram"/>
    <n v="1146"/>
    <n v="227"/>
    <n v="353781"/>
    <n v="6.41"/>
    <n v="5495"/>
    <n v="919"/>
    <x v="0"/>
    <x v="0"/>
  </r>
  <r>
    <x v="48"/>
    <s v="Twitter"/>
    <n v="883"/>
    <n v="207"/>
    <n v="265019"/>
    <n v="6.04"/>
    <n v="15655"/>
    <n v="676"/>
    <x v="0"/>
    <x v="0"/>
  </r>
  <r>
    <x v="48"/>
    <s v="YouTube"/>
    <n v="622"/>
    <n v="163"/>
    <n v="231925"/>
    <n v="9.18"/>
    <n v="13763"/>
    <n v="459"/>
    <x v="0"/>
    <x v="0"/>
  </r>
  <r>
    <x v="49"/>
    <s v="Instagram"/>
    <n v="837"/>
    <n v="261"/>
    <n v="366149"/>
    <n v="6.54"/>
    <n v="26073"/>
    <n v="576"/>
    <x v="0"/>
    <x v="0"/>
  </r>
  <r>
    <x v="49"/>
    <s v="Twitter"/>
    <n v="544"/>
    <n v="97"/>
    <n v="168375"/>
    <n v="8.66"/>
    <n v="12774"/>
    <n v="447"/>
    <x v="0"/>
    <x v="0"/>
  </r>
  <r>
    <x v="49"/>
    <s v="YouTube"/>
    <n v="624"/>
    <n v="247"/>
    <n v="252763"/>
    <n v="3.89"/>
    <n v="19000"/>
    <n v="377"/>
    <x v="0"/>
    <x v="0"/>
  </r>
  <r>
    <x v="50"/>
    <s v="Instagram"/>
    <n v="1073"/>
    <n v="141"/>
    <n v="118393"/>
    <n v="7.95"/>
    <n v="14051"/>
    <n v="932"/>
    <x v="0"/>
    <x v="0"/>
  </r>
  <r>
    <x v="50"/>
    <s v="Twitter"/>
    <n v="1430"/>
    <n v="74"/>
    <n v="327012"/>
    <n v="6.66"/>
    <n v="27782"/>
    <n v="1356"/>
    <x v="0"/>
    <x v="0"/>
  </r>
  <r>
    <x v="50"/>
    <s v="YouTube"/>
    <n v="1358"/>
    <n v="77"/>
    <n v="169688"/>
    <n v="5.25"/>
    <n v="7859"/>
    <n v="1281"/>
    <x v="0"/>
    <x v="0"/>
  </r>
  <r>
    <x v="51"/>
    <s v="Instagram"/>
    <n v="1242"/>
    <n v="201"/>
    <n v="271935"/>
    <n v="5.07"/>
    <n v="15773"/>
    <n v="1041"/>
    <x v="0"/>
    <x v="0"/>
  </r>
  <r>
    <x v="51"/>
    <s v="Twitter"/>
    <n v="1389"/>
    <n v="205"/>
    <n v="315981"/>
    <n v="7.62"/>
    <n v="20595"/>
    <n v="1184"/>
    <x v="0"/>
    <x v="0"/>
  </r>
  <r>
    <x v="51"/>
    <s v="YouTube"/>
    <n v="826"/>
    <n v="142"/>
    <n v="341016"/>
    <n v="7.44"/>
    <n v="12031"/>
    <n v="684"/>
    <x v="0"/>
    <x v="0"/>
  </r>
  <r>
    <x v="52"/>
    <s v="Instagram"/>
    <n v="618"/>
    <n v="264"/>
    <n v="285164"/>
    <n v="4.8600000000000003"/>
    <n v="15128"/>
    <n v="354"/>
    <x v="0"/>
    <x v="0"/>
  </r>
  <r>
    <x v="52"/>
    <s v="Twitter"/>
    <n v="1419"/>
    <n v="293"/>
    <n v="116632"/>
    <n v="6.93"/>
    <n v="11826"/>
    <n v="1126"/>
    <x v="0"/>
    <x v="0"/>
  </r>
  <r>
    <x v="52"/>
    <s v="YouTube"/>
    <n v="637"/>
    <n v="68"/>
    <n v="115694"/>
    <n v="9.99"/>
    <n v="12562"/>
    <n v="569"/>
    <x v="0"/>
    <x v="0"/>
  </r>
  <r>
    <x v="53"/>
    <s v="Instagram"/>
    <n v="917"/>
    <n v="187"/>
    <n v="64444"/>
    <n v="5.22"/>
    <n v="13013"/>
    <n v="730"/>
    <x v="0"/>
    <x v="0"/>
  </r>
  <r>
    <x v="53"/>
    <s v="Twitter"/>
    <n v="810"/>
    <n v="232"/>
    <n v="362559"/>
    <n v="5.17"/>
    <n v="12937"/>
    <n v="578"/>
    <x v="0"/>
    <x v="0"/>
  </r>
  <r>
    <x v="53"/>
    <s v="YouTube"/>
    <n v="1183"/>
    <n v="248"/>
    <n v="226881"/>
    <n v="5.17"/>
    <n v="14534"/>
    <n v="935"/>
    <x v="0"/>
    <x v="0"/>
  </r>
  <r>
    <x v="54"/>
    <s v="Instagram"/>
    <n v="765"/>
    <n v="67"/>
    <n v="283537"/>
    <n v="6.18"/>
    <n v="8182"/>
    <n v="698"/>
    <x v="0"/>
    <x v="0"/>
  </r>
  <r>
    <x v="54"/>
    <s v="Twitter"/>
    <n v="540"/>
    <n v="215"/>
    <n v="62837"/>
    <n v="5.3"/>
    <n v="10615"/>
    <n v="325"/>
    <x v="0"/>
    <x v="0"/>
  </r>
  <r>
    <x v="54"/>
    <s v="YouTube"/>
    <n v="1145"/>
    <n v="151"/>
    <n v="182759"/>
    <n v="5.99"/>
    <n v="20109"/>
    <n v="994"/>
    <x v="0"/>
    <x v="0"/>
  </r>
  <r>
    <x v="55"/>
    <s v="Instagram"/>
    <n v="564"/>
    <n v="244"/>
    <n v="279405"/>
    <n v="8.43"/>
    <n v="26024"/>
    <n v="320"/>
    <x v="0"/>
    <x v="0"/>
  </r>
  <r>
    <x v="55"/>
    <s v="Twitter"/>
    <n v="668"/>
    <n v="124"/>
    <n v="257485"/>
    <n v="7.55"/>
    <n v="26730"/>
    <n v="544"/>
    <x v="0"/>
    <x v="0"/>
  </r>
  <r>
    <x v="55"/>
    <s v="YouTube"/>
    <n v="761"/>
    <n v="241"/>
    <n v="154977"/>
    <n v="5.63"/>
    <n v="10563"/>
    <n v="520"/>
    <x v="0"/>
    <x v="0"/>
  </r>
  <r>
    <x v="56"/>
    <s v="Instagram"/>
    <n v="593"/>
    <n v="108"/>
    <n v="216500"/>
    <n v="4.71"/>
    <n v="27575"/>
    <n v="485"/>
    <x v="0"/>
    <x v="0"/>
  </r>
  <r>
    <x v="56"/>
    <s v="Twitter"/>
    <n v="1349"/>
    <n v="115"/>
    <n v="102102"/>
    <n v="5.28"/>
    <n v="14479"/>
    <n v="1234"/>
    <x v="0"/>
    <x v="0"/>
  </r>
  <r>
    <x v="56"/>
    <s v="YouTube"/>
    <n v="693"/>
    <n v="97"/>
    <n v="92025"/>
    <n v="5.95"/>
    <n v="15915"/>
    <n v="596"/>
    <x v="0"/>
    <x v="0"/>
  </r>
  <r>
    <x v="57"/>
    <s v="Instagram"/>
    <n v="974"/>
    <n v="143"/>
    <n v="247965"/>
    <n v="9.98"/>
    <n v="12767"/>
    <n v="831"/>
    <x v="0"/>
    <x v="0"/>
  </r>
  <r>
    <x v="57"/>
    <s v="Twitter"/>
    <n v="1155"/>
    <n v="122"/>
    <n v="387352"/>
    <n v="9.93"/>
    <n v="12170"/>
    <n v="1033"/>
    <x v="0"/>
    <x v="0"/>
  </r>
  <r>
    <x v="57"/>
    <s v="YouTube"/>
    <n v="1051"/>
    <n v="246"/>
    <n v="253985"/>
    <n v="9.08"/>
    <n v="7245"/>
    <n v="805"/>
    <x v="0"/>
    <x v="0"/>
  </r>
  <r>
    <x v="58"/>
    <s v="Instagram"/>
    <n v="1457"/>
    <n v="183"/>
    <n v="129640"/>
    <n v="7.98"/>
    <n v="12985"/>
    <n v="1274"/>
    <x v="0"/>
    <x v="0"/>
  </r>
  <r>
    <x v="58"/>
    <s v="Twitter"/>
    <n v="670"/>
    <n v="242"/>
    <n v="281913"/>
    <n v="9.6199999999999992"/>
    <n v="16377"/>
    <n v="428"/>
    <x v="0"/>
    <x v="0"/>
  </r>
  <r>
    <x v="58"/>
    <s v="YouTube"/>
    <n v="1111"/>
    <n v="159"/>
    <n v="360770"/>
    <n v="8.7100000000000009"/>
    <n v="11453"/>
    <n v="952"/>
    <x v="0"/>
    <x v="0"/>
  </r>
  <r>
    <x v="59"/>
    <s v="Instagram"/>
    <n v="1197"/>
    <n v="246"/>
    <n v="127273"/>
    <n v="6.69"/>
    <n v="12323"/>
    <n v="951"/>
    <x v="0"/>
    <x v="0"/>
  </r>
  <r>
    <x v="59"/>
    <s v="Twitter"/>
    <n v="754"/>
    <n v="150"/>
    <n v="189622"/>
    <n v="4.25"/>
    <n v="11911"/>
    <n v="604"/>
    <x v="0"/>
    <x v="0"/>
  </r>
  <r>
    <x v="59"/>
    <s v="YouTube"/>
    <n v="1246"/>
    <n v="107"/>
    <n v="350949"/>
    <n v="4.9800000000000004"/>
    <n v="27809"/>
    <n v="1139"/>
    <x v="0"/>
    <x v="0"/>
  </r>
  <r>
    <x v="60"/>
    <s v="Instagram"/>
    <n v="780"/>
    <n v="213"/>
    <n v="121431"/>
    <n v="4.97"/>
    <n v="21464"/>
    <n v="567"/>
    <x v="0"/>
    <x v="0"/>
  </r>
  <r>
    <x v="60"/>
    <s v="Twitter"/>
    <n v="1425"/>
    <n v="143"/>
    <n v="116742"/>
    <n v="3.71"/>
    <n v="27126"/>
    <n v="1282"/>
    <x v="0"/>
    <x v="0"/>
  </r>
  <r>
    <x v="60"/>
    <s v="YouTube"/>
    <n v="1490"/>
    <n v="103"/>
    <n v="81184"/>
    <n v="7.79"/>
    <n v="10681"/>
    <n v="1387"/>
    <x v="0"/>
    <x v="0"/>
  </r>
  <r>
    <x v="61"/>
    <s v="Instagram"/>
    <n v="949"/>
    <n v="282"/>
    <n v="87126"/>
    <n v="4.96"/>
    <n v="5413"/>
    <n v="667"/>
    <x v="0"/>
    <x v="0"/>
  </r>
  <r>
    <x v="61"/>
    <s v="Twitter"/>
    <n v="640"/>
    <n v="141"/>
    <n v="267546"/>
    <n v="8.58"/>
    <n v="25058"/>
    <n v="499"/>
    <x v="0"/>
    <x v="0"/>
  </r>
  <r>
    <x v="61"/>
    <s v="YouTube"/>
    <n v="616"/>
    <n v="93"/>
    <n v="133082"/>
    <n v="8.51"/>
    <n v="18303"/>
    <n v="523"/>
    <x v="0"/>
    <x v="0"/>
  </r>
  <r>
    <x v="62"/>
    <s v="Instagram"/>
    <n v="1080"/>
    <n v="184"/>
    <n v="340557"/>
    <n v="5.41"/>
    <n v="5526"/>
    <n v="896"/>
    <x v="0"/>
    <x v="0"/>
  </r>
  <r>
    <x v="62"/>
    <s v="Twitter"/>
    <n v="938"/>
    <n v="236"/>
    <n v="116472"/>
    <n v="8.7200000000000006"/>
    <n v="17460"/>
    <n v="702"/>
    <x v="0"/>
    <x v="0"/>
  </r>
  <r>
    <x v="62"/>
    <s v="YouTube"/>
    <n v="1007"/>
    <n v="258"/>
    <n v="113412"/>
    <n v="7.71"/>
    <n v="14475"/>
    <n v="749"/>
    <x v="0"/>
    <x v="0"/>
  </r>
  <r>
    <x v="63"/>
    <s v="Instagram"/>
    <n v="541"/>
    <n v="208"/>
    <n v="157547"/>
    <n v="8.35"/>
    <n v="20162"/>
    <n v="333"/>
    <x v="0"/>
    <x v="0"/>
  </r>
  <r>
    <x v="63"/>
    <s v="Twitter"/>
    <n v="745"/>
    <n v="98"/>
    <n v="354816"/>
    <n v="4.03"/>
    <n v="17103"/>
    <n v="647"/>
    <x v="0"/>
    <x v="0"/>
  </r>
  <r>
    <x v="63"/>
    <s v="YouTube"/>
    <n v="936"/>
    <n v="97"/>
    <n v="151799"/>
    <n v="9.3699999999999992"/>
    <n v="15461"/>
    <n v="839"/>
    <x v="0"/>
    <x v="0"/>
  </r>
  <r>
    <x v="64"/>
    <s v="Instagram"/>
    <n v="1183"/>
    <n v="223"/>
    <n v="143811"/>
    <n v="6.07"/>
    <n v="22103"/>
    <n v="960"/>
    <x v="0"/>
    <x v="0"/>
  </r>
  <r>
    <x v="64"/>
    <s v="Twitter"/>
    <n v="1413"/>
    <n v="245"/>
    <n v="296450"/>
    <n v="6.52"/>
    <n v="11625"/>
    <n v="1168"/>
    <x v="0"/>
    <x v="0"/>
  </r>
  <r>
    <x v="64"/>
    <s v="YouTube"/>
    <n v="791"/>
    <n v="273"/>
    <n v="144049"/>
    <n v="3.08"/>
    <n v="5281"/>
    <n v="518"/>
    <x v="0"/>
    <x v="0"/>
  </r>
  <r>
    <x v="65"/>
    <s v="Instagram"/>
    <n v="1052"/>
    <n v="180"/>
    <n v="272534"/>
    <n v="5.34"/>
    <n v="13424"/>
    <n v="872"/>
    <x v="0"/>
    <x v="0"/>
  </r>
  <r>
    <x v="65"/>
    <s v="Twitter"/>
    <n v="572"/>
    <n v="270"/>
    <n v="82265"/>
    <n v="3.65"/>
    <n v="13140"/>
    <n v="302"/>
    <x v="0"/>
    <x v="0"/>
  </r>
  <r>
    <x v="65"/>
    <s v="YouTube"/>
    <n v="503"/>
    <n v="253"/>
    <n v="313562"/>
    <n v="4.18"/>
    <n v="19538"/>
    <n v="250"/>
    <x v="0"/>
    <x v="0"/>
  </r>
  <r>
    <x v="66"/>
    <s v="Instagram"/>
    <n v="1017"/>
    <n v="197"/>
    <n v="89918"/>
    <n v="3.91"/>
    <n v="7881"/>
    <n v="820"/>
    <x v="0"/>
    <x v="0"/>
  </r>
  <r>
    <x v="66"/>
    <s v="Twitter"/>
    <n v="860"/>
    <n v="244"/>
    <n v="348686"/>
    <n v="5.12"/>
    <n v="11418"/>
    <n v="616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0BC2C-CE68-4DC4-8C01-BF49658CD860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Week Start Date">
  <location ref="F4:G71" firstHeaderRow="1" firstDataRow="1" firstDataCol="1"/>
  <pivotFields count="13">
    <pivotField axis="axisRow"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</rowItems>
  <colItems count="1">
    <i/>
  </colItems>
  <dataFields count="1">
    <dataField name=" Net follower growth" fld="7" baseField="0" baseItem="0"/>
  </dataFields>
  <formats count="10"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6">
      <pivotArea dataOnly="0" labelOnly="1" outline="0" axis="axisValues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F2AA1-28AC-4563-9CE2-83F41192C9D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_Start_Date">
  <location ref="A4:B72" firstHeaderRow="1" firstDataRow="1" firstDataCol="1"/>
  <pivotFields count="13">
    <pivotField axis="axisRow" numFmtId="14" showAll="0" sortType="de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8">
    <i>
      <x v="22"/>
    </i>
    <i>
      <x v="50"/>
    </i>
    <i>
      <x/>
    </i>
    <i>
      <x v="44"/>
    </i>
    <i>
      <x v="60"/>
    </i>
    <i>
      <x v="45"/>
    </i>
    <i>
      <x v="2"/>
    </i>
    <i>
      <x v="5"/>
    </i>
    <i>
      <x v="17"/>
    </i>
    <i>
      <x v="10"/>
    </i>
    <i>
      <x v="51"/>
    </i>
    <i>
      <x v="23"/>
    </i>
    <i>
      <x v="20"/>
    </i>
    <i>
      <x v="16"/>
    </i>
    <i>
      <x v="43"/>
    </i>
    <i>
      <x v="1"/>
    </i>
    <i>
      <x v="39"/>
    </i>
    <i>
      <x v="59"/>
    </i>
    <i>
      <x v="9"/>
    </i>
    <i>
      <x v="28"/>
    </i>
    <i>
      <x v="42"/>
    </i>
    <i>
      <x v="19"/>
    </i>
    <i>
      <x v="57"/>
    </i>
    <i>
      <x v="58"/>
    </i>
    <i>
      <x v="64"/>
    </i>
    <i>
      <x v="14"/>
    </i>
    <i>
      <x v="29"/>
    </i>
    <i>
      <x v="13"/>
    </i>
    <i>
      <x v="31"/>
    </i>
    <i>
      <x v="12"/>
    </i>
    <i>
      <x v="3"/>
    </i>
    <i>
      <x v="4"/>
    </i>
    <i>
      <x v="26"/>
    </i>
    <i>
      <x v="47"/>
    </i>
    <i>
      <x v="6"/>
    </i>
    <i>
      <x v="36"/>
    </i>
    <i>
      <x v="62"/>
    </i>
    <i>
      <x v="32"/>
    </i>
    <i>
      <x v="18"/>
    </i>
    <i>
      <x v="30"/>
    </i>
    <i>
      <x v="40"/>
    </i>
    <i>
      <x v="56"/>
    </i>
    <i>
      <x v="11"/>
    </i>
    <i>
      <x v="25"/>
    </i>
    <i>
      <x v="7"/>
    </i>
    <i>
      <x v="53"/>
    </i>
    <i>
      <x v="41"/>
    </i>
    <i>
      <x v="21"/>
    </i>
    <i>
      <x v="15"/>
    </i>
    <i>
      <x v="8"/>
    </i>
    <i>
      <x v="48"/>
    </i>
    <i>
      <x v="52"/>
    </i>
    <i>
      <x v="54"/>
    </i>
    <i>
      <x v="24"/>
    </i>
    <i>
      <x v="34"/>
    </i>
    <i>
      <x v="33"/>
    </i>
    <i>
      <x v="63"/>
    </i>
    <i>
      <x v="46"/>
    </i>
    <i>
      <x v="38"/>
    </i>
    <i>
      <x v="61"/>
    </i>
    <i>
      <x v="35"/>
    </i>
    <i>
      <x v="37"/>
    </i>
    <i>
      <x v="66"/>
    </i>
    <i>
      <x v="65"/>
    </i>
    <i>
      <x v="49"/>
    </i>
    <i>
      <x v="27"/>
    </i>
    <i>
      <x v="55"/>
    </i>
    <i t="grand">
      <x/>
    </i>
  </rowItems>
  <colItems count="1">
    <i/>
  </colItems>
  <dataFields count="1">
    <dataField name="Sum of Net follower growth" fld="7" baseField="0" baseItem="0"/>
  </dataFields>
  <formats count="11">
    <format dxfId="24">
      <pivotArea field="0" type="button" dataOnly="0" labelOnly="1" outline="0" axis="axisRow" fieldPosition="0"/>
    </format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6"/>
            <x v="39"/>
            <x v="40"/>
            <x v="41"/>
            <x v="42"/>
            <x v="43"/>
            <x v="44"/>
            <x v="45"/>
            <x v="47"/>
            <x v="50"/>
            <x v="51"/>
            <x v="53"/>
            <x v="56"/>
            <x v="57"/>
            <x v="58"/>
            <x v="59"/>
            <x v="60"/>
            <x v="62"/>
            <x v="64"/>
          </reference>
        </references>
      </pivotArea>
    </format>
    <format dxfId="18">
      <pivotArea dataOnly="0" labelOnly="1" fieldPosition="0">
        <references count="1">
          <reference field="0" count="17">
            <x v="24"/>
            <x v="27"/>
            <x v="33"/>
            <x v="34"/>
            <x v="35"/>
            <x v="37"/>
            <x v="38"/>
            <x v="46"/>
            <x v="48"/>
            <x v="49"/>
            <x v="52"/>
            <x v="54"/>
            <x v="55"/>
            <x v="61"/>
            <x v="63"/>
            <x v="65"/>
            <x v="66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7231EF-BA4F-4EDC-A2BF-2322706572F3}" autoFormatId="16" applyNumberFormats="0" applyBorderFormats="0" applyFontFormats="0" applyPatternFormats="0" applyAlignmentFormats="0" applyWidthHeightFormats="0">
  <queryTableRefresh nextId="14" unboundColumnsRight="1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12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78BF1-4567-44FF-B9A5-CBBBD349BD49}" name="Engagement_Summary6810" displayName="Engagement_Summary6810" ref="A1:H201" tableType="queryTable" totalsRowShown="0">
  <autoFilter ref="A1:H201" xr:uid="{03962E43-3208-4A69-BA0D-5F0BD528EF2D}"/>
  <tableColumns count="8">
    <tableColumn id="1" xr3:uid="{A042F819-FBE8-4BD3-A7A3-6EF02D030F18}" uniqueName="1" name="Week_Start_Date" queryTableFieldId="1" dataDxfId="3"/>
    <tableColumn id="2" xr3:uid="{7D573BBB-C377-4415-83E9-4AA572F55DF7}" uniqueName="2" name="Platform" queryTableFieldId="2" dataDxfId="2"/>
    <tableColumn id="3" xr3:uid="{8619351D-15BA-4D11-A468-5E0AC4046928}" uniqueName="3" name="New_Followers" queryTableFieldId="3"/>
    <tableColumn id="4" xr3:uid="{911A076B-9963-4F85-AA88-B9A1A2597F83}" uniqueName="4" name="Unfollows" queryTableFieldId="4"/>
    <tableColumn id="5" xr3:uid="{16063737-DDF9-4845-8A90-D46289107C62}" uniqueName="5" name="Total_Followers" queryTableFieldId="5"/>
    <tableColumn id="6" xr3:uid="{98EFB9A1-8279-44D3-8DAB-9BAA3046E9F9}" uniqueName="6" name="Engagement_Rate" queryTableFieldId="6"/>
    <tableColumn id="7" xr3:uid="{618BFE76-AE94-4109-A8A7-C24D52582963}" uniqueName="7" name="Ad_Spend" queryTableFieldId="7"/>
    <tableColumn id="11" xr3:uid="{1F384B53-8A94-4D73-A9B8-43C7BC15295E}" uniqueName="11" name="Net follower growth" queryTableFieldId="12" dataDxfId="1">
      <calculatedColumnFormula>Engagement_Summary6810[[#This Row],[New_Followers]]-Engagement_Summary6810[[#This Row],[Unfollows]]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7728-BD4B-42CA-9AFF-10A3FA8D0669}">
  <dimension ref="A1:Z72"/>
  <sheetViews>
    <sheetView tabSelected="1" zoomScaleNormal="100" workbookViewId="0">
      <selection activeCell="AB7" sqref="AB7"/>
    </sheetView>
  </sheetViews>
  <sheetFormatPr defaultRowHeight="14.4" x14ac:dyDescent="0.3"/>
  <cols>
    <col min="1" max="1" width="16.77734375" customWidth="1"/>
    <col min="2" max="2" width="23.88671875" customWidth="1"/>
    <col min="3" max="3" width="6.88671875" customWidth="1"/>
    <col min="4" max="5" width="8.6640625" customWidth="1"/>
    <col min="6" max="6" width="12.33203125" customWidth="1"/>
    <col min="7" max="7" width="17.33203125" customWidth="1"/>
    <col min="8" max="8" width="15.5546875" customWidth="1"/>
    <col min="17" max="17" width="8.88671875" customWidth="1"/>
  </cols>
  <sheetData>
    <row r="1" spans="1:26" ht="25.8" x14ac:dyDescent="0.3">
      <c r="D1" s="9" t="s">
        <v>18</v>
      </c>
      <c r="E1" s="9"/>
      <c r="F1" s="9"/>
      <c r="G1" s="9"/>
      <c r="H1" s="9"/>
      <c r="I1" s="9"/>
      <c r="J1" s="9"/>
      <c r="K1" s="9"/>
    </row>
    <row r="3" spans="1:26" x14ac:dyDescent="0.3">
      <c r="A3" s="8" t="s">
        <v>0</v>
      </c>
      <c r="B3" s="8"/>
      <c r="F3" s="8" t="s">
        <v>1</v>
      </c>
      <c r="G3" s="8"/>
      <c r="H3" s="8"/>
      <c r="S3" s="8" t="s">
        <v>2</v>
      </c>
      <c r="T3" s="8"/>
      <c r="U3" s="8"/>
      <c r="V3" s="8"/>
      <c r="W3" s="8"/>
      <c r="X3" s="8"/>
      <c r="Y3" s="8"/>
      <c r="Z3" s="8"/>
    </row>
    <row r="4" spans="1:26" x14ac:dyDescent="0.3">
      <c r="A4" s="1" t="s">
        <v>6</v>
      </c>
      <c r="B4" s="1" t="s">
        <v>3</v>
      </c>
      <c r="F4" s="1" t="s">
        <v>17</v>
      </c>
      <c r="G4" s="1" t="s">
        <v>4</v>
      </c>
      <c r="H4" s="2"/>
      <c r="U4">
        <f>CORREL(Engagement_Summary6810[Ad_Spend],Engagement_Summary6810[Net follower growth])</f>
        <v>-1.6915989818837338E-2</v>
      </c>
    </row>
    <row r="5" spans="1:26" x14ac:dyDescent="0.3">
      <c r="A5" s="3">
        <v>45600</v>
      </c>
      <c r="B5" s="4">
        <v>3576</v>
      </c>
      <c r="F5" s="3">
        <v>45446</v>
      </c>
      <c r="G5" s="4">
        <v>3419</v>
      </c>
    </row>
    <row r="6" spans="1:26" x14ac:dyDescent="0.3">
      <c r="A6" s="3">
        <v>45796</v>
      </c>
      <c r="B6" s="4">
        <v>3569</v>
      </c>
      <c r="F6" s="3">
        <v>45453</v>
      </c>
      <c r="G6" s="4">
        <v>2777</v>
      </c>
    </row>
    <row r="7" spans="1:26" x14ac:dyDescent="0.3">
      <c r="A7" s="3">
        <v>45446</v>
      </c>
      <c r="B7" s="4">
        <v>3419</v>
      </c>
      <c r="F7" s="3">
        <v>45460</v>
      </c>
      <c r="G7" s="4">
        <v>3175</v>
      </c>
    </row>
    <row r="8" spans="1:26" x14ac:dyDescent="0.3">
      <c r="A8" s="3">
        <v>45754</v>
      </c>
      <c r="B8" s="4">
        <v>3291</v>
      </c>
      <c r="F8" s="3">
        <v>45467</v>
      </c>
      <c r="G8" s="4">
        <v>2433</v>
      </c>
    </row>
    <row r="9" spans="1:26" x14ac:dyDescent="0.3">
      <c r="A9" s="3">
        <v>45866</v>
      </c>
      <c r="B9" s="4">
        <v>3236</v>
      </c>
      <c r="F9" s="3">
        <v>45474</v>
      </c>
      <c r="G9" s="4">
        <v>2426</v>
      </c>
    </row>
    <row r="10" spans="1:26" x14ac:dyDescent="0.3">
      <c r="A10" s="3">
        <v>45761</v>
      </c>
      <c r="B10" s="4">
        <v>3216</v>
      </c>
      <c r="F10" s="3">
        <v>45481</v>
      </c>
      <c r="G10" s="4">
        <v>3155</v>
      </c>
    </row>
    <row r="11" spans="1:26" x14ac:dyDescent="0.3">
      <c r="A11" s="3">
        <v>45460</v>
      </c>
      <c r="B11" s="4">
        <v>3175</v>
      </c>
      <c r="F11" s="3">
        <v>45488</v>
      </c>
      <c r="G11" s="4">
        <v>2369</v>
      </c>
    </row>
    <row r="12" spans="1:26" x14ac:dyDescent="0.3">
      <c r="A12" s="3">
        <v>45481</v>
      </c>
      <c r="B12" s="4">
        <v>3155</v>
      </c>
      <c r="F12" s="3">
        <v>45495</v>
      </c>
      <c r="G12" s="4">
        <v>2281</v>
      </c>
    </row>
    <row r="13" spans="1:26" x14ac:dyDescent="0.3">
      <c r="A13" s="3">
        <v>45565</v>
      </c>
      <c r="B13" s="4">
        <v>3151</v>
      </c>
      <c r="F13" s="3">
        <v>45502</v>
      </c>
      <c r="G13" s="4">
        <v>2132</v>
      </c>
    </row>
    <row r="14" spans="1:26" x14ac:dyDescent="0.3">
      <c r="A14" s="3">
        <v>45516</v>
      </c>
      <c r="B14" s="4">
        <v>3072</v>
      </c>
      <c r="F14" s="3">
        <v>45509</v>
      </c>
      <c r="G14" s="4">
        <v>2693</v>
      </c>
    </row>
    <row r="15" spans="1:26" x14ac:dyDescent="0.3">
      <c r="A15" s="3">
        <v>45803</v>
      </c>
      <c r="B15" s="4">
        <v>2909</v>
      </c>
      <c r="F15" s="3">
        <v>45516</v>
      </c>
      <c r="G15" s="4">
        <v>3072</v>
      </c>
    </row>
    <row r="16" spans="1:26" x14ac:dyDescent="0.3">
      <c r="A16" s="3">
        <v>45607</v>
      </c>
      <c r="B16" s="4">
        <v>2794</v>
      </c>
      <c r="F16" s="3">
        <v>45523</v>
      </c>
      <c r="G16" s="4">
        <v>2300</v>
      </c>
    </row>
    <row r="17" spans="1:7" x14ac:dyDescent="0.3">
      <c r="A17" s="3">
        <v>45586</v>
      </c>
      <c r="B17" s="4">
        <v>2792</v>
      </c>
      <c r="F17" s="3">
        <v>45530</v>
      </c>
      <c r="G17" s="4">
        <v>2450</v>
      </c>
    </row>
    <row r="18" spans="1:7" x14ac:dyDescent="0.3">
      <c r="A18" s="3">
        <v>45558</v>
      </c>
      <c r="B18" s="4">
        <v>2785</v>
      </c>
      <c r="F18" s="3">
        <v>45537</v>
      </c>
      <c r="G18" s="4">
        <v>2502</v>
      </c>
    </row>
    <row r="19" spans="1:7" x14ac:dyDescent="0.3">
      <c r="A19" s="3">
        <v>45747</v>
      </c>
      <c r="B19" s="4">
        <v>2781</v>
      </c>
      <c r="F19" s="3">
        <v>45544</v>
      </c>
      <c r="G19" s="4">
        <v>2630</v>
      </c>
    </row>
    <row r="20" spans="1:7" x14ac:dyDescent="0.3">
      <c r="A20" s="3">
        <v>45453</v>
      </c>
      <c r="B20" s="4">
        <v>2777</v>
      </c>
      <c r="F20" s="3">
        <v>45551</v>
      </c>
      <c r="G20" s="4">
        <v>2162</v>
      </c>
    </row>
    <row r="21" spans="1:7" x14ac:dyDescent="0.3">
      <c r="A21" s="3">
        <v>45719</v>
      </c>
      <c r="B21" s="4">
        <v>2763</v>
      </c>
      <c r="F21" s="3">
        <v>45558</v>
      </c>
      <c r="G21" s="4">
        <v>2785</v>
      </c>
    </row>
    <row r="22" spans="1:7" x14ac:dyDescent="0.3">
      <c r="A22" s="3">
        <v>45859</v>
      </c>
      <c r="B22" s="4">
        <v>2694</v>
      </c>
      <c r="F22" s="3">
        <v>45565</v>
      </c>
      <c r="G22" s="4">
        <v>3151</v>
      </c>
    </row>
    <row r="23" spans="1:7" x14ac:dyDescent="0.3">
      <c r="A23" s="3">
        <v>45509</v>
      </c>
      <c r="B23" s="4">
        <v>2693</v>
      </c>
      <c r="F23" s="3">
        <v>45572</v>
      </c>
      <c r="G23" s="4">
        <v>2338</v>
      </c>
    </row>
    <row r="24" spans="1:7" x14ac:dyDescent="0.3">
      <c r="A24" s="3">
        <v>45642</v>
      </c>
      <c r="B24" s="4">
        <v>2693</v>
      </c>
      <c r="F24" s="3">
        <v>45579</v>
      </c>
      <c r="G24" s="4">
        <v>2670</v>
      </c>
    </row>
    <row r="25" spans="1:7" x14ac:dyDescent="0.3">
      <c r="A25" s="3">
        <v>45740</v>
      </c>
      <c r="B25" s="4">
        <v>2679</v>
      </c>
      <c r="F25" s="3">
        <v>45586</v>
      </c>
      <c r="G25" s="4">
        <v>2792</v>
      </c>
    </row>
    <row r="26" spans="1:7" x14ac:dyDescent="0.3">
      <c r="A26" s="3">
        <v>45579</v>
      </c>
      <c r="B26" s="4">
        <v>2670</v>
      </c>
      <c r="F26" s="3">
        <v>45593</v>
      </c>
      <c r="G26" s="4">
        <v>2181</v>
      </c>
    </row>
    <row r="27" spans="1:7" x14ac:dyDescent="0.3">
      <c r="A27" s="3">
        <v>45845</v>
      </c>
      <c r="B27" s="4">
        <v>2669</v>
      </c>
      <c r="F27" s="3">
        <v>45600</v>
      </c>
      <c r="G27" s="4">
        <v>3576</v>
      </c>
    </row>
    <row r="28" spans="1:7" x14ac:dyDescent="0.3">
      <c r="A28" s="3">
        <v>45852</v>
      </c>
      <c r="B28" s="4">
        <v>2654</v>
      </c>
      <c r="F28" s="3">
        <v>45607</v>
      </c>
      <c r="G28" s="4">
        <v>2794</v>
      </c>
    </row>
    <row r="29" spans="1:7" x14ac:dyDescent="0.3">
      <c r="A29" s="3">
        <v>45894</v>
      </c>
      <c r="B29" s="4">
        <v>2646</v>
      </c>
      <c r="F29" s="3">
        <v>45614</v>
      </c>
      <c r="G29" s="4">
        <v>1935</v>
      </c>
    </row>
    <row r="30" spans="1:7" x14ac:dyDescent="0.3">
      <c r="A30" s="3">
        <v>45544</v>
      </c>
      <c r="B30" s="4">
        <v>2630</v>
      </c>
      <c r="F30" s="3">
        <v>45621</v>
      </c>
      <c r="G30" s="4">
        <v>2287</v>
      </c>
    </row>
    <row r="31" spans="1:7" x14ac:dyDescent="0.3">
      <c r="A31" s="3">
        <v>45649</v>
      </c>
      <c r="B31" s="4">
        <v>2550</v>
      </c>
      <c r="F31" s="3">
        <v>45628</v>
      </c>
      <c r="G31" s="4">
        <v>2383</v>
      </c>
    </row>
    <row r="32" spans="1:7" x14ac:dyDescent="0.3">
      <c r="A32" s="3">
        <v>45537</v>
      </c>
      <c r="B32" s="4">
        <v>2502</v>
      </c>
      <c r="F32" s="3">
        <v>45635</v>
      </c>
      <c r="G32" s="4">
        <v>1398</v>
      </c>
    </row>
    <row r="33" spans="1:7" x14ac:dyDescent="0.3">
      <c r="A33" s="3">
        <v>45663</v>
      </c>
      <c r="B33" s="4">
        <v>2451</v>
      </c>
      <c r="F33" s="3">
        <v>45642</v>
      </c>
      <c r="G33" s="4">
        <v>2693</v>
      </c>
    </row>
    <row r="34" spans="1:7" x14ac:dyDescent="0.3">
      <c r="A34" s="3">
        <v>45530</v>
      </c>
      <c r="B34" s="4">
        <v>2450</v>
      </c>
      <c r="F34" s="3">
        <v>45649</v>
      </c>
      <c r="G34" s="4">
        <v>2550</v>
      </c>
    </row>
    <row r="35" spans="1:7" x14ac:dyDescent="0.3">
      <c r="A35" s="3">
        <v>45467</v>
      </c>
      <c r="B35" s="4">
        <v>2433</v>
      </c>
      <c r="F35" s="3">
        <v>45656</v>
      </c>
      <c r="G35" s="4">
        <v>2337</v>
      </c>
    </row>
    <row r="36" spans="1:7" x14ac:dyDescent="0.3">
      <c r="A36" s="3">
        <v>45474</v>
      </c>
      <c r="B36" s="4">
        <v>2426</v>
      </c>
      <c r="F36" s="3">
        <v>45663</v>
      </c>
      <c r="G36" s="4">
        <v>2451</v>
      </c>
    </row>
    <row r="37" spans="1:7" x14ac:dyDescent="0.3">
      <c r="A37" s="3">
        <v>45628</v>
      </c>
      <c r="B37" s="4">
        <v>2383</v>
      </c>
      <c r="F37" s="3">
        <v>45670</v>
      </c>
      <c r="G37" s="4">
        <v>2341</v>
      </c>
    </row>
    <row r="38" spans="1:7" x14ac:dyDescent="0.3">
      <c r="A38" s="3">
        <v>45775</v>
      </c>
      <c r="B38" s="4">
        <v>2378</v>
      </c>
      <c r="F38" s="3">
        <v>45677</v>
      </c>
      <c r="G38" s="4">
        <v>1832</v>
      </c>
    </row>
    <row r="39" spans="1:7" x14ac:dyDescent="0.3">
      <c r="A39" s="3">
        <v>45488</v>
      </c>
      <c r="B39" s="4">
        <v>2369</v>
      </c>
      <c r="F39" s="3">
        <v>45684</v>
      </c>
      <c r="G39" s="4">
        <v>1928</v>
      </c>
    </row>
    <row r="40" spans="1:7" x14ac:dyDescent="0.3">
      <c r="A40" s="3">
        <v>45698</v>
      </c>
      <c r="B40" s="4">
        <v>2361</v>
      </c>
      <c r="F40" s="3">
        <v>45691</v>
      </c>
      <c r="G40" s="4">
        <v>1680</v>
      </c>
    </row>
    <row r="41" spans="1:7" x14ac:dyDescent="0.3">
      <c r="A41" s="3">
        <v>45880</v>
      </c>
      <c r="B41" s="4">
        <v>2347</v>
      </c>
      <c r="F41" s="3">
        <v>45698</v>
      </c>
      <c r="G41" s="4">
        <v>2361</v>
      </c>
    </row>
    <row r="42" spans="1:7" x14ac:dyDescent="0.3">
      <c r="A42" s="3">
        <v>45670</v>
      </c>
      <c r="B42" s="4">
        <v>2341</v>
      </c>
      <c r="F42" s="3">
        <v>45705</v>
      </c>
      <c r="G42" s="4">
        <v>1543</v>
      </c>
    </row>
    <row r="43" spans="1:7" x14ac:dyDescent="0.3">
      <c r="A43" s="3">
        <v>45572</v>
      </c>
      <c r="B43" s="4">
        <v>2338</v>
      </c>
      <c r="F43" s="3">
        <v>45712</v>
      </c>
      <c r="G43" s="4">
        <v>1713</v>
      </c>
    </row>
    <row r="44" spans="1:7" x14ac:dyDescent="0.3">
      <c r="A44" s="3">
        <v>45656</v>
      </c>
      <c r="B44" s="4">
        <v>2337</v>
      </c>
      <c r="F44" s="3">
        <v>45719</v>
      </c>
      <c r="G44" s="4">
        <v>2763</v>
      </c>
    </row>
    <row r="45" spans="1:7" x14ac:dyDescent="0.3">
      <c r="A45" s="3">
        <v>45726</v>
      </c>
      <c r="B45" s="4">
        <v>2315</v>
      </c>
      <c r="F45" s="3">
        <v>45726</v>
      </c>
      <c r="G45" s="4">
        <v>2315</v>
      </c>
    </row>
    <row r="46" spans="1:7" x14ac:dyDescent="0.3">
      <c r="A46" s="3">
        <v>45838</v>
      </c>
      <c r="B46" s="4">
        <v>2315</v>
      </c>
      <c r="F46" s="3">
        <v>45733</v>
      </c>
      <c r="G46" s="4">
        <v>2188</v>
      </c>
    </row>
    <row r="47" spans="1:7" x14ac:dyDescent="0.3">
      <c r="A47" s="3">
        <v>45523</v>
      </c>
      <c r="B47" s="4">
        <v>2300</v>
      </c>
      <c r="F47" s="3">
        <v>45740</v>
      </c>
      <c r="G47" s="4">
        <v>2679</v>
      </c>
    </row>
    <row r="48" spans="1:7" x14ac:dyDescent="0.3">
      <c r="A48" s="3">
        <v>45621</v>
      </c>
      <c r="B48" s="4">
        <v>2287</v>
      </c>
      <c r="F48" s="3">
        <v>45747</v>
      </c>
      <c r="G48" s="4">
        <v>2781</v>
      </c>
    </row>
    <row r="49" spans="1:7" x14ac:dyDescent="0.3">
      <c r="A49" s="3">
        <v>45495</v>
      </c>
      <c r="B49" s="4">
        <v>2281</v>
      </c>
      <c r="F49" s="3">
        <v>45754</v>
      </c>
      <c r="G49" s="4">
        <v>3291</v>
      </c>
    </row>
    <row r="50" spans="1:7" x14ac:dyDescent="0.3">
      <c r="A50" s="3">
        <v>45817</v>
      </c>
      <c r="B50" s="4">
        <v>2243</v>
      </c>
      <c r="F50" s="3">
        <v>45761</v>
      </c>
      <c r="G50" s="4">
        <v>3216</v>
      </c>
    </row>
    <row r="51" spans="1:7" x14ac:dyDescent="0.3">
      <c r="A51" s="3">
        <v>45733</v>
      </c>
      <c r="B51" s="4">
        <v>2188</v>
      </c>
      <c r="F51" s="3">
        <v>45768</v>
      </c>
      <c r="G51" s="4">
        <v>1728</v>
      </c>
    </row>
    <row r="52" spans="1:7" x14ac:dyDescent="0.3">
      <c r="A52" s="3">
        <v>45593</v>
      </c>
      <c r="B52" s="4">
        <v>2181</v>
      </c>
      <c r="F52" s="3">
        <v>45775</v>
      </c>
      <c r="G52" s="4">
        <v>2378</v>
      </c>
    </row>
    <row r="53" spans="1:7" x14ac:dyDescent="0.3">
      <c r="A53" s="3">
        <v>45551</v>
      </c>
      <c r="B53" s="4">
        <v>2162</v>
      </c>
      <c r="F53" s="3">
        <v>45782</v>
      </c>
      <c r="G53" s="4">
        <v>2054</v>
      </c>
    </row>
    <row r="54" spans="1:7" x14ac:dyDescent="0.3">
      <c r="A54" s="3">
        <v>45502</v>
      </c>
      <c r="B54" s="4">
        <v>2132</v>
      </c>
      <c r="F54" s="3">
        <v>45789</v>
      </c>
      <c r="G54" s="4">
        <v>1400</v>
      </c>
    </row>
    <row r="55" spans="1:7" x14ac:dyDescent="0.3">
      <c r="A55" s="3">
        <v>45782</v>
      </c>
      <c r="B55" s="4">
        <v>2054</v>
      </c>
      <c r="F55" s="3">
        <v>45796</v>
      </c>
      <c r="G55" s="4">
        <v>3569</v>
      </c>
    </row>
    <row r="56" spans="1:7" x14ac:dyDescent="0.3">
      <c r="A56" s="3">
        <v>45810</v>
      </c>
      <c r="B56" s="4">
        <v>2049</v>
      </c>
      <c r="F56" s="3">
        <v>45803</v>
      </c>
      <c r="G56" s="4">
        <v>2909</v>
      </c>
    </row>
    <row r="57" spans="1:7" x14ac:dyDescent="0.3">
      <c r="A57" s="3">
        <v>45824</v>
      </c>
      <c r="B57" s="4">
        <v>2017</v>
      </c>
      <c r="F57" s="3">
        <v>45810</v>
      </c>
      <c r="G57" s="4">
        <v>2049</v>
      </c>
    </row>
    <row r="58" spans="1:7" x14ac:dyDescent="0.3">
      <c r="A58" s="3">
        <v>45614</v>
      </c>
      <c r="B58" s="4">
        <v>1935</v>
      </c>
      <c r="F58" s="3">
        <v>45817</v>
      </c>
      <c r="G58" s="4">
        <v>2243</v>
      </c>
    </row>
    <row r="59" spans="1:7" x14ac:dyDescent="0.3">
      <c r="A59" s="3">
        <v>45684</v>
      </c>
      <c r="B59" s="4">
        <v>1928</v>
      </c>
      <c r="F59" s="3">
        <v>45824</v>
      </c>
      <c r="G59" s="4">
        <v>2017</v>
      </c>
    </row>
    <row r="60" spans="1:7" x14ac:dyDescent="0.3">
      <c r="A60" s="3">
        <v>45677</v>
      </c>
      <c r="B60" s="4">
        <v>1832</v>
      </c>
      <c r="F60" s="3">
        <v>45831</v>
      </c>
      <c r="G60" s="4">
        <v>1384</v>
      </c>
    </row>
    <row r="61" spans="1:7" x14ac:dyDescent="0.3">
      <c r="A61" s="3">
        <v>45887</v>
      </c>
      <c r="B61" s="4">
        <v>1819</v>
      </c>
      <c r="F61" s="3">
        <v>45838</v>
      </c>
      <c r="G61" s="4">
        <v>2315</v>
      </c>
    </row>
    <row r="62" spans="1:7" x14ac:dyDescent="0.3">
      <c r="A62" s="3">
        <v>45768</v>
      </c>
      <c r="B62" s="4">
        <v>1728</v>
      </c>
      <c r="F62" s="3">
        <v>45845</v>
      </c>
      <c r="G62" s="4">
        <v>2669</v>
      </c>
    </row>
    <row r="63" spans="1:7" x14ac:dyDescent="0.3">
      <c r="A63" s="3">
        <v>45712</v>
      </c>
      <c r="B63" s="4">
        <v>1713</v>
      </c>
      <c r="F63" s="3">
        <v>45852</v>
      </c>
      <c r="G63" s="4">
        <v>2654</v>
      </c>
    </row>
    <row r="64" spans="1:7" x14ac:dyDescent="0.3">
      <c r="A64" s="3">
        <v>45873</v>
      </c>
      <c r="B64" s="4">
        <v>1689</v>
      </c>
      <c r="F64" s="3">
        <v>45859</v>
      </c>
      <c r="G64" s="4">
        <v>2694</v>
      </c>
    </row>
    <row r="65" spans="1:7" x14ac:dyDescent="0.3">
      <c r="A65" s="3">
        <v>45691</v>
      </c>
      <c r="B65" s="4">
        <v>1680</v>
      </c>
      <c r="F65" s="3">
        <v>45866</v>
      </c>
      <c r="G65" s="4">
        <v>3236</v>
      </c>
    </row>
    <row r="66" spans="1:7" x14ac:dyDescent="0.3">
      <c r="A66" s="3">
        <v>45705</v>
      </c>
      <c r="B66" s="4">
        <v>1543</v>
      </c>
      <c r="F66" s="3">
        <v>45873</v>
      </c>
      <c r="G66" s="4">
        <v>1689</v>
      </c>
    </row>
    <row r="67" spans="1:7" x14ac:dyDescent="0.3">
      <c r="A67" s="3">
        <v>45908</v>
      </c>
      <c r="B67" s="4">
        <v>1436</v>
      </c>
      <c r="F67" s="3">
        <v>45880</v>
      </c>
      <c r="G67" s="4">
        <v>2347</v>
      </c>
    </row>
    <row r="68" spans="1:7" x14ac:dyDescent="0.3">
      <c r="A68" s="3">
        <v>45901</v>
      </c>
      <c r="B68" s="4">
        <v>1424</v>
      </c>
      <c r="F68" s="3">
        <v>45887</v>
      </c>
      <c r="G68" s="4">
        <v>1819</v>
      </c>
    </row>
    <row r="69" spans="1:7" x14ac:dyDescent="0.3">
      <c r="A69" s="3">
        <v>45789</v>
      </c>
      <c r="B69" s="4">
        <v>1400</v>
      </c>
      <c r="F69" s="3">
        <v>45894</v>
      </c>
      <c r="G69" s="4">
        <v>2646</v>
      </c>
    </row>
    <row r="70" spans="1:7" x14ac:dyDescent="0.3">
      <c r="A70" s="3">
        <v>45635</v>
      </c>
      <c r="B70" s="4">
        <v>1398</v>
      </c>
      <c r="F70" s="3">
        <v>45901</v>
      </c>
      <c r="G70" s="4">
        <v>1424</v>
      </c>
    </row>
    <row r="71" spans="1:7" x14ac:dyDescent="0.3">
      <c r="A71" s="3">
        <v>45831</v>
      </c>
      <c r="B71" s="4">
        <v>1384</v>
      </c>
      <c r="F71" s="3">
        <v>45908</v>
      </c>
      <c r="G71" s="4">
        <v>1436</v>
      </c>
    </row>
    <row r="72" spans="1:7" x14ac:dyDescent="0.3">
      <c r="A72" s="5" t="s">
        <v>5</v>
      </c>
      <c r="B72" s="1">
        <v>161588</v>
      </c>
    </row>
  </sheetData>
  <mergeCells count="4">
    <mergeCell ref="A3:B3"/>
    <mergeCell ref="F3:H3"/>
    <mergeCell ref="S3:Z3"/>
    <mergeCell ref="D1:K1"/>
  </mergeCells>
  <conditionalFormatting sqref="A5">
    <cfRule type="top10" dxfId="0" priority="1" rank="1"/>
  </conditionalFormatting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B960-916E-4D14-909E-2A75D9EE6BB5}">
  <dimension ref="A1:L201"/>
  <sheetViews>
    <sheetView topLeftCell="A179" zoomScaleNormal="100" workbookViewId="0">
      <selection activeCell="I6" sqref="I6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20.21875" bestFit="1" customWidth="1"/>
  </cols>
  <sheetData>
    <row r="1" spans="1:12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s="6"/>
      <c r="J1" s="6"/>
    </row>
    <row r="2" spans="1:12" x14ac:dyDescent="0.3">
      <c r="A2" s="7">
        <v>45446</v>
      </c>
      <c r="B2" t="s">
        <v>14</v>
      </c>
      <c r="C2">
        <v>1402</v>
      </c>
      <c r="D2">
        <v>68</v>
      </c>
      <c r="E2">
        <v>124562</v>
      </c>
      <c r="F2">
        <v>9.92</v>
      </c>
      <c r="G2">
        <v>23125</v>
      </c>
      <c r="H2">
        <f>Engagement_Summary6810[[#This Row],[New_Followers]]-Engagement_Summary6810[[#This Row],[Unfollows]]</f>
        <v>1334</v>
      </c>
    </row>
    <row r="3" spans="1:12" x14ac:dyDescent="0.3">
      <c r="A3" s="7">
        <v>45446</v>
      </c>
      <c r="B3" t="s">
        <v>15</v>
      </c>
      <c r="C3">
        <v>995</v>
      </c>
      <c r="D3">
        <v>86</v>
      </c>
      <c r="E3">
        <v>227958</v>
      </c>
      <c r="F3">
        <v>8.0500000000000007</v>
      </c>
      <c r="G3">
        <v>22788</v>
      </c>
      <c r="H3">
        <f>Engagement_Summary6810[[#This Row],[New_Followers]]-Engagement_Summary6810[[#This Row],[Unfollows]]</f>
        <v>909</v>
      </c>
      <c r="I3" s="2"/>
      <c r="J3" s="2"/>
      <c r="K3" s="2"/>
      <c r="L3" s="2"/>
    </row>
    <row r="4" spans="1:12" x14ac:dyDescent="0.3">
      <c r="A4" s="7">
        <v>45446</v>
      </c>
      <c r="B4" t="s">
        <v>16</v>
      </c>
      <c r="C4">
        <v>1472</v>
      </c>
      <c r="D4">
        <v>296</v>
      </c>
      <c r="E4">
        <v>370242</v>
      </c>
      <c r="F4">
        <v>7.72</v>
      </c>
      <c r="G4">
        <v>7810</v>
      </c>
      <c r="H4">
        <f>Engagement_Summary6810[[#This Row],[New_Followers]]-Engagement_Summary6810[[#This Row],[Unfollows]]</f>
        <v>1176</v>
      </c>
    </row>
    <row r="5" spans="1:12" x14ac:dyDescent="0.3">
      <c r="A5" s="7">
        <v>45453</v>
      </c>
      <c r="B5" t="s">
        <v>14</v>
      </c>
      <c r="C5">
        <v>1018</v>
      </c>
      <c r="D5">
        <v>90</v>
      </c>
      <c r="E5">
        <v>92474</v>
      </c>
      <c r="F5">
        <v>9.4</v>
      </c>
      <c r="G5">
        <v>11966</v>
      </c>
      <c r="H5">
        <f>Engagement_Summary6810[[#This Row],[New_Followers]]-Engagement_Summary6810[[#This Row],[Unfollows]]</f>
        <v>928</v>
      </c>
    </row>
    <row r="6" spans="1:12" x14ac:dyDescent="0.3">
      <c r="A6" s="7">
        <v>45453</v>
      </c>
      <c r="B6" t="s">
        <v>15</v>
      </c>
      <c r="C6">
        <v>1461</v>
      </c>
      <c r="D6">
        <v>64</v>
      </c>
      <c r="E6">
        <v>328902</v>
      </c>
      <c r="F6">
        <v>9.02</v>
      </c>
      <c r="G6">
        <v>26298</v>
      </c>
      <c r="H6">
        <f>Engagement_Summary6810[[#This Row],[New_Followers]]-Engagement_Summary6810[[#This Row],[Unfollows]]</f>
        <v>1397</v>
      </c>
    </row>
    <row r="7" spans="1:12" x14ac:dyDescent="0.3">
      <c r="A7" s="7">
        <v>45453</v>
      </c>
      <c r="B7" t="s">
        <v>16</v>
      </c>
      <c r="C7">
        <v>545</v>
      </c>
      <c r="D7">
        <v>93</v>
      </c>
      <c r="E7">
        <v>391621</v>
      </c>
      <c r="F7">
        <v>9.9600000000000009</v>
      </c>
      <c r="G7">
        <v>22029</v>
      </c>
      <c r="H7">
        <f>Engagement_Summary6810[[#This Row],[New_Followers]]-Engagement_Summary6810[[#This Row],[Unfollows]]</f>
        <v>452</v>
      </c>
    </row>
    <row r="8" spans="1:12" x14ac:dyDescent="0.3">
      <c r="A8" s="7">
        <v>45460</v>
      </c>
      <c r="B8" t="s">
        <v>14</v>
      </c>
      <c r="C8">
        <v>881</v>
      </c>
      <c r="D8">
        <v>291</v>
      </c>
      <c r="E8">
        <v>95885</v>
      </c>
      <c r="F8">
        <v>5.29</v>
      </c>
      <c r="G8">
        <v>12391</v>
      </c>
      <c r="H8">
        <f>Engagement_Summary6810[[#This Row],[New_Followers]]-Engagement_Summary6810[[#This Row],[Unfollows]]</f>
        <v>590</v>
      </c>
    </row>
    <row r="9" spans="1:12" x14ac:dyDescent="0.3">
      <c r="A9" s="7">
        <v>45460</v>
      </c>
      <c r="B9" t="s">
        <v>15</v>
      </c>
      <c r="C9">
        <v>1414</v>
      </c>
      <c r="D9">
        <v>131</v>
      </c>
      <c r="E9">
        <v>245947</v>
      </c>
      <c r="F9">
        <v>8.3000000000000007</v>
      </c>
      <c r="G9">
        <v>14477</v>
      </c>
      <c r="H9">
        <f>Engagement_Summary6810[[#This Row],[New_Followers]]-Engagement_Summary6810[[#This Row],[Unfollows]]</f>
        <v>1283</v>
      </c>
    </row>
    <row r="10" spans="1:12" x14ac:dyDescent="0.3">
      <c r="A10" s="7">
        <v>45460</v>
      </c>
      <c r="B10" t="s">
        <v>16</v>
      </c>
      <c r="C10">
        <v>1472</v>
      </c>
      <c r="D10">
        <v>170</v>
      </c>
      <c r="E10">
        <v>250428</v>
      </c>
      <c r="F10">
        <v>4.66</v>
      </c>
      <c r="G10">
        <v>25040</v>
      </c>
      <c r="H10">
        <f>Engagement_Summary6810[[#This Row],[New_Followers]]-Engagement_Summary6810[[#This Row],[Unfollows]]</f>
        <v>1302</v>
      </c>
    </row>
    <row r="11" spans="1:12" x14ac:dyDescent="0.3">
      <c r="A11" s="7">
        <v>45467</v>
      </c>
      <c r="B11" t="s">
        <v>14</v>
      </c>
      <c r="C11">
        <v>809</v>
      </c>
      <c r="D11">
        <v>197</v>
      </c>
      <c r="E11">
        <v>87186</v>
      </c>
      <c r="F11">
        <v>9.48</v>
      </c>
      <c r="G11">
        <v>22619</v>
      </c>
      <c r="H11">
        <f>Engagement_Summary6810[[#This Row],[New_Followers]]-Engagement_Summary6810[[#This Row],[Unfollows]]</f>
        <v>612</v>
      </c>
    </row>
    <row r="12" spans="1:12" x14ac:dyDescent="0.3">
      <c r="A12" s="7">
        <v>45467</v>
      </c>
      <c r="B12" t="s">
        <v>15</v>
      </c>
      <c r="C12">
        <v>1371</v>
      </c>
      <c r="D12">
        <v>250</v>
      </c>
      <c r="E12">
        <v>128620</v>
      </c>
      <c r="F12">
        <v>7.11</v>
      </c>
      <c r="G12">
        <v>12399</v>
      </c>
      <c r="H12">
        <f>Engagement_Summary6810[[#This Row],[New_Followers]]-Engagement_Summary6810[[#This Row],[Unfollows]]</f>
        <v>1121</v>
      </c>
    </row>
    <row r="13" spans="1:12" x14ac:dyDescent="0.3">
      <c r="A13" s="7">
        <v>45467</v>
      </c>
      <c r="B13" t="s">
        <v>16</v>
      </c>
      <c r="C13">
        <v>844</v>
      </c>
      <c r="D13">
        <v>144</v>
      </c>
      <c r="E13">
        <v>126015</v>
      </c>
      <c r="F13">
        <v>9.65</v>
      </c>
      <c r="G13">
        <v>22456</v>
      </c>
      <c r="H13">
        <f>Engagement_Summary6810[[#This Row],[New_Followers]]-Engagement_Summary6810[[#This Row],[Unfollows]]</f>
        <v>700</v>
      </c>
    </row>
    <row r="14" spans="1:12" x14ac:dyDescent="0.3">
      <c r="A14" s="7">
        <v>45474</v>
      </c>
      <c r="B14" t="s">
        <v>14</v>
      </c>
      <c r="C14">
        <v>786</v>
      </c>
      <c r="D14">
        <v>72</v>
      </c>
      <c r="E14">
        <v>178615</v>
      </c>
      <c r="F14">
        <v>5.43</v>
      </c>
      <c r="G14">
        <v>19328</v>
      </c>
      <c r="H14">
        <f>Engagement_Summary6810[[#This Row],[New_Followers]]-Engagement_Summary6810[[#This Row],[Unfollows]]</f>
        <v>714</v>
      </c>
    </row>
    <row r="15" spans="1:12" x14ac:dyDescent="0.3">
      <c r="A15" s="7">
        <v>45474</v>
      </c>
      <c r="B15" t="s">
        <v>15</v>
      </c>
      <c r="C15">
        <v>845</v>
      </c>
      <c r="D15">
        <v>250</v>
      </c>
      <c r="E15">
        <v>218228</v>
      </c>
      <c r="F15">
        <v>4.5199999999999996</v>
      </c>
      <c r="G15">
        <v>21107</v>
      </c>
      <c r="H15">
        <f>Engagement_Summary6810[[#This Row],[New_Followers]]-Engagement_Summary6810[[#This Row],[Unfollows]]</f>
        <v>595</v>
      </c>
    </row>
    <row r="16" spans="1:12" x14ac:dyDescent="0.3">
      <c r="A16" s="7">
        <v>45474</v>
      </c>
      <c r="B16" t="s">
        <v>16</v>
      </c>
      <c r="C16">
        <v>1218</v>
      </c>
      <c r="D16">
        <v>101</v>
      </c>
      <c r="E16">
        <v>300397</v>
      </c>
      <c r="F16">
        <v>4.33</v>
      </c>
      <c r="G16">
        <v>12277</v>
      </c>
      <c r="H16">
        <f>Engagement_Summary6810[[#This Row],[New_Followers]]-Engagement_Summary6810[[#This Row],[Unfollows]]</f>
        <v>1117</v>
      </c>
    </row>
    <row r="17" spans="1:8" x14ac:dyDescent="0.3">
      <c r="A17" s="7">
        <v>45481</v>
      </c>
      <c r="B17" t="s">
        <v>14</v>
      </c>
      <c r="C17">
        <v>797</v>
      </c>
      <c r="D17">
        <v>130</v>
      </c>
      <c r="E17">
        <v>340121</v>
      </c>
      <c r="F17">
        <v>8.52</v>
      </c>
      <c r="G17">
        <v>11684</v>
      </c>
      <c r="H17">
        <f>Engagement_Summary6810[[#This Row],[New_Followers]]-Engagement_Summary6810[[#This Row],[Unfollows]]</f>
        <v>667</v>
      </c>
    </row>
    <row r="18" spans="1:8" x14ac:dyDescent="0.3">
      <c r="A18" s="7">
        <v>45481</v>
      </c>
      <c r="B18" t="s">
        <v>15</v>
      </c>
      <c r="C18">
        <v>1471</v>
      </c>
      <c r="D18">
        <v>100</v>
      </c>
      <c r="E18">
        <v>76866</v>
      </c>
      <c r="F18">
        <v>8.5500000000000007</v>
      </c>
      <c r="G18">
        <v>14412</v>
      </c>
      <c r="H18">
        <f>Engagement_Summary6810[[#This Row],[New_Followers]]-Engagement_Summary6810[[#This Row],[Unfollows]]</f>
        <v>1371</v>
      </c>
    </row>
    <row r="19" spans="1:8" x14ac:dyDescent="0.3">
      <c r="A19" s="7">
        <v>45481</v>
      </c>
      <c r="B19" t="s">
        <v>16</v>
      </c>
      <c r="C19">
        <v>1253</v>
      </c>
      <c r="D19">
        <v>136</v>
      </c>
      <c r="E19">
        <v>193131</v>
      </c>
      <c r="F19">
        <v>7.99</v>
      </c>
      <c r="G19">
        <v>15924</v>
      </c>
      <c r="H19">
        <f>Engagement_Summary6810[[#This Row],[New_Followers]]-Engagement_Summary6810[[#This Row],[Unfollows]]</f>
        <v>1117</v>
      </c>
    </row>
    <row r="20" spans="1:8" x14ac:dyDescent="0.3">
      <c r="A20" s="7">
        <v>45488</v>
      </c>
      <c r="B20" t="s">
        <v>14</v>
      </c>
      <c r="C20">
        <v>616</v>
      </c>
      <c r="D20">
        <v>257</v>
      </c>
      <c r="E20">
        <v>169665</v>
      </c>
      <c r="F20">
        <v>6.31</v>
      </c>
      <c r="G20">
        <v>12390</v>
      </c>
      <c r="H20">
        <f>Engagement_Summary6810[[#This Row],[New_Followers]]-Engagement_Summary6810[[#This Row],[Unfollows]]</f>
        <v>359</v>
      </c>
    </row>
    <row r="21" spans="1:8" x14ac:dyDescent="0.3">
      <c r="A21" s="7">
        <v>45488</v>
      </c>
      <c r="B21" t="s">
        <v>15</v>
      </c>
      <c r="C21">
        <v>1308</v>
      </c>
      <c r="D21">
        <v>210</v>
      </c>
      <c r="E21">
        <v>263729</v>
      </c>
      <c r="F21">
        <v>8.5299999999999994</v>
      </c>
      <c r="G21">
        <v>25742</v>
      </c>
      <c r="H21">
        <f>Engagement_Summary6810[[#This Row],[New_Followers]]-Engagement_Summary6810[[#This Row],[Unfollows]]</f>
        <v>1098</v>
      </c>
    </row>
    <row r="22" spans="1:8" x14ac:dyDescent="0.3">
      <c r="A22" s="7">
        <v>45488</v>
      </c>
      <c r="B22" t="s">
        <v>16</v>
      </c>
      <c r="C22">
        <v>981</v>
      </c>
      <c r="D22">
        <v>69</v>
      </c>
      <c r="E22">
        <v>206921</v>
      </c>
      <c r="F22">
        <v>8.42</v>
      </c>
      <c r="G22">
        <v>10495</v>
      </c>
      <c r="H22">
        <f>Engagement_Summary6810[[#This Row],[New_Followers]]-Engagement_Summary6810[[#This Row],[Unfollows]]</f>
        <v>912</v>
      </c>
    </row>
    <row r="23" spans="1:8" x14ac:dyDescent="0.3">
      <c r="A23" s="7">
        <v>45495</v>
      </c>
      <c r="B23" t="s">
        <v>14</v>
      </c>
      <c r="C23">
        <v>866</v>
      </c>
      <c r="D23">
        <v>74</v>
      </c>
      <c r="E23">
        <v>204121</v>
      </c>
      <c r="F23">
        <v>9.34</v>
      </c>
      <c r="G23">
        <v>7797</v>
      </c>
      <c r="H23">
        <f>Engagement_Summary6810[[#This Row],[New_Followers]]-Engagement_Summary6810[[#This Row],[Unfollows]]</f>
        <v>792</v>
      </c>
    </row>
    <row r="24" spans="1:8" x14ac:dyDescent="0.3">
      <c r="A24" s="7">
        <v>45495</v>
      </c>
      <c r="B24" t="s">
        <v>15</v>
      </c>
      <c r="C24">
        <v>547</v>
      </c>
      <c r="D24">
        <v>183</v>
      </c>
      <c r="E24">
        <v>266350</v>
      </c>
      <c r="F24">
        <v>5.65</v>
      </c>
      <c r="G24">
        <v>15595</v>
      </c>
      <c r="H24">
        <f>Engagement_Summary6810[[#This Row],[New_Followers]]-Engagement_Summary6810[[#This Row],[Unfollows]]</f>
        <v>364</v>
      </c>
    </row>
    <row r="25" spans="1:8" x14ac:dyDescent="0.3">
      <c r="A25" s="7">
        <v>45495</v>
      </c>
      <c r="B25" t="s">
        <v>16</v>
      </c>
      <c r="C25">
        <v>1241</v>
      </c>
      <c r="D25">
        <v>116</v>
      </c>
      <c r="E25">
        <v>380606</v>
      </c>
      <c r="F25">
        <v>4.2</v>
      </c>
      <c r="G25">
        <v>24617</v>
      </c>
      <c r="H25">
        <f>Engagement_Summary6810[[#This Row],[New_Followers]]-Engagement_Summary6810[[#This Row],[Unfollows]]</f>
        <v>1125</v>
      </c>
    </row>
    <row r="26" spans="1:8" x14ac:dyDescent="0.3">
      <c r="A26" s="7">
        <v>45502</v>
      </c>
      <c r="B26" t="s">
        <v>14</v>
      </c>
      <c r="C26">
        <v>973</v>
      </c>
      <c r="D26">
        <v>104</v>
      </c>
      <c r="E26">
        <v>376358</v>
      </c>
      <c r="F26">
        <v>3.87</v>
      </c>
      <c r="G26">
        <v>9847</v>
      </c>
      <c r="H26">
        <f>Engagement_Summary6810[[#This Row],[New_Followers]]-Engagement_Summary6810[[#This Row],[Unfollows]]</f>
        <v>869</v>
      </c>
    </row>
    <row r="27" spans="1:8" x14ac:dyDescent="0.3">
      <c r="A27" s="7">
        <v>45502</v>
      </c>
      <c r="B27" t="s">
        <v>15</v>
      </c>
      <c r="C27">
        <v>611</v>
      </c>
      <c r="D27">
        <v>197</v>
      </c>
      <c r="E27">
        <v>79423</v>
      </c>
      <c r="F27">
        <v>5.82</v>
      </c>
      <c r="G27">
        <v>13644</v>
      </c>
      <c r="H27">
        <f>Engagement_Summary6810[[#This Row],[New_Followers]]-Engagement_Summary6810[[#This Row],[Unfollows]]</f>
        <v>414</v>
      </c>
    </row>
    <row r="28" spans="1:8" x14ac:dyDescent="0.3">
      <c r="A28" s="7">
        <v>45502</v>
      </c>
      <c r="B28" t="s">
        <v>16</v>
      </c>
      <c r="C28">
        <v>983</v>
      </c>
      <c r="D28">
        <v>134</v>
      </c>
      <c r="E28">
        <v>352178</v>
      </c>
      <c r="F28">
        <v>3.55</v>
      </c>
      <c r="G28">
        <v>11421</v>
      </c>
      <c r="H28">
        <f>Engagement_Summary6810[[#This Row],[New_Followers]]-Engagement_Summary6810[[#This Row],[Unfollows]]</f>
        <v>849</v>
      </c>
    </row>
    <row r="29" spans="1:8" x14ac:dyDescent="0.3">
      <c r="A29" s="7">
        <v>45509</v>
      </c>
      <c r="B29" t="s">
        <v>14</v>
      </c>
      <c r="C29">
        <v>1449</v>
      </c>
      <c r="D29">
        <v>96</v>
      </c>
      <c r="E29">
        <v>200636</v>
      </c>
      <c r="F29">
        <v>9.92</v>
      </c>
      <c r="G29">
        <v>15613</v>
      </c>
      <c r="H29">
        <f>Engagement_Summary6810[[#This Row],[New_Followers]]-Engagement_Summary6810[[#This Row],[Unfollows]]</f>
        <v>1353</v>
      </c>
    </row>
    <row r="30" spans="1:8" x14ac:dyDescent="0.3">
      <c r="A30" s="7">
        <v>45509</v>
      </c>
      <c r="B30" t="s">
        <v>15</v>
      </c>
      <c r="C30">
        <v>752</v>
      </c>
      <c r="D30">
        <v>170</v>
      </c>
      <c r="E30">
        <v>132756</v>
      </c>
      <c r="F30">
        <v>8.17</v>
      </c>
      <c r="G30">
        <v>23900</v>
      </c>
      <c r="H30">
        <f>Engagement_Summary6810[[#This Row],[New_Followers]]-Engagement_Summary6810[[#This Row],[Unfollows]]</f>
        <v>582</v>
      </c>
    </row>
    <row r="31" spans="1:8" x14ac:dyDescent="0.3">
      <c r="A31" s="7">
        <v>45509</v>
      </c>
      <c r="B31" t="s">
        <v>16</v>
      </c>
      <c r="C31">
        <v>937</v>
      </c>
      <c r="D31">
        <v>179</v>
      </c>
      <c r="E31">
        <v>318098</v>
      </c>
      <c r="F31">
        <v>5.3</v>
      </c>
      <c r="G31">
        <v>5836</v>
      </c>
      <c r="H31">
        <f>Engagement_Summary6810[[#This Row],[New_Followers]]-Engagement_Summary6810[[#This Row],[Unfollows]]</f>
        <v>758</v>
      </c>
    </row>
    <row r="32" spans="1:8" x14ac:dyDescent="0.3">
      <c r="A32" s="7">
        <v>45516</v>
      </c>
      <c r="B32" t="s">
        <v>14</v>
      </c>
      <c r="C32">
        <v>1060</v>
      </c>
      <c r="D32">
        <v>83</v>
      </c>
      <c r="E32">
        <v>68724</v>
      </c>
      <c r="F32">
        <v>5.98</v>
      </c>
      <c r="G32">
        <v>5624</v>
      </c>
      <c r="H32">
        <f>Engagement_Summary6810[[#This Row],[New_Followers]]-Engagement_Summary6810[[#This Row],[Unfollows]]</f>
        <v>977</v>
      </c>
    </row>
    <row r="33" spans="1:8" x14ac:dyDescent="0.3">
      <c r="A33" s="7">
        <v>45516</v>
      </c>
      <c r="B33" t="s">
        <v>15</v>
      </c>
      <c r="C33">
        <v>1456</v>
      </c>
      <c r="D33">
        <v>265</v>
      </c>
      <c r="E33">
        <v>115505</v>
      </c>
      <c r="F33">
        <v>7.49</v>
      </c>
      <c r="G33">
        <v>10311</v>
      </c>
      <c r="H33">
        <f>Engagement_Summary6810[[#This Row],[New_Followers]]-Engagement_Summary6810[[#This Row],[Unfollows]]</f>
        <v>1191</v>
      </c>
    </row>
    <row r="34" spans="1:8" x14ac:dyDescent="0.3">
      <c r="A34" s="7">
        <v>45516</v>
      </c>
      <c r="B34" t="s">
        <v>16</v>
      </c>
      <c r="C34">
        <v>1109</v>
      </c>
      <c r="D34">
        <v>205</v>
      </c>
      <c r="E34">
        <v>276722</v>
      </c>
      <c r="F34">
        <v>9.3800000000000008</v>
      </c>
      <c r="G34">
        <v>8274</v>
      </c>
      <c r="H34">
        <f>Engagement_Summary6810[[#This Row],[New_Followers]]-Engagement_Summary6810[[#This Row],[Unfollows]]</f>
        <v>904</v>
      </c>
    </row>
    <row r="35" spans="1:8" x14ac:dyDescent="0.3">
      <c r="A35" s="7">
        <v>45523</v>
      </c>
      <c r="B35" t="s">
        <v>14</v>
      </c>
      <c r="C35">
        <v>1002</v>
      </c>
      <c r="D35">
        <v>93</v>
      </c>
      <c r="E35">
        <v>353538</v>
      </c>
      <c r="F35">
        <v>5.84</v>
      </c>
      <c r="G35">
        <v>6031</v>
      </c>
      <c r="H35">
        <f>Engagement_Summary6810[[#This Row],[New_Followers]]-Engagement_Summary6810[[#This Row],[Unfollows]]</f>
        <v>909</v>
      </c>
    </row>
    <row r="36" spans="1:8" x14ac:dyDescent="0.3">
      <c r="A36" s="7">
        <v>45523</v>
      </c>
      <c r="B36" t="s">
        <v>15</v>
      </c>
      <c r="C36">
        <v>571</v>
      </c>
      <c r="D36">
        <v>189</v>
      </c>
      <c r="E36">
        <v>61445</v>
      </c>
      <c r="F36">
        <v>5.41</v>
      </c>
      <c r="G36">
        <v>27829</v>
      </c>
      <c r="H36">
        <f>Engagement_Summary6810[[#This Row],[New_Followers]]-Engagement_Summary6810[[#This Row],[Unfollows]]</f>
        <v>382</v>
      </c>
    </row>
    <row r="37" spans="1:8" x14ac:dyDescent="0.3">
      <c r="A37" s="7">
        <v>45523</v>
      </c>
      <c r="B37" t="s">
        <v>16</v>
      </c>
      <c r="C37">
        <v>1240</v>
      </c>
      <c r="D37">
        <v>231</v>
      </c>
      <c r="E37">
        <v>165035</v>
      </c>
      <c r="F37">
        <v>6.05</v>
      </c>
      <c r="G37">
        <v>18267</v>
      </c>
      <c r="H37">
        <f>Engagement_Summary6810[[#This Row],[New_Followers]]-Engagement_Summary6810[[#This Row],[Unfollows]]</f>
        <v>1009</v>
      </c>
    </row>
    <row r="38" spans="1:8" x14ac:dyDescent="0.3">
      <c r="A38" s="7">
        <v>45530</v>
      </c>
      <c r="B38" t="s">
        <v>14</v>
      </c>
      <c r="C38">
        <v>1154</v>
      </c>
      <c r="D38">
        <v>132</v>
      </c>
      <c r="E38">
        <v>194595</v>
      </c>
      <c r="F38">
        <v>7.54</v>
      </c>
      <c r="G38">
        <v>26624</v>
      </c>
      <c r="H38">
        <f>Engagement_Summary6810[[#This Row],[New_Followers]]-Engagement_Summary6810[[#This Row],[Unfollows]]</f>
        <v>1022</v>
      </c>
    </row>
    <row r="39" spans="1:8" x14ac:dyDescent="0.3">
      <c r="A39" s="7">
        <v>45530</v>
      </c>
      <c r="B39" t="s">
        <v>15</v>
      </c>
      <c r="C39">
        <v>537</v>
      </c>
      <c r="D39">
        <v>275</v>
      </c>
      <c r="E39">
        <v>236238</v>
      </c>
      <c r="F39">
        <v>5.87</v>
      </c>
      <c r="G39">
        <v>26644</v>
      </c>
      <c r="H39">
        <f>Engagement_Summary6810[[#This Row],[New_Followers]]-Engagement_Summary6810[[#This Row],[Unfollows]]</f>
        <v>262</v>
      </c>
    </row>
    <row r="40" spans="1:8" x14ac:dyDescent="0.3">
      <c r="A40" s="7">
        <v>45530</v>
      </c>
      <c r="B40" t="s">
        <v>16</v>
      </c>
      <c r="C40">
        <v>1456</v>
      </c>
      <c r="D40">
        <v>290</v>
      </c>
      <c r="E40">
        <v>271044</v>
      </c>
      <c r="F40">
        <v>7.17</v>
      </c>
      <c r="G40">
        <v>13051</v>
      </c>
      <c r="H40">
        <f>Engagement_Summary6810[[#This Row],[New_Followers]]-Engagement_Summary6810[[#This Row],[Unfollows]]</f>
        <v>1166</v>
      </c>
    </row>
    <row r="41" spans="1:8" x14ac:dyDescent="0.3">
      <c r="A41" s="7">
        <v>45537</v>
      </c>
      <c r="B41" t="s">
        <v>14</v>
      </c>
      <c r="C41">
        <v>721</v>
      </c>
      <c r="D41">
        <v>206</v>
      </c>
      <c r="E41">
        <v>334887</v>
      </c>
      <c r="F41">
        <v>6.05</v>
      </c>
      <c r="G41">
        <v>14217</v>
      </c>
      <c r="H41">
        <f>Engagement_Summary6810[[#This Row],[New_Followers]]-Engagement_Summary6810[[#This Row],[Unfollows]]</f>
        <v>515</v>
      </c>
    </row>
    <row r="42" spans="1:8" x14ac:dyDescent="0.3">
      <c r="A42" s="7">
        <v>45537</v>
      </c>
      <c r="B42" t="s">
        <v>15</v>
      </c>
      <c r="C42">
        <v>1098</v>
      </c>
      <c r="D42">
        <v>142</v>
      </c>
      <c r="E42">
        <v>359150</v>
      </c>
      <c r="F42">
        <v>7.51</v>
      </c>
      <c r="G42">
        <v>16385</v>
      </c>
      <c r="H42">
        <f>Engagement_Summary6810[[#This Row],[New_Followers]]-Engagement_Summary6810[[#This Row],[Unfollows]]</f>
        <v>956</v>
      </c>
    </row>
    <row r="43" spans="1:8" x14ac:dyDescent="0.3">
      <c r="A43" s="7">
        <v>45537</v>
      </c>
      <c r="B43" t="s">
        <v>16</v>
      </c>
      <c r="C43">
        <v>1096</v>
      </c>
      <c r="D43">
        <v>65</v>
      </c>
      <c r="E43">
        <v>358295</v>
      </c>
      <c r="F43">
        <v>7.66</v>
      </c>
      <c r="G43">
        <v>24548</v>
      </c>
      <c r="H43">
        <f>Engagement_Summary6810[[#This Row],[New_Followers]]-Engagement_Summary6810[[#This Row],[Unfollows]]</f>
        <v>1031</v>
      </c>
    </row>
    <row r="44" spans="1:8" x14ac:dyDescent="0.3">
      <c r="A44" s="7">
        <v>45544</v>
      </c>
      <c r="B44" t="s">
        <v>14</v>
      </c>
      <c r="C44">
        <v>912</v>
      </c>
      <c r="D44">
        <v>275</v>
      </c>
      <c r="E44">
        <v>368454</v>
      </c>
      <c r="F44">
        <v>6.03</v>
      </c>
      <c r="G44">
        <v>9195</v>
      </c>
      <c r="H44">
        <f>Engagement_Summary6810[[#This Row],[New_Followers]]-Engagement_Summary6810[[#This Row],[Unfollows]]</f>
        <v>637</v>
      </c>
    </row>
    <row r="45" spans="1:8" x14ac:dyDescent="0.3">
      <c r="A45" s="7">
        <v>45544</v>
      </c>
      <c r="B45" t="s">
        <v>15</v>
      </c>
      <c r="C45">
        <v>1430</v>
      </c>
      <c r="D45">
        <v>162</v>
      </c>
      <c r="E45">
        <v>269082</v>
      </c>
      <c r="F45">
        <v>3.4</v>
      </c>
      <c r="G45">
        <v>18071</v>
      </c>
      <c r="H45">
        <f>Engagement_Summary6810[[#This Row],[New_Followers]]-Engagement_Summary6810[[#This Row],[Unfollows]]</f>
        <v>1268</v>
      </c>
    </row>
    <row r="46" spans="1:8" x14ac:dyDescent="0.3">
      <c r="A46" s="7">
        <v>45544</v>
      </c>
      <c r="B46" t="s">
        <v>16</v>
      </c>
      <c r="C46">
        <v>854</v>
      </c>
      <c r="D46">
        <v>129</v>
      </c>
      <c r="E46">
        <v>310903</v>
      </c>
      <c r="F46">
        <v>7.83</v>
      </c>
      <c r="G46">
        <v>16875</v>
      </c>
      <c r="H46">
        <f>Engagement_Summary6810[[#This Row],[New_Followers]]-Engagement_Summary6810[[#This Row],[Unfollows]]</f>
        <v>725</v>
      </c>
    </row>
    <row r="47" spans="1:8" x14ac:dyDescent="0.3">
      <c r="A47" s="7">
        <v>45551</v>
      </c>
      <c r="B47" t="s">
        <v>14</v>
      </c>
      <c r="C47">
        <v>681</v>
      </c>
      <c r="D47">
        <v>210</v>
      </c>
      <c r="E47">
        <v>248581</v>
      </c>
      <c r="F47">
        <v>8.76</v>
      </c>
      <c r="G47">
        <v>9567</v>
      </c>
      <c r="H47">
        <f>Engagement_Summary6810[[#This Row],[New_Followers]]-Engagement_Summary6810[[#This Row],[Unfollows]]</f>
        <v>471</v>
      </c>
    </row>
    <row r="48" spans="1:8" x14ac:dyDescent="0.3">
      <c r="A48" s="7">
        <v>45551</v>
      </c>
      <c r="B48" t="s">
        <v>15</v>
      </c>
      <c r="C48">
        <v>1373</v>
      </c>
      <c r="D48">
        <v>82</v>
      </c>
      <c r="E48">
        <v>371015</v>
      </c>
      <c r="F48">
        <v>9.52</v>
      </c>
      <c r="G48">
        <v>20306</v>
      </c>
      <c r="H48">
        <f>Engagement_Summary6810[[#This Row],[New_Followers]]-Engagement_Summary6810[[#This Row],[Unfollows]]</f>
        <v>1291</v>
      </c>
    </row>
    <row r="49" spans="1:8" x14ac:dyDescent="0.3">
      <c r="A49" s="7">
        <v>45551</v>
      </c>
      <c r="B49" t="s">
        <v>16</v>
      </c>
      <c r="C49">
        <v>685</v>
      </c>
      <c r="D49">
        <v>285</v>
      </c>
      <c r="E49">
        <v>177452</v>
      </c>
      <c r="F49">
        <v>3.36</v>
      </c>
      <c r="G49">
        <v>21134</v>
      </c>
      <c r="H49">
        <f>Engagement_Summary6810[[#This Row],[New_Followers]]-Engagement_Summary6810[[#This Row],[Unfollows]]</f>
        <v>400</v>
      </c>
    </row>
    <row r="50" spans="1:8" x14ac:dyDescent="0.3">
      <c r="A50" s="7">
        <v>45558</v>
      </c>
      <c r="B50" t="s">
        <v>14</v>
      </c>
      <c r="C50">
        <v>1290</v>
      </c>
      <c r="D50">
        <v>177</v>
      </c>
      <c r="E50">
        <v>80745</v>
      </c>
      <c r="F50">
        <v>9.2200000000000006</v>
      </c>
      <c r="G50">
        <v>26872</v>
      </c>
      <c r="H50">
        <f>Engagement_Summary6810[[#This Row],[New_Followers]]-Engagement_Summary6810[[#This Row],[Unfollows]]</f>
        <v>1113</v>
      </c>
    </row>
    <row r="51" spans="1:8" x14ac:dyDescent="0.3">
      <c r="A51" s="7">
        <v>45558</v>
      </c>
      <c r="B51" t="s">
        <v>15</v>
      </c>
      <c r="C51">
        <v>1437</v>
      </c>
      <c r="D51">
        <v>239</v>
      </c>
      <c r="E51">
        <v>362441</v>
      </c>
      <c r="F51">
        <v>5.57</v>
      </c>
      <c r="G51">
        <v>10253</v>
      </c>
      <c r="H51">
        <f>Engagement_Summary6810[[#This Row],[New_Followers]]-Engagement_Summary6810[[#This Row],[Unfollows]]</f>
        <v>1198</v>
      </c>
    </row>
    <row r="52" spans="1:8" x14ac:dyDescent="0.3">
      <c r="A52" s="7">
        <v>45558</v>
      </c>
      <c r="B52" t="s">
        <v>16</v>
      </c>
      <c r="C52">
        <v>769</v>
      </c>
      <c r="D52">
        <v>295</v>
      </c>
      <c r="E52">
        <v>344771</v>
      </c>
      <c r="F52">
        <v>8.06</v>
      </c>
      <c r="G52">
        <v>23963</v>
      </c>
      <c r="H52">
        <f>Engagement_Summary6810[[#This Row],[New_Followers]]-Engagement_Summary6810[[#This Row],[Unfollows]]</f>
        <v>474</v>
      </c>
    </row>
    <row r="53" spans="1:8" x14ac:dyDescent="0.3">
      <c r="A53" s="7">
        <v>45565</v>
      </c>
      <c r="B53" t="s">
        <v>14</v>
      </c>
      <c r="C53">
        <v>1416</v>
      </c>
      <c r="D53">
        <v>284</v>
      </c>
      <c r="E53">
        <v>374952</v>
      </c>
      <c r="F53">
        <v>3.45</v>
      </c>
      <c r="G53">
        <v>11335</v>
      </c>
      <c r="H53">
        <f>Engagement_Summary6810[[#This Row],[New_Followers]]-Engagement_Summary6810[[#This Row],[Unfollows]]</f>
        <v>1132</v>
      </c>
    </row>
    <row r="54" spans="1:8" x14ac:dyDescent="0.3">
      <c r="A54" s="7">
        <v>45565</v>
      </c>
      <c r="B54" t="s">
        <v>15</v>
      </c>
      <c r="C54">
        <v>998</v>
      </c>
      <c r="D54">
        <v>154</v>
      </c>
      <c r="E54">
        <v>179781</v>
      </c>
      <c r="F54">
        <v>9.58</v>
      </c>
      <c r="G54">
        <v>12115</v>
      </c>
      <c r="H54">
        <f>Engagement_Summary6810[[#This Row],[New_Followers]]-Engagement_Summary6810[[#This Row],[Unfollows]]</f>
        <v>844</v>
      </c>
    </row>
    <row r="55" spans="1:8" x14ac:dyDescent="0.3">
      <c r="A55" s="7">
        <v>45565</v>
      </c>
      <c r="B55" t="s">
        <v>16</v>
      </c>
      <c r="C55">
        <v>1421</v>
      </c>
      <c r="D55">
        <v>246</v>
      </c>
      <c r="E55">
        <v>358581</v>
      </c>
      <c r="F55">
        <v>8.8800000000000008</v>
      </c>
      <c r="G55">
        <v>24358</v>
      </c>
      <c r="H55">
        <f>Engagement_Summary6810[[#This Row],[New_Followers]]-Engagement_Summary6810[[#This Row],[Unfollows]]</f>
        <v>1175</v>
      </c>
    </row>
    <row r="56" spans="1:8" x14ac:dyDescent="0.3">
      <c r="A56" s="7">
        <v>45572</v>
      </c>
      <c r="B56" t="s">
        <v>14</v>
      </c>
      <c r="C56">
        <v>764</v>
      </c>
      <c r="D56">
        <v>205</v>
      </c>
      <c r="E56">
        <v>319294</v>
      </c>
      <c r="F56">
        <v>6.23</v>
      </c>
      <c r="G56">
        <v>12181</v>
      </c>
      <c r="H56">
        <f>Engagement_Summary6810[[#This Row],[New_Followers]]-Engagement_Summary6810[[#This Row],[Unfollows]]</f>
        <v>559</v>
      </c>
    </row>
    <row r="57" spans="1:8" x14ac:dyDescent="0.3">
      <c r="A57" s="7">
        <v>45572</v>
      </c>
      <c r="B57" t="s">
        <v>15</v>
      </c>
      <c r="C57">
        <v>678</v>
      </c>
      <c r="D57">
        <v>124</v>
      </c>
      <c r="E57">
        <v>192022</v>
      </c>
      <c r="F57">
        <v>8.4499999999999993</v>
      </c>
      <c r="G57">
        <v>17729</v>
      </c>
      <c r="H57">
        <f>Engagement_Summary6810[[#This Row],[New_Followers]]-Engagement_Summary6810[[#This Row],[Unfollows]]</f>
        <v>554</v>
      </c>
    </row>
    <row r="58" spans="1:8" x14ac:dyDescent="0.3">
      <c r="A58" s="7">
        <v>45572</v>
      </c>
      <c r="B58" t="s">
        <v>16</v>
      </c>
      <c r="C58">
        <v>1328</v>
      </c>
      <c r="D58">
        <v>103</v>
      </c>
      <c r="E58">
        <v>151462</v>
      </c>
      <c r="F58">
        <v>8.4</v>
      </c>
      <c r="G58">
        <v>10881</v>
      </c>
      <c r="H58">
        <f>Engagement_Summary6810[[#This Row],[New_Followers]]-Engagement_Summary6810[[#This Row],[Unfollows]]</f>
        <v>1225</v>
      </c>
    </row>
    <row r="59" spans="1:8" x14ac:dyDescent="0.3">
      <c r="A59" s="7">
        <v>45579</v>
      </c>
      <c r="B59" t="s">
        <v>14</v>
      </c>
      <c r="C59">
        <v>1161</v>
      </c>
      <c r="D59">
        <v>269</v>
      </c>
      <c r="E59">
        <v>188193</v>
      </c>
      <c r="F59">
        <v>7.34</v>
      </c>
      <c r="G59">
        <v>18576</v>
      </c>
      <c r="H59">
        <f>Engagement_Summary6810[[#This Row],[New_Followers]]-Engagement_Summary6810[[#This Row],[Unfollows]]</f>
        <v>892</v>
      </c>
    </row>
    <row r="60" spans="1:8" x14ac:dyDescent="0.3">
      <c r="A60" s="7">
        <v>45579</v>
      </c>
      <c r="B60" t="s">
        <v>15</v>
      </c>
      <c r="C60">
        <v>588</v>
      </c>
      <c r="D60">
        <v>52</v>
      </c>
      <c r="E60">
        <v>292040</v>
      </c>
      <c r="F60">
        <v>8.14</v>
      </c>
      <c r="G60">
        <v>9383</v>
      </c>
      <c r="H60">
        <f>Engagement_Summary6810[[#This Row],[New_Followers]]-Engagement_Summary6810[[#This Row],[Unfollows]]</f>
        <v>536</v>
      </c>
    </row>
    <row r="61" spans="1:8" x14ac:dyDescent="0.3">
      <c r="A61" s="7">
        <v>45579</v>
      </c>
      <c r="B61" t="s">
        <v>16</v>
      </c>
      <c r="C61">
        <v>1457</v>
      </c>
      <c r="D61">
        <v>215</v>
      </c>
      <c r="E61">
        <v>325325</v>
      </c>
      <c r="F61">
        <v>9.58</v>
      </c>
      <c r="G61">
        <v>14178</v>
      </c>
      <c r="H61">
        <f>Engagement_Summary6810[[#This Row],[New_Followers]]-Engagement_Summary6810[[#This Row],[Unfollows]]</f>
        <v>1242</v>
      </c>
    </row>
    <row r="62" spans="1:8" x14ac:dyDescent="0.3">
      <c r="A62" s="7">
        <v>45586</v>
      </c>
      <c r="B62" t="s">
        <v>14</v>
      </c>
      <c r="C62">
        <v>1190</v>
      </c>
      <c r="D62">
        <v>242</v>
      </c>
      <c r="E62">
        <v>86849</v>
      </c>
      <c r="F62">
        <v>8.06</v>
      </c>
      <c r="G62">
        <v>21254</v>
      </c>
      <c r="H62">
        <f>Engagement_Summary6810[[#This Row],[New_Followers]]-Engagement_Summary6810[[#This Row],[Unfollows]]</f>
        <v>948</v>
      </c>
    </row>
    <row r="63" spans="1:8" x14ac:dyDescent="0.3">
      <c r="A63" s="7">
        <v>45586</v>
      </c>
      <c r="B63" t="s">
        <v>15</v>
      </c>
      <c r="C63">
        <v>886</v>
      </c>
      <c r="D63">
        <v>124</v>
      </c>
      <c r="E63">
        <v>141161</v>
      </c>
      <c r="F63">
        <v>8.19</v>
      </c>
      <c r="G63">
        <v>14215</v>
      </c>
      <c r="H63">
        <f>Engagement_Summary6810[[#This Row],[New_Followers]]-Engagement_Summary6810[[#This Row],[Unfollows]]</f>
        <v>762</v>
      </c>
    </row>
    <row r="64" spans="1:8" x14ac:dyDescent="0.3">
      <c r="A64" s="7">
        <v>45586</v>
      </c>
      <c r="B64" t="s">
        <v>16</v>
      </c>
      <c r="C64">
        <v>1237</v>
      </c>
      <c r="D64">
        <v>155</v>
      </c>
      <c r="E64">
        <v>149916</v>
      </c>
      <c r="F64">
        <v>4.4800000000000004</v>
      </c>
      <c r="G64">
        <v>16921</v>
      </c>
      <c r="H64">
        <f>Engagement_Summary6810[[#This Row],[New_Followers]]-Engagement_Summary6810[[#This Row],[Unfollows]]</f>
        <v>1082</v>
      </c>
    </row>
    <row r="65" spans="1:8" x14ac:dyDescent="0.3">
      <c r="A65" s="7">
        <v>45593</v>
      </c>
      <c r="B65" t="s">
        <v>14</v>
      </c>
      <c r="C65">
        <v>1435</v>
      </c>
      <c r="D65">
        <v>261</v>
      </c>
      <c r="E65">
        <v>308533</v>
      </c>
      <c r="F65">
        <v>4.5199999999999996</v>
      </c>
      <c r="G65">
        <v>25130</v>
      </c>
      <c r="H65">
        <f>Engagement_Summary6810[[#This Row],[New_Followers]]-Engagement_Summary6810[[#This Row],[Unfollows]]</f>
        <v>1174</v>
      </c>
    </row>
    <row r="66" spans="1:8" x14ac:dyDescent="0.3">
      <c r="A66" s="7">
        <v>45593</v>
      </c>
      <c r="B66" t="s">
        <v>15</v>
      </c>
      <c r="C66">
        <v>746</v>
      </c>
      <c r="D66">
        <v>282</v>
      </c>
      <c r="E66">
        <v>293894</v>
      </c>
      <c r="F66">
        <v>5.42</v>
      </c>
      <c r="G66">
        <v>25537</v>
      </c>
      <c r="H66">
        <f>Engagement_Summary6810[[#This Row],[New_Followers]]-Engagement_Summary6810[[#This Row],[Unfollows]]</f>
        <v>464</v>
      </c>
    </row>
    <row r="67" spans="1:8" x14ac:dyDescent="0.3">
      <c r="A67" s="7">
        <v>45593</v>
      </c>
      <c r="B67" t="s">
        <v>16</v>
      </c>
      <c r="C67">
        <v>759</v>
      </c>
      <c r="D67">
        <v>216</v>
      </c>
      <c r="E67">
        <v>147656</v>
      </c>
      <c r="F67">
        <v>4.08</v>
      </c>
      <c r="G67">
        <v>24943</v>
      </c>
      <c r="H67">
        <f>Engagement_Summary6810[[#This Row],[New_Followers]]-Engagement_Summary6810[[#This Row],[Unfollows]]</f>
        <v>543</v>
      </c>
    </row>
    <row r="68" spans="1:8" x14ac:dyDescent="0.3">
      <c r="A68" s="7">
        <v>45600</v>
      </c>
      <c r="B68" t="s">
        <v>14</v>
      </c>
      <c r="C68">
        <v>1437</v>
      </c>
      <c r="D68">
        <v>235</v>
      </c>
      <c r="E68">
        <v>326791</v>
      </c>
      <c r="F68">
        <v>4.0599999999999996</v>
      </c>
      <c r="G68">
        <v>14563</v>
      </c>
      <c r="H68">
        <f>Engagement_Summary6810[[#This Row],[New_Followers]]-Engagement_Summary6810[[#This Row],[Unfollows]]</f>
        <v>1202</v>
      </c>
    </row>
    <row r="69" spans="1:8" x14ac:dyDescent="0.3">
      <c r="A69" s="7">
        <v>45600</v>
      </c>
      <c r="B69" t="s">
        <v>15</v>
      </c>
      <c r="C69">
        <v>1463</v>
      </c>
      <c r="D69">
        <v>73</v>
      </c>
      <c r="E69">
        <v>348877</v>
      </c>
      <c r="F69">
        <v>9.91</v>
      </c>
      <c r="G69">
        <v>26273</v>
      </c>
      <c r="H69">
        <f>Engagement_Summary6810[[#This Row],[New_Followers]]-Engagement_Summary6810[[#This Row],[Unfollows]]</f>
        <v>1390</v>
      </c>
    </row>
    <row r="70" spans="1:8" x14ac:dyDescent="0.3">
      <c r="A70" s="7">
        <v>45600</v>
      </c>
      <c r="B70" t="s">
        <v>16</v>
      </c>
      <c r="C70">
        <v>1208</v>
      </c>
      <c r="D70">
        <v>224</v>
      </c>
      <c r="E70">
        <v>122730</v>
      </c>
      <c r="F70">
        <v>8.7200000000000006</v>
      </c>
      <c r="G70">
        <v>10858</v>
      </c>
      <c r="H70">
        <f>Engagement_Summary6810[[#This Row],[New_Followers]]-Engagement_Summary6810[[#This Row],[Unfollows]]</f>
        <v>984</v>
      </c>
    </row>
    <row r="71" spans="1:8" x14ac:dyDescent="0.3">
      <c r="A71" s="7">
        <v>45607</v>
      </c>
      <c r="B71" t="s">
        <v>14</v>
      </c>
      <c r="C71">
        <v>1391</v>
      </c>
      <c r="D71">
        <v>187</v>
      </c>
      <c r="E71">
        <v>306508</v>
      </c>
      <c r="F71">
        <v>8.3800000000000008</v>
      </c>
      <c r="G71">
        <v>25038</v>
      </c>
      <c r="H71">
        <f>Engagement_Summary6810[[#This Row],[New_Followers]]-Engagement_Summary6810[[#This Row],[Unfollows]]</f>
        <v>1204</v>
      </c>
    </row>
    <row r="72" spans="1:8" x14ac:dyDescent="0.3">
      <c r="A72" s="7">
        <v>45607</v>
      </c>
      <c r="B72" t="s">
        <v>15</v>
      </c>
      <c r="C72">
        <v>655</v>
      </c>
      <c r="D72">
        <v>123</v>
      </c>
      <c r="E72">
        <v>202472</v>
      </c>
      <c r="F72">
        <v>7.56</v>
      </c>
      <c r="G72">
        <v>9092</v>
      </c>
      <c r="H72">
        <f>Engagement_Summary6810[[#This Row],[New_Followers]]-Engagement_Summary6810[[#This Row],[Unfollows]]</f>
        <v>532</v>
      </c>
    </row>
    <row r="73" spans="1:8" x14ac:dyDescent="0.3">
      <c r="A73" s="7">
        <v>45607</v>
      </c>
      <c r="B73" t="s">
        <v>16</v>
      </c>
      <c r="C73">
        <v>1148</v>
      </c>
      <c r="D73">
        <v>90</v>
      </c>
      <c r="E73">
        <v>227249</v>
      </c>
      <c r="F73">
        <v>7.24</v>
      </c>
      <c r="G73">
        <v>17662</v>
      </c>
      <c r="H73">
        <f>Engagement_Summary6810[[#This Row],[New_Followers]]-Engagement_Summary6810[[#This Row],[Unfollows]]</f>
        <v>1058</v>
      </c>
    </row>
    <row r="74" spans="1:8" x14ac:dyDescent="0.3">
      <c r="A74" s="7">
        <v>45614</v>
      </c>
      <c r="B74" t="s">
        <v>14</v>
      </c>
      <c r="C74">
        <v>946</v>
      </c>
      <c r="D74">
        <v>270</v>
      </c>
      <c r="E74">
        <v>246567</v>
      </c>
      <c r="F74">
        <v>4.53</v>
      </c>
      <c r="G74">
        <v>5924</v>
      </c>
      <c r="H74">
        <f>Engagement_Summary6810[[#This Row],[New_Followers]]-Engagement_Summary6810[[#This Row],[Unfollows]]</f>
        <v>676</v>
      </c>
    </row>
    <row r="75" spans="1:8" x14ac:dyDescent="0.3">
      <c r="A75" s="7">
        <v>45614</v>
      </c>
      <c r="B75" t="s">
        <v>15</v>
      </c>
      <c r="C75">
        <v>791</v>
      </c>
      <c r="D75">
        <v>214</v>
      </c>
      <c r="E75">
        <v>114738</v>
      </c>
      <c r="F75">
        <v>6.62</v>
      </c>
      <c r="G75">
        <v>25347</v>
      </c>
      <c r="H75">
        <f>Engagement_Summary6810[[#This Row],[New_Followers]]-Engagement_Summary6810[[#This Row],[Unfollows]]</f>
        <v>577</v>
      </c>
    </row>
    <row r="76" spans="1:8" x14ac:dyDescent="0.3">
      <c r="A76" s="7">
        <v>45614</v>
      </c>
      <c r="B76" t="s">
        <v>16</v>
      </c>
      <c r="C76">
        <v>793</v>
      </c>
      <c r="D76">
        <v>111</v>
      </c>
      <c r="E76">
        <v>333500</v>
      </c>
      <c r="F76">
        <v>6.36</v>
      </c>
      <c r="G76">
        <v>8910</v>
      </c>
      <c r="H76">
        <f>Engagement_Summary6810[[#This Row],[New_Followers]]-Engagement_Summary6810[[#This Row],[Unfollows]]</f>
        <v>682</v>
      </c>
    </row>
    <row r="77" spans="1:8" x14ac:dyDescent="0.3">
      <c r="A77" s="7">
        <v>45621</v>
      </c>
      <c r="B77" t="s">
        <v>14</v>
      </c>
      <c r="C77">
        <v>663</v>
      </c>
      <c r="D77">
        <v>213</v>
      </c>
      <c r="E77">
        <v>352677</v>
      </c>
      <c r="F77">
        <v>9</v>
      </c>
      <c r="G77">
        <v>20438</v>
      </c>
      <c r="H77">
        <f>Engagement_Summary6810[[#This Row],[New_Followers]]-Engagement_Summary6810[[#This Row],[Unfollows]]</f>
        <v>450</v>
      </c>
    </row>
    <row r="78" spans="1:8" x14ac:dyDescent="0.3">
      <c r="A78" s="7">
        <v>45621</v>
      </c>
      <c r="B78" t="s">
        <v>15</v>
      </c>
      <c r="C78">
        <v>954</v>
      </c>
      <c r="D78">
        <v>271</v>
      </c>
      <c r="E78">
        <v>160936</v>
      </c>
      <c r="F78">
        <v>8.83</v>
      </c>
      <c r="G78">
        <v>8760</v>
      </c>
      <c r="H78">
        <f>Engagement_Summary6810[[#This Row],[New_Followers]]-Engagement_Summary6810[[#This Row],[Unfollows]]</f>
        <v>683</v>
      </c>
    </row>
    <row r="79" spans="1:8" x14ac:dyDescent="0.3">
      <c r="A79" s="7">
        <v>45621</v>
      </c>
      <c r="B79" t="s">
        <v>16</v>
      </c>
      <c r="C79">
        <v>1313</v>
      </c>
      <c r="D79">
        <v>159</v>
      </c>
      <c r="E79">
        <v>197183</v>
      </c>
      <c r="F79">
        <v>9.7100000000000009</v>
      </c>
      <c r="G79">
        <v>6625</v>
      </c>
      <c r="H79">
        <f>Engagement_Summary6810[[#This Row],[New_Followers]]-Engagement_Summary6810[[#This Row],[Unfollows]]</f>
        <v>1154</v>
      </c>
    </row>
    <row r="80" spans="1:8" x14ac:dyDescent="0.3">
      <c r="A80" s="7">
        <v>45628</v>
      </c>
      <c r="B80" t="s">
        <v>14</v>
      </c>
      <c r="C80">
        <v>895</v>
      </c>
      <c r="D80">
        <v>87</v>
      </c>
      <c r="E80">
        <v>171271</v>
      </c>
      <c r="F80">
        <v>6.68</v>
      </c>
      <c r="G80">
        <v>23329</v>
      </c>
      <c r="H80">
        <f>Engagement_Summary6810[[#This Row],[New_Followers]]-Engagement_Summary6810[[#This Row],[Unfollows]]</f>
        <v>808</v>
      </c>
    </row>
    <row r="81" spans="1:8" x14ac:dyDescent="0.3">
      <c r="A81" s="7">
        <v>45628</v>
      </c>
      <c r="B81" t="s">
        <v>15</v>
      </c>
      <c r="C81">
        <v>1027</v>
      </c>
      <c r="D81">
        <v>156</v>
      </c>
      <c r="E81">
        <v>111293</v>
      </c>
      <c r="F81">
        <v>5.51</v>
      </c>
      <c r="G81">
        <v>7299</v>
      </c>
      <c r="H81">
        <f>Engagement_Summary6810[[#This Row],[New_Followers]]-Engagement_Summary6810[[#This Row],[Unfollows]]</f>
        <v>871</v>
      </c>
    </row>
    <row r="82" spans="1:8" x14ac:dyDescent="0.3">
      <c r="A82" s="7">
        <v>45628</v>
      </c>
      <c r="B82" t="s">
        <v>16</v>
      </c>
      <c r="C82">
        <v>990</v>
      </c>
      <c r="D82">
        <v>286</v>
      </c>
      <c r="E82">
        <v>351493</v>
      </c>
      <c r="F82">
        <v>7.97</v>
      </c>
      <c r="G82">
        <v>14496</v>
      </c>
      <c r="H82">
        <f>Engagement_Summary6810[[#This Row],[New_Followers]]-Engagement_Summary6810[[#This Row],[Unfollows]]</f>
        <v>704</v>
      </c>
    </row>
    <row r="83" spans="1:8" x14ac:dyDescent="0.3">
      <c r="A83" s="7">
        <v>45635</v>
      </c>
      <c r="B83" t="s">
        <v>14</v>
      </c>
      <c r="C83">
        <v>875</v>
      </c>
      <c r="D83">
        <v>264</v>
      </c>
      <c r="E83">
        <v>345631</v>
      </c>
      <c r="F83">
        <v>9.18</v>
      </c>
      <c r="G83">
        <v>25703</v>
      </c>
      <c r="H83">
        <f>Engagement_Summary6810[[#This Row],[New_Followers]]-Engagement_Summary6810[[#This Row],[Unfollows]]</f>
        <v>611</v>
      </c>
    </row>
    <row r="84" spans="1:8" x14ac:dyDescent="0.3">
      <c r="A84" s="7">
        <v>45635</v>
      </c>
      <c r="B84" t="s">
        <v>15</v>
      </c>
      <c r="C84">
        <v>599</v>
      </c>
      <c r="D84">
        <v>194</v>
      </c>
      <c r="E84">
        <v>105622</v>
      </c>
      <c r="F84">
        <v>6.44</v>
      </c>
      <c r="G84">
        <v>15108</v>
      </c>
      <c r="H84">
        <f>Engagement_Summary6810[[#This Row],[New_Followers]]-Engagement_Summary6810[[#This Row],[Unfollows]]</f>
        <v>405</v>
      </c>
    </row>
    <row r="85" spans="1:8" x14ac:dyDescent="0.3">
      <c r="A85" s="7">
        <v>45635</v>
      </c>
      <c r="B85" t="s">
        <v>16</v>
      </c>
      <c r="C85">
        <v>630</v>
      </c>
      <c r="D85">
        <v>248</v>
      </c>
      <c r="E85">
        <v>119054</v>
      </c>
      <c r="F85">
        <v>5.0199999999999996</v>
      </c>
      <c r="G85">
        <v>18867</v>
      </c>
      <c r="H85">
        <f>Engagement_Summary6810[[#This Row],[New_Followers]]-Engagement_Summary6810[[#This Row],[Unfollows]]</f>
        <v>382</v>
      </c>
    </row>
    <row r="86" spans="1:8" x14ac:dyDescent="0.3">
      <c r="A86" s="7">
        <v>45642</v>
      </c>
      <c r="B86" t="s">
        <v>14</v>
      </c>
      <c r="C86">
        <v>1350</v>
      </c>
      <c r="D86">
        <v>233</v>
      </c>
      <c r="E86">
        <v>171670</v>
      </c>
      <c r="F86">
        <v>4.53</v>
      </c>
      <c r="G86">
        <v>17574</v>
      </c>
      <c r="H86">
        <f>Engagement_Summary6810[[#This Row],[New_Followers]]-Engagement_Summary6810[[#This Row],[Unfollows]]</f>
        <v>1117</v>
      </c>
    </row>
    <row r="87" spans="1:8" x14ac:dyDescent="0.3">
      <c r="A87" s="7">
        <v>45642</v>
      </c>
      <c r="B87" t="s">
        <v>15</v>
      </c>
      <c r="C87">
        <v>632</v>
      </c>
      <c r="D87">
        <v>155</v>
      </c>
      <c r="E87">
        <v>170432</v>
      </c>
      <c r="F87">
        <v>9.17</v>
      </c>
      <c r="G87">
        <v>12840</v>
      </c>
      <c r="H87">
        <f>Engagement_Summary6810[[#This Row],[New_Followers]]-Engagement_Summary6810[[#This Row],[Unfollows]]</f>
        <v>477</v>
      </c>
    </row>
    <row r="88" spans="1:8" x14ac:dyDescent="0.3">
      <c r="A88" s="7">
        <v>45642</v>
      </c>
      <c r="B88" t="s">
        <v>16</v>
      </c>
      <c r="C88">
        <v>1182</v>
      </c>
      <c r="D88">
        <v>83</v>
      </c>
      <c r="E88">
        <v>140300</v>
      </c>
      <c r="F88">
        <v>3.27</v>
      </c>
      <c r="G88">
        <v>21079</v>
      </c>
      <c r="H88">
        <f>Engagement_Summary6810[[#This Row],[New_Followers]]-Engagement_Summary6810[[#This Row],[Unfollows]]</f>
        <v>1099</v>
      </c>
    </row>
    <row r="89" spans="1:8" x14ac:dyDescent="0.3">
      <c r="A89" s="7">
        <v>45649</v>
      </c>
      <c r="B89" t="s">
        <v>14</v>
      </c>
      <c r="C89">
        <v>661</v>
      </c>
      <c r="D89">
        <v>94</v>
      </c>
      <c r="E89">
        <v>116538</v>
      </c>
      <c r="F89">
        <v>5.31</v>
      </c>
      <c r="G89">
        <v>23486</v>
      </c>
      <c r="H89">
        <f>Engagement_Summary6810[[#This Row],[New_Followers]]-Engagement_Summary6810[[#This Row],[Unfollows]]</f>
        <v>567</v>
      </c>
    </row>
    <row r="90" spans="1:8" x14ac:dyDescent="0.3">
      <c r="A90" s="7">
        <v>45649</v>
      </c>
      <c r="B90" t="s">
        <v>15</v>
      </c>
      <c r="C90">
        <v>1360</v>
      </c>
      <c r="D90">
        <v>227</v>
      </c>
      <c r="E90">
        <v>176902</v>
      </c>
      <c r="F90">
        <v>6.03</v>
      </c>
      <c r="G90">
        <v>5960</v>
      </c>
      <c r="H90">
        <f>Engagement_Summary6810[[#This Row],[New_Followers]]-Engagement_Summary6810[[#This Row],[Unfollows]]</f>
        <v>1133</v>
      </c>
    </row>
    <row r="91" spans="1:8" x14ac:dyDescent="0.3">
      <c r="A91" s="7">
        <v>45649</v>
      </c>
      <c r="B91" t="s">
        <v>16</v>
      </c>
      <c r="C91">
        <v>935</v>
      </c>
      <c r="D91">
        <v>85</v>
      </c>
      <c r="E91">
        <v>326821</v>
      </c>
      <c r="F91">
        <v>8.89</v>
      </c>
      <c r="G91">
        <v>13301</v>
      </c>
      <c r="H91">
        <f>Engagement_Summary6810[[#This Row],[New_Followers]]-Engagement_Summary6810[[#This Row],[Unfollows]]</f>
        <v>850</v>
      </c>
    </row>
    <row r="92" spans="1:8" x14ac:dyDescent="0.3">
      <c r="A92" s="7">
        <v>45656</v>
      </c>
      <c r="B92" t="s">
        <v>14</v>
      </c>
      <c r="C92">
        <v>664</v>
      </c>
      <c r="D92">
        <v>251</v>
      </c>
      <c r="E92">
        <v>240598</v>
      </c>
      <c r="F92">
        <v>4.79</v>
      </c>
      <c r="G92">
        <v>10563</v>
      </c>
      <c r="H92">
        <f>Engagement_Summary6810[[#This Row],[New_Followers]]-Engagement_Summary6810[[#This Row],[Unfollows]]</f>
        <v>413</v>
      </c>
    </row>
    <row r="93" spans="1:8" x14ac:dyDescent="0.3">
      <c r="A93" s="7">
        <v>45656</v>
      </c>
      <c r="B93" t="s">
        <v>15</v>
      </c>
      <c r="C93">
        <v>1490</v>
      </c>
      <c r="D93">
        <v>103</v>
      </c>
      <c r="E93">
        <v>373274</v>
      </c>
      <c r="F93">
        <v>4.8</v>
      </c>
      <c r="G93">
        <v>19949</v>
      </c>
      <c r="H93">
        <f>Engagement_Summary6810[[#This Row],[New_Followers]]-Engagement_Summary6810[[#This Row],[Unfollows]]</f>
        <v>1387</v>
      </c>
    </row>
    <row r="94" spans="1:8" x14ac:dyDescent="0.3">
      <c r="A94" s="7">
        <v>45656</v>
      </c>
      <c r="B94" t="s">
        <v>16</v>
      </c>
      <c r="C94">
        <v>601</v>
      </c>
      <c r="D94">
        <v>64</v>
      </c>
      <c r="E94">
        <v>123272</v>
      </c>
      <c r="F94">
        <v>4.07</v>
      </c>
      <c r="G94">
        <v>14273</v>
      </c>
      <c r="H94">
        <f>Engagement_Summary6810[[#This Row],[New_Followers]]-Engagement_Summary6810[[#This Row],[Unfollows]]</f>
        <v>537</v>
      </c>
    </row>
    <row r="95" spans="1:8" x14ac:dyDescent="0.3">
      <c r="A95" s="7">
        <v>45663</v>
      </c>
      <c r="B95" t="s">
        <v>14</v>
      </c>
      <c r="C95">
        <v>613</v>
      </c>
      <c r="D95">
        <v>170</v>
      </c>
      <c r="E95">
        <v>139266</v>
      </c>
      <c r="F95">
        <v>6.06</v>
      </c>
      <c r="G95">
        <v>9247</v>
      </c>
      <c r="H95">
        <f>Engagement_Summary6810[[#This Row],[New_Followers]]-Engagement_Summary6810[[#This Row],[Unfollows]]</f>
        <v>443</v>
      </c>
    </row>
    <row r="96" spans="1:8" x14ac:dyDescent="0.3">
      <c r="A96" s="7">
        <v>45663</v>
      </c>
      <c r="B96" t="s">
        <v>15</v>
      </c>
      <c r="C96">
        <v>1340</v>
      </c>
      <c r="D96">
        <v>57</v>
      </c>
      <c r="E96">
        <v>155927</v>
      </c>
      <c r="F96">
        <v>7.79</v>
      </c>
      <c r="G96">
        <v>11972</v>
      </c>
      <c r="H96">
        <f>Engagement_Summary6810[[#This Row],[New_Followers]]-Engagement_Summary6810[[#This Row],[Unfollows]]</f>
        <v>1283</v>
      </c>
    </row>
    <row r="97" spans="1:8" x14ac:dyDescent="0.3">
      <c r="A97" s="7">
        <v>45663</v>
      </c>
      <c r="B97" t="s">
        <v>16</v>
      </c>
      <c r="C97">
        <v>953</v>
      </c>
      <c r="D97">
        <v>228</v>
      </c>
      <c r="E97">
        <v>258398</v>
      </c>
      <c r="F97">
        <v>9.0500000000000007</v>
      </c>
      <c r="G97">
        <v>13314</v>
      </c>
      <c r="H97">
        <f>Engagement_Summary6810[[#This Row],[New_Followers]]-Engagement_Summary6810[[#This Row],[Unfollows]]</f>
        <v>725</v>
      </c>
    </row>
    <row r="98" spans="1:8" x14ac:dyDescent="0.3">
      <c r="A98" s="7">
        <v>45670</v>
      </c>
      <c r="B98" t="s">
        <v>14</v>
      </c>
      <c r="C98">
        <v>532</v>
      </c>
      <c r="D98">
        <v>65</v>
      </c>
      <c r="E98">
        <v>338561</v>
      </c>
      <c r="F98">
        <v>3.5</v>
      </c>
      <c r="G98">
        <v>14749</v>
      </c>
      <c r="H98">
        <f>Engagement_Summary6810[[#This Row],[New_Followers]]-Engagement_Summary6810[[#This Row],[Unfollows]]</f>
        <v>467</v>
      </c>
    </row>
    <row r="99" spans="1:8" x14ac:dyDescent="0.3">
      <c r="A99" s="7">
        <v>45670</v>
      </c>
      <c r="B99" t="s">
        <v>15</v>
      </c>
      <c r="C99">
        <v>1414</v>
      </c>
      <c r="D99">
        <v>60</v>
      </c>
      <c r="E99">
        <v>341856</v>
      </c>
      <c r="F99">
        <v>8.76</v>
      </c>
      <c r="G99">
        <v>6868</v>
      </c>
      <c r="H99">
        <f>Engagement_Summary6810[[#This Row],[New_Followers]]-Engagement_Summary6810[[#This Row],[Unfollows]]</f>
        <v>1354</v>
      </c>
    </row>
    <row r="100" spans="1:8" x14ac:dyDescent="0.3">
      <c r="A100" s="7">
        <v>45670</v>
      </c>
      <c r="B100" t="s">
        <v>16</v>
      </c>
      <c r="C100">
        <v>685</v>
      </c>
      <c r="D100">
        <v>165</v>
      </c>
      <c r="E100">
        <v>175860</v>
      </c>
      <c r="F100">
        <v>6.26</v>
      </c>
      <c r="G100">
        <v>6027</v>
      </c>
      <c r="H100">
        <f>Engagement_Summary6810[[#This Row],[New_Followers]]-Engagement_Summary6810[[#This Row],[Unfollows]]</f>
        <v>520</v>
      </c>
    </row>
    <row r="101" spans="1:8" x14ac:dyDescent="0.3">
      <c r="A101" s="7">
        <v>45677</v>
      </c>
      <c r="B101" t="s">
        <v>14</v>
      </c>
      <c r="C101">
        <v>601</v>
      </c>
      <c r="D101">
        <v>159</v>
      </c>
      <c r="E101">
        <v>327722</v>
      </c>
      <c r="F101">
        <v>3.33</v>
      </c>
      <c r="G101">
        <v>25267</v>
      </c>
      <c r="H101">
        <f>Engagement_Summary6810[[#This Row],[New_Followers]]-Engagement_Summary6810[[#This Row],[Unfollows]]</f>
        <v>442</v>
      </c>
    </row>
    <row r="102" spans="1:8" x14ac:dyDescent="0.3">
      <c r="A102" s="7">
        <v>45677</v>
      </c>
      <c r="B102" t="s">
        <v>15</v>
      </c>
      <c r="C102">
        <v>841</v>
      </c>
      <c r="D102">
        <v>295</v>
      </c>
      <c r="E102">
        <v>271638</v>
      </c>
      <c r="F102">
        <v>9.15</v>
      </c>
      <c r="G102">
        <v>5900</v>
      </c>
      <c r="H102">
        <f>Engagement_Summary6810[[#This Row],[New_Followers]]-Engagement_Summary6810[[#This Row],[Unfollows]]</f>
        <v>546</v>
      </c>
    </row>
    <row r="103" spans="1:8" x14ac:dyDescent="0.3">
      <c r="A103" s="7">
        <v>45677</v>
      </c>
      <c r="B103" t="s">
        <v>16</v>
      </c>
      <c r="C103">
        <v>1105</v>
      </c>
      <c r="D103">
        <v>261</v>
      </c>
      <c r="E103">
        <v>333851</v>
      </c>
      <c r="F103">
        <v>6.03</v>
      </c>
      <c r="G103">
        <v>11181</v>
      </c>
      <c r="H103">
        <f>Engagement_Summary6810[[#This Row],[New_Followers]]-Engagement_Summary6810[[#This Row],[Unfollows]]</f>
        <v>844</v>
      </c>
    </row>
    <row r="104" spans="1:8" x14ac:dyDescent="0.3">
      <c r="A104" s="7">
        <v>45684</v>
      </c>
      <c r="B104" t="s">
        <v>14</v>
      </c>
      <c r="C104">
        <v>566</v>
      </c>
      <c r="D104">
        <v>225</v>
      </c>
      <c r="E104">
        <v>368984</v>
      </c>
      <c r="F104">
        <v>9.82</v>
      </c>
      <c r="G104">
        <v>9592</v>
      </c>
      <c r="H104">
        <f>Engagement_Summary6810[[#This Row],[New_Followers]]-Engagement_Summary6810[[#This Row],[Unfollows]]</f>
        <v>341</v>
      </c>
    </row>
    <row r="105" spans="1:8" x14ac:dyDescent="0.3">
      <c r="A105" s="7">
        <v>45684</v>
      </c>
      <c r="B105" t="s">
        <v>15</v>
      </c>
      <c r="C105">
        <v>1149</v>
      </c>
      <c r="D105">
        <v>280</v>
      </c>
      <c r="E105">
        <v>167310</v>
      </c>
      <c r="F105">
        <v>3.7</v>
      </c>
      <c r="G105">
        <v>5291</v>
      </c>
      <c r="H105">
        <f>Engagement_Summary6810[[#This Row],[New_Followers]]-Engagement_Summary6810[[#This Row],[Unfollows]]</f>
        <v>869</v>
      </c>
    </row>
    <row r="106" spans="1:8" x14ac:dyDescent="0.3">
      <c r="A106" s="7">
        <v>45684</v>
      </c>
      <c r="B106" t="s">
        <v>16</v>
      </c>
      <c r="C106">
        <v>819</v>
      </c>
      <c r="D106">
        <v>101</v>
      </c>
      <c r="E106">
        <v>194811</v>
      </c>
      <c r="F106">
        <v>3.35</v>
      </c>
      <c r="G106">
        <v>22244</v>
      </c>
      <c r="H106">
        <f>Engagement_Summary6810[[#This Row],[New_Followers]]-Engagement_Summary6810[[#This Row],[Unfollows]]</f>
        <v>718</v>
      </c>
    </row>
    <row r="107" spans="1:8" x14ac:dyDescent="0.3">
      <c r="A107" s="7">
        <v>45691</v>
      </c>
      <c r="B107" t="s">
        <v>14</v>
      </c>
      <c r="C107">
        <v>795</v>
      </c>
      <c r="D107">
        <v>60</v>
      </c>
      <c r="E107">
        <v>314982</v>
      </c>
      <c r="F107">
        <v>7.31</v>
      </c>
      <c r="G107">
        <v>6824</v>
      </c>
      <c r="H107">
        <f>Engagement_Summary6810[[#This Row],[New_Followers]]-Engagement_Summary6810[[#This Row],[Unfollows]]</f>
        <v>735</v>
      </c>
    </row>
    <row r="108" spans="1:8" x14ac:dyDescent="0.3">
      <c r="A108" s="7">
        <v>45691</v>
      </c>
      <c r="B108" t="s">
        <v>15</v>
      </c>
      <c r="C108">
        <v>681</v>
      </c>
      <c r="D108">
        <v>158</v>
      </c>
      <c r="E108">
        <v>75960</v>
      </c>
      <c r="F108">
        <v>3.13</v>
      </c>
      <c r="G108">
        <v>24112</v>
      </c>
      <c r="H108">
        <f>Engagement_Summary6810[[#This Row],[New_Followers]]-Engagement_Summary6810[[#This Row],[Unfollows]]</f>
        <v>523</v>
      </c>
    </row>
    <row r="109" spans="1:8" x14ac:dyDescent="0.3">
      <c r="A109" s="7">
        <v>45691</v>
      </c>
      <c r="B109" t="s">
        <v>16</v>
      </c>
      <c r="C109">
        <v>534</v>
      </c>
      <c r="D109">
        <v>112</v>
      </c>
      <c r="E109">
        <v>360759</v>
      </c>
      <c r="F109">
        <v>4.8899999999999997</v>
      </c>
      <c r="G109">
        <v>25478</v>
      </c>
      <c r="H109">
        <f>Engagement_Summary6810[[#This Row],[New_Followers]]-Engagement_Summary6810[[#This Row],[Unfollows]]</f>
        <v>422</v>
      </c>
    </row>
    <row r="110" spans="1:8" x14ac:dyDescent="0.3">
      <c r="A110" s="7">
        <v>45698</v>
      </c>
      <c r="B110" t="s">
        <v>14</v>
      </c>
      <c r="C110">
        <v>1066</v>
      </c>
      <c r="D110">
        <v>151</v>
      </c>
      <c r="E110">
        <v>297090</v>
      </c>
      <c r="F110">
        <v>8.6300000000000008</v>
      </c>
      <c r="G110">
        <v>11235</v>
      </c>
      <c r="H110">
        <f>Engagement_Summary6810[[#This Row],[New_Followers]]-Engagement_Summary6810[[#This Row],[Unfollows]]</f>
        <v>915</v>
      </c>
    </row>
    <row r="111" spans="1:8" x14ac:dyDescent="0.3">
      <c r="A111" s="7">
        <v>45698</v>
      </c>
      <c r="B111" t="s">
        <v>15</v>
      </c>
      <c r="C111">
        <v>1270</v>
      </c>
      <c r="D111">
        <v>162</v>
      </c>
      <c r="E111">
        <v>92040</v>
      </c>
      <c r="F111">
        <v>8.0299999999999994</v>
      </c>
      <c r="G111">
        <v>6120</v>
      </c>
      <c r="H111">
        <f>Engagement_Summary6810[[#This Row],[New_Followers]]-Engagement_Summary6810[[#This Row],[Unfollows]]</f>
        <v>1108</v>
      </c>
    </row>
    <row r="112" spans="1:8" x14ac:dyDescent="0.3">
      <c r="A112" s="7">
        <v>45698</v>
      </c>
      <c r="B112" t="s">
        <v>16</v>
      </c>
      <c r="C112">
        <v>536</v>
      </c>
      <c r="D112">
        <v>198</v>
      </c>
      <c r="E112">
        <v>174610</v>
      </c>
      <c r="F112">
        <v>7.85</v>
      </c>
      <c r="G112">
        <v>20572</v>
      </c>
      <c r="H112">
        <f>Engagement_Summary6810[[#This Row],[New_Followers]]-Engagement_Summary6810[[#This Row],[Unfollows]]</f>
        <v>338</v>
      </c>
    </row>
    <row r="113" spans="1:8" x14ac:dyDescent="0.3">
      <c r="A113" s="7">
        <v>45705</v>
      </c>
      <c r="B113" t="s">
        <v>14</v>
      </c>
      <c r="C113">
        <v>819</v>
      </c>
      <c r="D113">
        <v>95</v>
      </c>
      <c r="E113">
        <v>177376</v>
      </c>
      <c r="F113">
        <v>6.12</v>
      </c>
      <c r="G113">
        <v>14975</v>
      </c>
      <c r="H113">
        <f>Engagement_Summary6810[[#This Row],[New_Followers]]-Engagement_Summary6810[[#This Row],[Unfollows]]</f>
        <v>724</v>
      </c>
    </row>
    <row r="114" spans="1:8" x14ac:dyDescent="0.3">
      <c r="A114" s="7">
        <v>45705</v>
      </c>
      <c r="B114" t="s">
        <v>15</v>
      </c>
      <c r="C114">
        <v>681</v>
      </c>
      <c r="D114">
        <v>218</v>
      </c>
      <c r="E114">
        <v>198882</v>
      </c>
      <c r="F114">
        <v>7.16</v>
      </c>
      <c r="G114">
        <v>22234</v>
      </c>
      <c r="H114">
        <f>Engagement_Summary6810[[#This Row],[New_Followers]]-Engagement_Summary6810[[#This Row],[Unfollows]]</f>
        <v>463</v>
      </c>
    </row>
    <row r="115" spans="1:8" x14ac:dyDescent="0.3">
      <c r="A115" s="7">
        <v>45705</v>
      </c>
      <c r="B115" t="s">
        <v>16</v>
      </c>
      <c r="C115">
        <v>646</v>
      </c>
      <c r="D115">
        <v>290</v>
      </c>
      <c r="E115">
        <v>336383</v>
      </c>
      <c r="F115">
        <v>7.04</v>
      </c>
      <c r="G115">
        <v>6532</v>
      </c>
      <c r="H115">
        <f>Engagement_Summary6810[[#This Row],[New_Followers]]-Engagement_Summary6810[[#This Row],[Unfollows]]</f>
        <v>356</v>
      </c>
    </row>
    <row r="116" spans="1:8" x14ac:dyDescent="0.3">
      <c r="A116" s="7">
        <v>45712</v>
      </c>
      <c r="B116" t="s">
        <v>14</v>
      </c>
      <c r="C116">
        <v>645</v>
      </c>
      <c r="D116">
        <v>267</v>
      </c>
      <c r="E116">
        <v>346890</v>
      </c>
      <c r="F116">
        <v>3.71</v>
      </c>
      <c r="G116">
        <v>24858</v>
      </c>
      <c r="H116">
        <f>Engagement_Summary6810[[#This Row],[New_Followers]]-Engagement_Summary6810[[#This Row],[Unfollows]]</f>
        <v>378</v>
      </c>
    </row>
    <row r="117" spans="1:8" x14ac:dyDescent="0.3">
      <c r="A117" s="7">
        <v>45712</v>
      </c>
      <c r="B117" t="s">
        <v>15</v>
      </c>
      <c r="C117">
        <v>886</v>
      </c>
      <c r="D117">
        <v>250</v>
      </c>
      <c r="E117">
        <v>168170</v>
      </c>
      <c r="F117">
        <v>4.12</v>
      </c>
      <c r="G117">
        <v>13883</v>
      </c>
      <c r="H117">
        <f>Engagement_Summary6810[[#This Row],[New_Followers]]-Engagement_Summary6810[[#This Row],[Unfollows]]</f>
        <v>636</v>
      </c>
    </row>
    <row r="118" spans="1:8" x14ac:dyDescent="0.3">
      <c r="A118" s="7">
        <v>45712</v>
      </c>
      <c r="B118" t="s">
        <v>16</v>
      </c>
      <c r="C118">
        <v>978</v>
      </c>
      <c r="D118">
        <v>279</v>
      </c>
      <c r="E118">
        <v>368872</v>
      </c>
      <c r="F118">
        <v>6.82</v>
      </c>
      <c r="G118">
        <v>18654</v>
      </c>
      <c r="H118">
        <f>Engagement_Summary6810[[#This Row],[New_Followers]]-Engagement_Summary6810[[#This Row],[Unfollows]]</f>
        <v>699</v>
      </c>
    </row>
    <row r="119" spans="1:8" x14ac:dyDescent="0.3">
      <c r="A119" s="7">
        <v>45719</v>
      </c>
      <c r="B119" t="s">
        <v>14</v>
      </c>
      <c r="C119">
        <v>1444</v>
      </c>
      <c r="D119">
        <v>165</v>
      </c>
      <c r="E119">
        <v>116436</v>
      </c>
      <c r="F119">
        <v>8.2200000000000006</v>
      </c>
      <c r="G119">
        <v>25234</v>
      </c>
      <c r="H119">
        <f>Engagement_Summary6810[[#This Row],[New_Followers]]-Engagement_Summary6810[[#This Row],[Unfollows]]</f>
        <v>1279</v>
      </c>
    </row>
    <row r="120" spans="1:8" x14ac:dyDescent="0.3">
      <c r="A120" s="7">
        <v>45719</v>
      </c>
      <c r="B120" t="s">
        <v>15</v>
      </c>
      <c r="C120">
        <v>1234</v>
      </c>
      <c r="D120">
        <v>228</v>
      </c>
      <c r="E120">
        <v>127502</v>
      </c>
      <c r="F120">
        <v>7.71</v>
      </c>
      <c r="G120">
        <v>6772</v>
      </c>
      <c r="H120">
        <f>Engagement_Summary6810[[#This Row],[New_Followers]]-Engagement_Summary6810[[#This Row],[Unfollows]]</f>
        <v>1006</v>
      </c>
    </row>
    <row r="121" spans="1:8" x14ac:dyDescent="0.3">
      <c r="A121" s="7">
        <v>45719</v>
      </c>
      <c r="B121" t="s">
        <v>16</v>
      </c>
      <c r="C121">
        <v>665</v>
      </c>
      <c r="D121">
        <v>187</v>
      </c>
      <c r="E121">
        <v>274567</v>
      </c>
      <c r="F121">
        <v>7.39</v>
      </c>
      <c r="G121">
        <v>22428</v>
      </c>
      <c r="H121">
        <f>Engagement_Summary6810[[#This Row],[New_Followers]]-Engagement_Summary6810[[#This Row],[Unfollows]]</f>
        <v>478</v>
      </c>
    </row>
    <row r="122" spans="1:8" x14ac:dyDescent="0.3">
      <c r="A122" s="7">
        <v>45726</v>
      </c>
      <c r="B122" t="s">
        <v>14</v>
      </c>
      <c r="C122">
        <v>631</v>
      </c>
      <c r="D122">
        <v>86</v>
      </c>
      <c r="E122">
        <v>295090</v>
      </c>
      <c r="F122">
        <v>7.89</v>
      </c>
      <c r="G122">
        <v>11911</v>
      </c>
      <c r="H122">
        <f>Engagement_Summary6810[[#This Row],[New_Followers]]-Engagement_Summary6810[[#This Row],[Unfollows]]</f>
        <v>545</v>
      </c>
    </row>
    <row r="123" spans="1:8" x14ac:dyDescent="0.3">
      <c r="A123" s="7">
        <v>45726</v>
      </c>
      <c r="B123" t="s">
        <v>15</v>
      </c>
      <c r="C123">
        <v>1159</v>
      </c>
      <c r="D123">
        <v>154</v>
      </c>
      <c r="E123">
        <v>194994</v>
      </c>
      <c r="F123">
        <v>6.39</v>
      </c>
      <c r="G123">
        <v>21900</v>
      </c>
      <c r="H123">
        <f>Engagement_Summary6810[[#This Row],[New_Followers]]-Engagement_Summary6810[[#This Row],[Unfollows]]</f>
        <v>1005</v>
      </c>
    </row>
    <row r="124" spans="1:8" x14ac:dyDescent="0.3">
      <c r="A124" s="7">
        <v>45726</v>
      </c>
      <c r="B124" t="s">
        <v>16</v>
      </c>
      <c r="C124">
        <v>950</v>
      </c>
      <c r="D124">
        <v>185</v>
      </c>
      <c r="E124">
        <v>340750</v>
      </c>
      <c r="F124">
        <v>6.77</v>
      </c>
      <c r="G124">
        <v>25542</v>
      </c>
      <c r="H124">
        <f>Engagement_Summary6810[[#This Row],[New_Followers]]-Engagement_Summary6810[[#This Row],[Unfollows]]</f>
        <v>765</v>
      </c>
    </row>
    <row r="125" spans="1:8" x14ac:dyDescent="0.3">
      <c r="A125" s="7">
        <v>45733</v>
      </c>
      <c r="B125" t="s">
        <v>14</v>
      </c>
      <c r="C125">
        <v>693</v>
      </c>
      <c r="D125">
        <v>129</v>
      </c>
      <c r="E125">
        <v>296031</v>
      </c>
      <c r="F125">
        <v>3.41</v>
      </c>
      <c r="G125">
        <v>7140</v>
      </c>
      <c r="H125">
        <f>Engagement_Summary6810[[#This Row],[New_Followers]]-Engagement_Summary6810[[#This Row],[Unfollows]]</f>
        <v>564</v>
      </c>
    </row>
    <row r="126" spans="1:8" x14ac:dyDescent="0.3">
      <c r="A126" s="7">
        <v>45733</v>
      </c>
      <c r="B126" t="s">
        <v>15</v>
      </c>
      <c r="C126">
        <v>576</v>
      </c>
      <c r="D126">
        <v>80</v>
      </c>
      <c r="E126">
        <v>345688</v>
      </c>
      <c r="F126">
        <v>4.1100000000000003</v>
      </c>
      <c r="G126">
        <v>20474</v>
      </c>
      <c r="H126">
        <f>Engagement_Summary6810[[#This Row],[New_Followers]]-Engagement_Summary6810[[#This Row],[Unfollows]]</f>
        <v>496</v>
      </c>
    </row>
    <row r="127" spans="1:8" x14ac:dyDescent="0.3">
      <c r="A127" s="7">
        <v>45733</v>
      </c>
      <c r="B127" t="s">
        <v>16</v>
      </c>
      <c r="C127">
        <v>1274</v>
      </c>
      <c r="D127">
        <v>146</v>
      </c>
      <c r="E127">
        <v>263488</v>
      </c>
      <c r="F127">
        <v>9.58</v>
      </c>
      <c r="G127">
        <v>8698</v>
      </c>
      <c r="H127">
        <f>Engagement_Summary6810[[#This Row],[New_Followers]]-Engagement_Summary6810[[#This Row],[Unfollows]]</f>
        <v>1128</v>
      </c>
    </row>
    <row r="128" spans="1:8" x14ac:dyDescent="0.3">
      <c r="A128" s="7">
        <v>45740</v>
      </c>
      <c r="B128" t="s">
        <v>14</v>
      </c>
      <c r="C128">
        <v>818</v>
      </c>
      <c r="D128">
        <v>253</v>
      </c>
      <c r="E128">
        <v>184911</v>
      </c>
      <c r="F128">
        <v>3.39</v>
      </c>
      <c r="G128">
        <v>10402</v>
      </c>
      <c r="H128">
        <f>Engagement_Summary6810[[#This Row],[New_Followers]]-Engagement_Summary6810[[#This Row],[Unfollows]]</f>
        <v>565</v>
      </c>
    </row>
    <row r="129" spans="1:8" x14ac:dyDescent="0.3">
      <c r="A129" s="7">
        <v>45740</v>
      </c>
      <c r="B129" t="s">
        <v>15</v>
      </c>
      <c r="C129">
        <v>975</v>
      </c>
      <c r="D129">
        <v>162</v>
      </c>
      <c r="E129">
        <v>124497</v>
      </c>
      <c r="F129">
        <v>9.58</v>
      </c>
      <c r="G129">
        <v>26618</v>
      </c>
      <c r="H129">
        <f>Engagement_Summary6810[[#This Row],[New_Followers]]-Engagement_Summary6810[[#This Row],[Unfollows]]</f>
        <v>813</v>
      </c>
    </row>
    <row r="130" spans="1:8" x14ac:dyDescent="0.3">
      <c r="A130" s="7">
        <v>45740</v>
      </c>
      <c r="B130" t="s">
        <v>16</v>
      </c>
      <c r="C130">
        <v>1398</v>
      </c>
      <c r="D130">
        <v>97</v>
      </c>
      <c r="E130">
        <v>397607</v>
      </c>
      <c r="F130">
        <v>5.09</v>
      </c>
      <c r="G130">
        <v>7975</v>
      </c>
      <c r="H130">
        <f>Engagement_Summary6810[[#This Row],[New_Followers]]-Engagement_Summary6810[[#This Row],[Unfollows]]</f>
        <v>1301</v>
      </c>
    </row>
    <row r="131" spans="1:8" x14ac:dyDescent="0.3">
      <c r="A131" s="7">
        <v>45747</v>
      </c>
      <c r="B131" t="s">
        <v>14</v>
      </c>
      <c r="C131">
        <v>591</v>
      </c>
      <c r="D131">
        <v>155</v>
      </c>
      <c r="E131">
        <v>138521</v>
      </c>
      <c r="F131">
        <v>7.85</v>
      </c>
      <c r="G131">
        <v>19054</v>
      </c>
      <c r="H131">
        <f>Engagement_Summary6810[[#This Row],[New_Followers]]-Engagement_Summary6810[[#This Row],[Unfollows]]</f>
        <v>436</v>
      </c>
    </row>
    <row r="132" spans="1:8" x14ac:dyDescent="0.3">
      <c r="A132" s="7">
        <v>45747</v>
      </c>
      <c r="B132" t="s">
        <v>15</v>
      </c>
      <c r="C132">
        <v>1232</v>
      </c>
      <c r="D132">
        <v>254</v>
      </c>
      <c r="E132">
        <v>107718</v>
      </c>
      <c r="F132">
        <v>9.7100000000000009</v>
      </c>
      <c r="G132">
        <v>13740</v>
      </c>
      <c r="H132">
        <f>Engagement_Summary6810[[#This Row],[New_Followers]]-Engagement_Summary6810[[#This Row],[Unfollows]]</f>
        <v>978</v>
      </c>
    </row>
    <row r="133" spans="1:8" x14ac:dyDescent="0.3">
      <c r="A133" s="7">
        <v>45747</v>
      </c>
      <c r="B133" t="s">
        <v>16</v>
      </c>
      <c r="C133">
        <v>1425</v>
      </c>
      <c r="D133">
        <v>58</v>
      </c>
      <c r="E133">
        <v>202234</v>
      </c>
      <c r="F133">
        <v>6.67</v>
      </c>
      <c r="G133">
        <v>18442</v>
      </c>
      <c r="H133">
        <f>Engagement_Summary6810[[#This Row],[New_Followers]]-Engagement_Summary6810[[#This Row],[Unfollows]]</f>
        <v>1367</v>
      </c>
    </row>
    <row r="134" spans="1:8" x14ac:dyDescent="0.3">
      <c r="A134" s="7">
        <v>45754</v>
      </c>
      <c r="B134" t="s">
        <v>14</v>
      </c>
      <c r="C134">
        <v>1417</v>
      </c>
      <c r="D134">
        <v>80</v>
      </c>
      <c r="E134">
        <v>340987</v>
      </c>
      <c r="F134">
        <v>6.13</v>
      </c>
      <c r="G134">
        <v>10104</v>
      </c>
      <c r="H134">
        <f>Engagement_Summary6810[[#This Row],[New_Followers]]-Engagement_Summary6810[[#This Row],[Unfollows]]</f>
        <v>1337</v>
      </c>
    </row>
    <row r="135" spans="1:8" x14ac:dyDescent="0.3">
      <c r="A135" s="7">
        <v>45754</v>
      </c>
      <c r="B135" t="s">
        <v>15</v>
      </c>
      <c r="C135">
        <v>1222</v>
      </c>
      <c r="D135">
        <v>208</v>
      </c>
      <c r="E135">
        <v>340098</v>
      </c>
      <c r="F135">
        <v>7.34</v>
      </c>
      <c r="G135">
        <v>21771</v>
      </c>
      <c r="H135">
        <f>Engagement_Summary6810[[#This Row],[New_Followers]]-Engagement_Summary6810[[#This Row],[Unfollows]]</f>
        <v>1014</v>
      </c>
    </row>
    <row r="136" spans="1:8" x14ac:dyDescent="0.3">
      <c r="A136" s="7">
        <v>45754</v>
      </c>
      <c r="B136" t="s">
        <v>16</v>
      </c>
      <c r="C136">
        <v>1071</v>
      </c>
      <c r="D136">
        <v>131</v>
      </c>
      <c r="E136">
        <v>254727</v>
      </c>
      <c r="F136">
        <v>6.87</v>
      </c>
      <c r="G136">
        <v>22191</v>
      </c>
      <c r="H136">
        <f>Engagement_Summary6810[[#This Row],[New_Followers]]-Engagement_Summary6810[[#This Row],[Unfollows]]</f>
        <v>940</v>
      </c>
    </row>
    <row r="137" spans="1:8" x14ac:dyDescent="0.3">
      <c r="A137" s="7">
        <v>45761</v>
      </c>
      <c r="B137" t="s">
        <v>14</v>
      </c>
      <c r="C137">
        <v>772</v>
      </c>
      <c r="D137">
        <v>82</v>
      </c>
      <c r="E137">
        <v>345659</v>
      </c>
      <c r="F137">
        <v>3.52</v>
      </c>
      <c r="G137">
        <v>27753</v>
      </c>
      <c r="H137">
        <f>Engagement_Summary6810[[#This Row],[New_Followers]]-Engagement_Summary6810[[#This Row],[Unfollows]]</f>
        <v>690</v>
      </c>
    </row>
    <row r="138" spans="1:8" x14ac:dyDescent="0.3">
      <c r="A138" s="7">
        <v>45761</v>
      </c>
      <c r="B138" t="s">
        <v>15</v>
      </c>
      <c r="C138">
        <v>1472</v>
      </c>
      <c r="D138">
        <v>137</v>
      </c>
      <c r="E138">
        <v>213950</v>
      </c>
      <c r="F138">
        <v>6.96</v>
      </c>
      <c r="G138">
        <v>23736</v>
      </c>
      <c r="H138">
        <f>Engagement_Summary6810[[#This Row],[New_Followers]]-Engagement_Summary6810[[#This Row],[Unfollows]]</f>
        <v>1335</v>
      </c>
    </row>
    <row r="139" spans="1:8" x14ac:dyDescent="0.3">
      <c r="A139" s="7">
        <v>45761</v>
      </c>
      <c r="B139" t="s">
        <v>16</v>
      </c>
      <c r="C139">
        <v>1472</v>
      </c>
      <c r="D139">
        <v>281</v>
      </c>
      <c r="E139">
        <v>258115</v>
      </c>
      <c r="F139">
        <v>7.23</v>
      </c>
      <c r="G139">
        <v>27393</v>
      </c>
      <c r="H139">
        <f>Engagement_Summary6810[[#This Row],[New_Followers]]-Engagement_Summary6810[[#This Row],[Unfollows]]</f>
        <v>1191</v>
      </c>
    </row>
    <row r="140" spans="1:8" x14ac:dyDescent="0.3">
      <c r="A140" s="7">
        <v>45768</v>
      </c>
      <c r="B140" t="s">
        <v>14</v>
      </c>
      <c r="C140">
        <v>585</v>
      </c>
      <c r="D140">
        <v>232</v>
      </c>
      <c r="E140">
        <v>321258</v>
      </c>
      <c r="F140">
        <v>7.42</v>
      </c>
      <c r="G140">
        <v>10343</v>
      </c>
      <c r="H140">
        <f>Engagement_Summary6810[[#This Row],[New_Followers]]-Engagement_Summary6810[[#This Row],[Unfollows]]</f>
        <v>353</v>
      </c>
    </row>
    <row r="141" spans="1:8" x14ac:dyDescent="0.3">
      <c r="A141" s="7">
        <v>45768</v>
      </c>
      <c r="B141" t="s">
        <v>15</v>
      </c>
      <c r="C141">
        <v>747</v>
      </c>
      <c r="D141">
        <v>261</v>
      </c>
      <c r="E141">
        <v>338650</v>
      </c>
      <c r="F141">
        <v>7.73</v>
      </c>
      <c r="G141">
        <v>25259</v>
      </c>
      <c r="H141">
        <f>Engagement_Summary6810[[#This Row],[New_Followers]]-Engagement_Summary6810[[#This Row],[Unfollows]]</f>
        <v>486</v>
      </c>
    </row>
    <row r="142" spans="1:8" x14ac:dyDescent="0.3">
      <c r="A142" s="7">
        <v>45768</v>
      </c>
      <c r="B142" t="s">
        <v>16</v>
      </c>
      <c r="C142">
        <v>1113</v>
      </c>
      <c r="D142">
        <v>224</v>
      </c>
      <c r="E142">
        <v>272989</v>
      </c>
      <c r="F142">
        <v>5.13</v>
      </c>
      <c r="G142">
        <v>24827</v>
      </c>
      <c r="H142">
        <f>Engagement_Summary6810[[#This Row],[New_Followers]]-Engagement_Summary6810[[#This Row],[Unfollows]]</f>
        <v>889</v>
      </c>
    </row>
    <row r="143" spans="1:8" x14ac:dyDescent="0.3">
      <c r="A143" s="7">
        <v>45775</v>
      </c>
      <c r="B143" t="s">
        <v>14</v>
      </c>
      <c r="C143">
        <v>1100</v>
      </c>
      <c r="D143">
        <v>117</v>
      </c>
      <c r="E143">
        <v>260204</v>
      </c>
      <c r="F143">
        <v>4.4000000000000004</v>
      </c>
      <c r="G143">
        <v>11908</v>
      </c>
      <c r="H143">
        <f>Engagement_Summary6810[[#This Row],[New_Followers]]-Engagement_Summary6810[[#This Row],[Unfollows]]</f>
        <v>983</v>
      </c>
    </row>
    <row r="144" spans="1:8" x14ac:dyDescent="0.3">
      <c r="A144" s="7">
        <v>45775</v>
      </c>
      <c r="B144" t="s">
        <v>15</v>
      </c>
      <c r="C144">
        <v>751</v>
      </c>
      <c r="D144">
        <v>170</v>
      </c>
      <c r="E144">
        <v>283278</v>
      </c>
      <c r="F144">
        <v>3.49</v>
      </c>
      <c r="G144">
        <v>11005</v>
      </c>
      <c r="H144">
        <f>Engagement_Summary6810[[#This Row],[New_Followers]]-Engagement_Summary6810[[#This Row],[Unfollows]]</f>
        <v>581</v>
      </c>
    </row>
    <row r="145" spans="1:8" x14ac:dyDescent="0.3">
      <c r="A145" s="7">
        <v>45775</v>
      </c>
      <c r="B145" t="s">
        <v>16</v>
      </c>
      <c r="C145">
        <v>864</v>
      </c>
      <c r="D145">
        <v>50</v>
      </c>
      <c r="E145">
        <v>277445</v>
      </c>
      <c r="F145">
        <v>3.57</v>
      </c>
      <c r="G145">
        <v>26333</v>
      </c>
      <c r="H145">
        <f>Engagement_Summary6810[[#This Row],[New_Followers]]-Engagement_Summary6810[[#This Row],[Unfollows]]</f>
        <v>814</v>
      </c>
    </row>
    <row r="146" spans="1:8" x14ac:dyDescent="0.3">
      <c r="A146" s="7">
        <v>45782</v>
      </c>
      <c r="B146" t="s">
        <v>14</v>
      </c>
      <c r="C146">
        <v>1146</v>
      </c>
      <c r="D146">
        <v>227</v>
      </c>
      <c r="E146">
        <v>353781</v>
      </c>
      <c r="F146">
        <v>6.41</v>
      </c>
      <c r="G146">
        <v>5495</v>
      </c>
      <c r="H146">
        <f>Engagement_Summary6810[[#This Row],[New_Followers]]-Engagement_Summary6810[[#This Row],[Unfollows]]</f>
        <v>919</v>
      </c>
    </row>
    <row r="147" spans="1:8" x14ac:dyDescent="0.3">
      <c r="A147" s="7">
        <v>45782</v>
      </c>
      <c r="B147" t="s">
        <v>15</v>
      </c>
      <c r="C147">
        <v>883</v>
      </c>
      <c r="D147">
        <v>207</v>
      </c>
      <c r="E147">
        <v>265019</v>
      </c>
      <c r="F147">
        <v>6.04</v>
      </c>
      <c r="G147">
        <v>15655</v>
      </c>
      <c r="H147">
        <f>Engagement_Summary6810[[#This Row],[New_Followers]]-Engagement_Summary6810[[#This Row],[Unfollows]]</f>
        <v>676</v>
      </c>
    </row>
    <row r="148" spans="1:8" x14ac:dyDescent="0.3">
      <c r="A148" s="7">
        <v>45782</v>
      </c>
      <c r="B148" t="s">
        <v>16</v>
      </c>
      <c r="C148">
        <v>622</v>
      </c>
      <c r="D148">
        <v>163</v>
      </c>
      <c r="E148">
        <v>231925</v>
      </c>
      <c r="F148">
        <v>9.18</v>
      </c>
      <c r="G148">
        <v>13763</v>
      </c>
      <c r="H148">
        <f>Engagement_Summary6810[[#This Row],[New_Followers]]-Engagement_Summary6810[[#This Row],[Unfollows]]</f>
        <v>459</v>
      </c>
    </row>
    <row r="149" spans="1:8" x14ac:dyDescent="0.3">
      <c r="A149" s="7">
        <v>45789</v>
      </c>
      <c r="B149" t="s">
        <v>14</v>
      </c>
      <c r="C149">
        <v>837</v>
      </c>
      <c r="D149">
        <v>261</v>
      </c>
      <c r="E149">
        <v>366149</v>
      </c>
      <c r="F149">
        <v>6.54</v>
      </c>
      <c r="G149">
        <v>26073</v>
      </c>
      <c r="H149">
        <f>Engagement_Summary6810[[#This Row],[New_Followers]]-Engagement_Summary6810[[#This Row],[Unfollows]]</f>
        <v>576</v>
      </c>
    </row>
    <row r="150" spans="1:8" x14ac:dyDescent="0.3">
      <c r="A150" s="7">
        <v>45789</v>
      </c>
      <c r="B150" t="s">
        <v>15</v>
      </c>
      <c r="C150">
        <v>544</v>
      </c>
      <c r="D150">
        <v>97</v>
      </c>
      <c r="E150">
        <v>168375</v>
      </c>
      <c r="F150">
        <v>8.66</v>
      </c>
      <c r="G150">
        <v>12774</v>
      </c>
      <c r="H150">
        <f>Engagement_Summary6810[[#This Row],[New_Followers]]-Engagement_Summary6810[[#This Row],[Unfollows]]</f>
        <v>447</v>
      </c>
    </row>
    <row r="151" spans="1:8" x14ac:dyDescent="0.3">
      <c r="A151" s="7">
        <v>45789</v>
      </c>
      <c r="B151" t="s">
        <v>16</v>
      </c>
      <c r="C151">
        <v>624</v>
      </c>
      <c r="D151">
        <v>247</v>
      </c>
      <c r="E151">
        <v>252763</v>
      </c>
      <c r="F151">
        <v>3.89</v>
      </c>
      <c r="G151">
        <v>19000</v>
      </c>
      <c r="H151">
        <f>Engagement_Summary6810[[#This Row],[New_Followers]]-Engagement_Summary6810[[#This Row],[Unfollows]]</f>
        <v>377</v>
      </c>
    </row>
    <row r="152" spans="1:8" x14ac:dyDescent="0.3">
      <c r="A152" s="7">
        <v>45796</v>
      </c>
      <c r="B152" t="s">
        <v>14</v>
      </c>
      <c r="C152">
        <v>1073</v>
      </c>
      <c r="D152">
        <v>141</v>
      </c>
      <c r="E152">
        <v>118393</v>
      </c>
      <c r="F152">
        <v>7.95</v>
      </c>
      <c r="G152">
        <v>14051</v>
      </c>
      <c r="H152">
        <f>Engagement_Summary6810[[#This Row],[New_Followers]]-Engagement_Summary6810[[#This Row],[Unfollows]]</f>
        <v>932</v>
      </c>
    </row>
    <row r="153" spans="1:8" x14ac:dyDescent="0.3">
      <c r="A153" s="7">
        <v>45796</v>
      </c>
      <c r="B153" t="s">
        <v>15</v>
      </c>
      <c r="C153">
        <v>1430</v>
      </c>
      <c r="D153">
        <v>74</v>
      </c>
      <c r="E153">
        <v>327012</v>
      </c>
      <c r="F153">
        <v>6.66</v>
      </c>
      <c r="G153">
        <v>27782</v>
      </c>
      <c r="H153">
        <f>Engagement_Summary6810[[#This Row],[New_Followers]]-Engagement_Summary6810[[#This Row],[Unfollows]]</f>
        <v>1356</v>
      </c>
    </row>
    <row r="154" spans="1:8" x14ac:dyDescent="0.3">
      <c r="A154" s="7">
        <v>45796</v>
      </c>
      <c r="B154" t="s">
        <v>16</v>
      </c>
      <c r="C154">
        <v>1358</v>
      </c>
      <c r="D154">
        <v>77</v>
      </c>
      <c r="E154">
        <v>169688</v>
      </c>
      <c r="F154">
        <v>5.25</v>
      </c>
      <c r="G154">
        <v>7859</v>
      </c>
      <c r="H154">
        <f>Engagement_Summary6810[[#This Row],[New_Followers]]-Engagement_Summary6810[[#This Row],[Unfollows]]</f>
        <v>1281</v>
      </c>
    </row>
    <row r="155" spans="1:8" x14ac:dyDescent="0.3">
      <c r="A155" s="7">
        <v>45803</v>
      </c>
      <c r="B155" t="s">
        <v>14</v>
      </c>
      <c r="C155">
        <v>1242</v>
      </c>
      <c r="D155">
        <v>201</v>
      </c>
      <c r="E155">
        <v>271935</v>
      </c>
      <c r="F155">
        <v>5.07</v>
      </c>
      <c r="G155">
        <v>15773</v>
      </c>
      <c r="H155">
        <f>Engagement_Summary6810[[#This Row],[New_Followers]]-Engagement_Summary6810[[#This Row],[Unfollows]]</f>
        <v>1041</v>
      </c>
    </row>
    <row r="156" spans="1:8" x14ac:dyDescent="0.3">
      <c r="A156" s="7">
        <v>45803</v>
      </c>
      <c r="B156" t="s">
        <v>15</v>
      </c>
      <c r="C156">
        <v>1389</v>
      </c>
      <c r="D156">
        <v>205</v>
      </c>
      <c r="E156">
        <v>315981</v>
      </c>
      <c r="F156">
        <v>7.62</v>
      </c>
      <c r="G156">
        <v>20595</v>
      </c>
      <c r="H156">
        <f>Engagement_Summary6810[[#This Row],[New_Followers]]-Engagement_Summary6810[[#This Row],[Unfollows]]</f>
        <v>1184</v>
      </c>
    </row>
    <row r="157" spans="1:8" x14ac:dyDescent="0.3">
      <c r="A157" s="7">
        <v>45803</v>
      </c>
      <c r="B157" t="s">
        <v>16</v>
      </c>
      <c r="C157">
        <v>826</v>
      </c>
      <c r="D157">
        <v>142</v>
      </c>
      <c r="E157">
        <v>341016</v>
      </c>
      <c r="F157">
        <v>7.44</v>
      </c>
      <c r="G157">
        <v>12031</v>
      </c>
      <c r="H157">
        <f>Engagement_Summary6810[[#This Row],[New_Followers]]-Engagement_Summary6810[[#This Row],[Unfollows]]</f>
        <v>684</v>
      </c>
    </row>
    <row r="158" spans="1:8" x14ac:dyDescent="0.3">
      <c r="A158" s="7">
        <v>45810</v>
      </c>
      <c r="B158" t="s">
        <v>14</v>
      </c>
      <c r="C158">
        <v>618</v>
      </c>
      <c r="D158">
        <v>264</v>
      </c>
      <c r="E158">
        <v>285164</v>
      </c>
      <c r="F158">
        <v>4.8600000000000003</v>
      </c>
      <c r="G158">
        <v>15128</v>
      </c>
      <c r="H158">
        <f>Engagement_Summary6810[[#This Row],[New_Followers]]-Engagement_Summary6810[[#This Row],[Unfollows]]</f>
        <v>354</v>
      </c>
    </row>
    <row r="159" spans="1:8" x14ac:dyDescent="0.3">
      <c r="A159" s="7">
        <v>45810</v>
      </c>
      <c r="B159" t="s">
        <v>15</v>
      </c>
      <c r="C159">
        <v>1419</v>
      </c>
      <c r="D159">
        <v>293</v>
      </c>
      <c r="E159">
        <v>116632</v>
      </c>
      <c r="F159">
        <v>6.93</v>
      </c>
      <c r="G159">
        <v>11826</v>
      </c>
      <c r="H159">
        <f>Engagement_Summary6810[[#This Row],[New_Followers]]-Engagement_Summary6810[[#This Row],[Unfollows]]</f>
        <v>1126</v>
      </c>
    </row>
    <row r="160" spans="1:8" x14ac:dyDescent="0.3">
      <c r="A160" s="7">
        <v>45810</v>
      </c>
      <c r="B160" t="s">
        <v>16</v>
      </c>
      <c r="C160">
        <v>637</v>
      </c>
      <c r="D160">
        <v>68</v>
      </c>
      <c r="E160">
        <v>115694</v>
      </c>
      <c r="F160">
        <v>9.99</v>
      </c>
      <c r="G160">
        <v>12562</v>
      </c>
      <c r="H160">
        <f>Engagement_Summary6810[[#This Row],[New_Followers]]-Engagement_Summary6810[[#This Row],[Unfollows]]</f>
        <v>569</v>
      </c>
    </row>
    <row r="161" spans="1:8" x14ac:dyDescent="0.3">
      <c r="A161" s="7">
        <v>45817</v>
      </c>
      <c r="B161" t="s">
        <v>14</v>
      </c>
      <c r="C161">
        <v>917</v>
      </c>
      <c r="D161">
        <v>187</v>
      </c>
      <c r="E161">
        <v>64444</v>
      </c>
      <c r="F161">
        <v>5.22</v>
      </c>
      <c r="G161">
        <v>13013</v>
      </c>
      <c r="H161">
        <f>Engagement_Summary6810[[#This Row],[New_Followers]]-Engagement_Summary6810[[#This Row],[Unfollows]]</f>
        <v>730</v>
      </c>
    </row>
    <row r="162" spans="1:8" x14ac:dyDescent="0.3">
      <c r="A162" s="7">
        <v>45817</v>
      </c>
      <c r="B162" t="s">
        <v>15</v>
      </c>
      <c r="C162">
        <v>810</v>
      </c>
      <c r="D162">
        <v>232</v>
      </c>
      <c r="E162">
        <v>362559</v>
      </c>
      <c r="F162">
        <v>5.17</v>
      </c>
      <c r="G162">
        <v>12937</v>
      </c>
      <c r="H162">
        <f>Engagement_Summary6810[[#This Row],[New_Followers]]-Engagement_Summary6810[[#This Row],[Unfollows]]</f>
        <v>578</v>
      </c>
    </row>
    <row r="163" spans="1:8" x14ac:dyDescent="0.3">
      <c r="A163" s="7">
        <v>45817</v>
      </c>
      <c r="B163" t="s">
        <v>16</v>
      </c>
      <c r="C163">
        <v>1183</v>
      </c>
      <c r="D163">
        <v>248</v>
      </c>
      <c r="E163">
        <v>226881</v>
      </c>
      <c r="F163">
        <v>5.17</v>
      </c>
      <c r="G163">
        <v>14534</v>
      </c>
      <c r="H163">
        <f>Engagement_Summary6810[[#This Row],[New_Followers]]-Engagement_Summary6810[[#This Row],[Unfollows]]</f>
        <v>935</v>
      </c>
    </row>
    <row r="164" spans="1:8" x14ac:dyDescent="0.3">
      <c r="A164" s="7">
        <v>45824</v>
      </c>
      <c r="B164" t="s">
        <v>14</v>
      </c>
      <c r="C164">
        <v>765</v>
      </c>
      <c r="D164">
        <v>67</v>
      </c>
      <c r="E164">
        <v>283537</v>
      </c>
      <c r="F164">
        <v>6.18</v>
      </c>
      <c r="G164">
        <v>8182</v>
      </c>
      <c r="H164">
        <f>Engagement_Summary6810[[#This Row],[New_Followers]]-Engagement_Summary6810[[#This Row],[Unfollows]]</f>
        <v>698</v>
      </c>
    </row>
    <row r="165" spans="1:8" x14ac:dyDescent="0.3">
      <c r="A165" s="7">
        <v>45824</v>
      </c>
      <c r="B165" t="s">
        <v>15</v>
      </c>
      <c r="C165">
        <v>540</v>
      </c>
      <c r="D165">
        <v>215</v>
      </c>
      <c r="E165">
        <v>62837</v>
      </c>
      <c r="F165">
        <v>5.3</v>
      </c>
      <c r="G165">
        <v>10615</v>
      </c>
      <c r="H165">
        <f>Engagement_Summary6810[[#This Row],[New_Followers]]-Engagement_Summary6810[[#This Row],[Unfollows]]</f>
        <v>325</v>
      </c>
    </row>
    <row r="166" spans="1:8" x14ac:dyDescent="0.3">
      <c r="A166" s="7">
        <v>45824</v>
      </c>
      <c r="B166" t="s">
        <v>16</v>
      </c>
      <c r="C166">
        <v>1145</v>
      </c>
      <c r="D166">
        <v>151</v>
      </c>
      <c r="E166">
        <v>182759</v>
      </c>
      <c r="F166">
        <v>5.99</v>
      </c>
      <c r="G166">
        <v>20109</v>
      </c>
      <c r="H166">
        <f>Engagement_Summary6810[[#This Row],[New_Followers]]-Engagement_Summary6810[[#This Row],[Unfollows]]</f>
        <v>994</v>
      </c>
    </row>
    <row r="167" spans="1:8" x14ac:dyDescent="0.3">
      <c r="A167" s="7">
        <v>45831</v>
      </c>
      <c r="B167" t="s">
        <v>14</v>
      </c>
      <c r="C167">
        <v>564</v>
      </c>
      <c r="D167">
        <v>244</v>
      </c>
      <c r="E167">
        <v>279405</v>
      </c>
      <c r="F167">
        <v>8.43</v>
      </c>
      <c r="G167">
        <v>26024</v>
      </c>
      <c r="H167">
        <f>Engagement_Summary6810[[#This Row],[New_Followers]]-Engagement_Summary6810[[#This Row],[Unfollows]]</f>
        <v>320</v>
      </c>
    </row>
    <row r="168" spans="1:8" x14ac:dyDescent="0.3">
      <c r="A168" s="7">
        <v>45831</v>
      </c>
      <c r="B168" t="s">
        <v>15</v>
      </c>
      <c r="C168">
        <v>668</v>
      </c>
      <c r="D168">
        <v>124</v>
      </c>
      <c r="E168">
        <v>257485</v>
      </c>
      <c r="F168">
        <v>7.55</v>
      </c>
      <c r="G168">
        <v>26730</v>
      </c>
      <c r="H168">
        <f>Engagement_Summary6810[[#This Row],[New_Followers]]-Engagement_Summary6810[[#This Row],[Unfollows]]</f>
        <v>544</v>
      </c>
    </row>
    <row r="169" spans="1:8" x14ac:dyDescent="0.3">
      <c r="A169" s="7">
        <v>45831</v>
      </c>
      <c r="B169" t="s">
        <v>16</v>
      </c>
      <c r="C169">
        <v>761</v>
      </c>
      <c r="D169">
        <v>241</v>
      </c>
      <c r="E169">
        <v>154977</v>
      </c>
      <c r="F169">
        <v>5.63</v>
      </c>
      <c r="G169">
        <v>10563</v>
      </c>
      <c r="H169">
        <f>Engagement_Summary6810[[#This Row],[New_Followers]]-Engagement_Summary6810[[#This Row],[Unfollows]]</f>
        <v>520</v>
      </c>
    </row>
    <row r="170" spans="1:8" x14ac:dyDescent="0.3">
      <c r="A170" s="7">
        <v>45838</v>
      </c>
      <c r="B170" t="s">
        <v>14</v>
      </c>
      <c r="C170">
        <v>593</v>
      </c>
      <c r="D170">
        <v>108</v>
      </c>
      <c r="E170">
        <v>216500</v>
      </c>
      <c r="F170">
        <v>4.71</v>
      </c>
      <c r="G170">
        <v>27575</v>
      </c>
      <c r="H170">
        <f>Engagement_Summary6810[[#This Row],[New_Followers]]-Engagement_Summary6810[[#This Row],[Unfollows]]</f>
        <v>485</v>
      </c>
    </row>
    <row r="171" spans="1:8" x14ac:dyDescent="0.3">
      <c r="A171" s="7">
        <v>45838</v>
      </c>
      <c r="B171" t="s">
        <v>15</v>
      </c>
      <c r="C171">
        <v>1349</v>
      </c>
      <c r="D171">
        <v>115</v>
      </c>
      <c r="E171">
        <v>102102</v>
      </c>
      <c r="F171">
        <v>5.28</v>
      </c>
      <c r="G171">
        <v>14479</v>
      </c>
      <c r="H171">
        <f>Engagement_Summary6810[[#This Row],[New_Followers]]-Engagement_Summary6810[[#This Row],[Unfollows]]</f>
        <v>1234</v>
      </c>
    </row>
    <row r="172" spans="1:8" x14ac:dyDescent="0.3">
      <c r="A172" s="7">
        <v>45838</v>
      </c>
      <c r="B172" t="s">
        <v>16</v>
      </c>
      <c r="C172">
        <v>693</v>
      </c>
      <c r="D172">
        <v>97</v>
      </c>
      <c r="E172">
        <v>92025</v>
      </c>
      <c r="F172">
        <v>5.95</v>
      </c>
      <c r="G172">
        <v>15915</v>
      </c>
      <c r="H172">
        <f>Engagement_Summary6810[[#This Row],[New_Followers]]-Engagement_Summary6810[[#This Row],[Unfollows]]</f>
        <v>596</v>
      </c>
    </row>
    <row r="173" spans="1:8" x14ac:dyDescent="0.3">
      <c r="A173" s="7">
        <v>45845</v>
      </c>
      <c r="B173" t="s">
        <v>14</v>
      </c>
      <c r="C173">
        <v>974</v>
      </c>
      <c r="D173">
        <v>143</v>
      </c>
      <c r="E173">
        <v>247965</v>
      </c>
      <c r="F173">
        <v>9.98</v>
      </c>
      <c r="G173">
        <v>12767</v>
      </c>
      <c r="H173">
        <f>Engagement_Summary6810[[#This Row],[New_Followers]]-Engagement_Summary6810[[#This Row],[Unfollows]]</f>
        <v>831</v>
      </c>
    </row>
    <row r="174" spans="1:8" x14ac:dyDescent="0.3">
      <c r="A174" s="7">
        <v>45845</v>
      </c>
      <c r="B174" t="s">
        <v>15</v>
      </c>
      <c r="C174">
        <v>1155</v>
      </c>
      <c r="D174">
        <v>122</v>
      </c>
      <c r="E174">
        <v>387352</v>
      </c>
      <c r="F174">
        <v>9.93</v>
      </c>
      <c r="G174">
        <v>12170</v>
      </c>
      <c r="H174">
        <f>Engagement_Summary6810[[#This Row],[New_Followers]]-Engagement_Summary6810[[#This Row],[Unfollows]]</f>
        <v>1033</v>
      </c>
    </row>
    <row r="175" spans="1:8" x14ac:dyDescent="0.3">
      <c r="A175" s="7">
        <v>45845</v>
      </c>
      <c r="B175" t="s">
        <v>16</v>
      </c>
      <c r="C175">
        <v>1051</v>
      </c>
      <c r="D175">
        <v>246</v>
      </c>
      <c r="E175">
        <v>253985</v>
      </c>
      <c r="F175">
        <v>9.08</v>
      </c>
      <c r="G175">
        <v>7245</v>
      </c>
      <c r="H175">
        <f>Engagement_Summary6810[[#This Row],[New_Followers]]-Engagement_Summary6810[[#This Row],[Unfollows]]</f>
        <v>805</v>
      </c>
    </row>
    <row r="176" spans="1:8" x14ac:dyDescent="0.3">
      <c r="A176" s="7">
        <v>45852</v>
      </c>
      <c r="B176" t="s">
        <v>14</v>
      </c>
      <c r="C176">
        <v>1457</v>
      </c>
      <c r="D176">
        <v>183</v>
      </c>
      <c r="E176">
        <v>129640</v>
      </c>
      <c r="F176">
        <v>7.98</v>
      </c>
      <c r="G176">
        <v>12985</v>
      </c>
      <c r="H176">
        <f>Engagement_Summary6810[[#This Row],[New_Followers]]-Engagement_Summary6810[[#This Row],[Unfollows]]</f>
        <v>1274</v>
      </c>
    </row>
    <row r="177" spans="1:8" x14ac:dyDescent="0.3">
      <c r="A177" s="7">
        <v>45852</v>
      </c>
      <c r="B177" t="s">
        <v>15</v>
      </c>
      <c r="C177">
        <v>670</v>
      </c>
      <c r="D177">
        <v>242</v>
      </c>
      <c r="E177">
        <v>281913</v>
      </c>
      <c r="F177">
        <v>9.6199999999999992</v>
      </c>
      <c r="G177">
        <v>16377</v>
      </c>
      <c r="H177">
        <f>Engagement_Summary6810[[#This Row],[New_Followers]]-Engagement_Summary6810[[#This Row],[Unfollows]]</f>
        <v>428</v>
      </c>
    </row>
    <row r="178" spans="1:8" x14ac:dyDescent="0.3">
      <c r="A178" s="7">
        <v>45852</v>
      </c>
      <c r="B178" t="s">
        <v>16</v>
      </c>
      <c r="C178">
        <v>1111</v>
      </c>
      <c r="D178">
        <v>159</v>
      </c>
      <c r="E178">
        <v>360770</v>
      </c>
      <c r="F178">
        <v>8.7100000000000009</v>
      </c>
      <c r="G178">
        <v>11453</v>
      </c>
      <c r="H178">
        <f>Engagement_Summary6810[[#This Row],[New_Followers]]-Engagement_Summary6810[[#This Row],[Unfollows]]</f>
        <v>952</v>
      </c>
    </row>
    <row r="179" spans="1:8" x14ac:dyDescent="0.3">
      <c r="A179" s="7">
        <v>45859</v>
      </c>
      <c r="B179" t="s">
        <v>14</v>
      </c>
      <c r="C179">
        <v>1197</v>
      </c>
      <c r="D179">
        <v>246</v>
      </c>
      <c r="E179">
        <v>127273</v>
      </c>
      <c r="F179">
        <v>6.69</v>
      </c>
      <c r="G179">
        <v>12323</v>
      </c>
      <c r="H179">
        <f>Engagement_Summary6810[[#This Row],[New_Followers]]-Engagement_Summary6810[[#This Row],[Unfollows]]</f>
        <v>951</v>
      </c>
    </row>
    <row r="180" spans="1:8" x14ac:dyDescent="0.3">
      <c r="A180" s="7">
        <v>45859</v>
      </c>
      <c r="B180" t="s">
        <v>15</v>
      </c>
      <c r="C180">
        <v>754</v>
      </c>
      <c r="D180">
        <v>150</v>
      </c>
      <c r="E180">
        <v>189622</v>
      </c>
      <c r="F180">
        <v>4.25</v>
      </c>
      <c r="G180">
        <v>11911</v>
      </c>
      <c r="H180">
        <f>Engagement_Summary6810[[#This Row],[New_Followers]]-Engagement_Summary6810[[#This Row],[Unfollows]]</f>
        <v>604</v>
      </c>
    </row>
    <row r="181" spans="1:8" x14ac:dyDescent="0.3">
      <c r="A181" s="7">
        <v>45859</v>
      </c>
      <c r="B181" t="s">
        <v>16</v>
      </c>
      <c r="C181">
        <v>1246</v>
      </c>
      <c r="D181">
        <v>107</v>
      </c>
      <c r="E181">
        <v>350949</v>
      </c>
      <c r="F181">
        <v>4.9800000000000004</v>
      </c>
      <c r="G181">
        <v>27809</v>
      </c>
      <c r="H181">
        <f>Engagement_Summary6810[[#This Row],[New_Followers]]-Engagement_Summary6810[[#This Row],[Unfollows]]</f>
        <v>1139</v>
      </c>
    </row>
    <row r="182" spans="1:8" x14ac:dyDescent="0.3">
      <c r="A182" s="7">
        <v>45866</v>
      </c>
      <c r="B182" t="s">
        <v>14</v>
      </c>
      <c r="C182">
        <v>780</v>
      </c>
      <c r="D182">
        <v>213</v>
      </c>
      <c r="E182">
        <v>121431</v>
      </c>
      <c r="F182">
        <v>4.97</v>
      </c>
      <c r="G182">
        <v>21464</v>
      </c>
      <c r="H182">
        <f>Engagement_Summary6810[[#This Row],[New_Followers]]-Engagement_Summary6810[[#This Row],[Unfollows]]</f>
        <v>567</v>
      </c>
    </row>
    <row r="183" spans="1:8" x14ac:dyDescent="0.3">
      <c r="A183" s="7">
        <v>45866</v>
      </c>
      <c r="B183" t="s">
        <v>15</v>
      </c>
      <c r="C183">
        <v>1425</v>
      </c>
      <c r="D183">
        <v>143</v>
      </c>
      <c r="E183">
        <v>116742</v>
      </c>
      <c r="F183">
        <v>3.71</v>
      </c>
      <c r="G183">
        <v>27126</v>
      </c>
      <c r="H183">
        <f>Engagement_Summary6810[[#This Row],[New_Followers]]-Engagement_Summary6810[[#This Row],[Unfollows]]</f>
        <v>1282</v>
      </c>
    </row>
    <row r="184" spans="1:8" x14ac:dyDescent="0.3">
      <c r="A184" s="7">
        <v>45866</v>
      </c>
      <c r="B184" t="s">
        <v>16</v>
      </c>
      <c r="C184">
        <v>1490</v>
      </c>
      <c r="D184">
        <v>103</v>
      </c>
      <c r="E184">
        <v>81184</v>
      </c>
      <c r="F184">
        <v>7.79</v>
      </c>
      <c r="G184">
        <v>10681</v>
      </c>
      <c r="H184">
        <f>Engagement_Summary6810[[#This Row],[New_Followers]]-Engagement_Summary6810[[#This Row],[Unfollows]]</f>
        <v>1387</v>
      </c>
    </row>
    <row r="185" spans="1:8" x14ac:dyDescent="0.3">
      <c r="A185" s="7">
        <v>45873</v>
      </c>
      <c r="B185" t="s">
        <v>14</v>
      </c>
      <c r="C185">
        <v>949</v>
      </c>
      <c r="D185">
        <v>282</v>
      </c>
      <c r="E185">
        <v>87126</v>
      </c>
      <c r="F185">
        <v>4.96</v>
      </c>
      <c r="G185">
        <v>5413</v>
      </c>
      <c r="H185">
        <f>Engagement_Summary6810[[#This Row],[New_Followers]]-Engagement_Summary6810[[#This Row],[Unfollows]]</f>
        <v>667</v>
      </c>
    </row>
    <row r="186" spans="1:8" x14ac:dyDescent="0.3">
      <c r="A186" s="7">
        <v>45873</v>
      </c>
      <c r="B186" t="s">
        <v>15</v>
      </c>
      <c r="C186">
        <v>640</v>
      </c>
      <c r="D186">
        <v>141</v>
      </c>
      <c r="E186">
        <v>267546</v>
      </c>
      <c r="F186">
        <v>8.58</v>
      </c>
      <c r="G186">
        <v>25058</v>
      </c>
      <c r="H186">
        <f>Engagement_Summary6810[[#This Row],[New_Followers]]-Engagement_Summary6810[[#This Row],[Unfollows]]</f>
        <v>499</v>
      </c>
    </row>
    <row r="187" spans="1:8" x14ac:dyDescent="0.3">
      <c r="A187" s="7">
        <v>45873</v>
      </c>
      <c r="B187" t="s">
        <v>16</v>
      </c>
      <c r="C187">
        <v>616</v>
      </c>
      <c r="D187">
        <v>93</v>
      </c>
      <c r="E187">
        <v>133082</v>
      </c>
      <c r="F187">
        <v>8.51</v>
      </c>
      <c r="G187">
        <v>18303</v>
      </c>
      <c r="H187">
        <f>Engagement_Summary6810[[#This Row],[New_Followers]]-Engagement_Summary6810[[#This Row],[Unfollows]]</f>
        <v>523</v>
      </c>
    </row>
    <row r="188" spans="1:8" x14ac:dyDescent="0.3">
      <c r="A188" s="7">
        <v>45880</v>
      </c>
      <c r="B188" t="s">
        <v>14</v>
      </c>
      <c r="C188">
        <v>1080</v>
      </c>
      <c r="D188">
        <v>184</v>
      </c>
      <c r="E188">
        <v>340557</v>
      </c>
      <c r="F188">
        <v>5.41</v>
      </c>
      <c r="G188">
        <v>5526</v>
      </c>
      <c r="H188">
        <f>Engagement_Summary6810[[#This Row],[New_Followers]]-Engagement_Summary6810[[#This Row],[Unfollows]]</f>
        <v>896</v>
      </c>
    </row>
    <row r="189" spans="1:8" x14ac:dyDescent="0.3">
      <c r="A189" s="7">
        <v>45880</v>
      </c>
      <c r="B189" t="s">
        <v>15</v>
      </c>
      <c r="C189">
        <v>938</v>
      </c>
      <c r="D189">
        <v>236</v>
      </c>
      <c r="E189">
        <v>116472</v>
      </c>
      <c r="F189">
        <v>8.7200000000000006</v>
      </c>
      <c r="G189">
        <v>17460</v>
      </c>
      <c r="H189">
        <f>Engagement_Summary6810[[#This Row],[New_Followers]]-Engagement_Summary6810[[#This Row],[Unfollows]]</f>
        <v>702</v>
      </c>
    </row>
    <row r="190" spans="1:8" x14ac:dyDescent="0.3">
      <c r="A190" s="7">
        <v>45880</v>
      </c>
      <c r="B190" t="s">
        <v>16</v>
      </c>
      <c r="C190">
        <v>1007</v>
      </c>
      <c r="D190">
        <v>258</v>
      </c>
      <c r="E190">
        <v>113412</v>
      </c>
      <c r="F190">
        <v>7.71</v>
      </c>
      <c r="G190">
        <v>14475</v>
      </c>
      <c r="H190">
        <f>Engagement_Summary6810[[#This Row],[New_Followers]]-Engagement_Summary6810[[#This Row],[Unfollows]]</f>
        <v>749</v>
      </c>
    </row>
    <row r="191" spans="1:8" x14ac:dyDescent="0.3">
      <c r="A191" s="7">
        <v>45887</v>
      </c>
      <c r="B191" t="s">
        <v>14</v>
      </c>
      <c r="C191">
        <v>541</v>
      </c>
      <c r="D191">
        <v>208</v>
      </c>
      <c r="E191">
        <v>157547</v>
      </c>
      <c r="F191">
        <v>8.35</v>
      </c>
      <c r="G191">
        <v>20162</v>
      </c>
      <c r="H191">
        <f>Engagement_Summary6810[[#This Row],[New_Followers]]-Engagement_Summary6810[[#This Row],[Unfollows]]</f>
        <v>333</v>
      </c>
    </row>
    <row r="192" spans="1:8" x14ac:dyDescent="0.3">
      <c r="A192" s="7">
        <v>45887</v>
      </c>
      <c r="B192" t="s">
        <v>15</v>
      </c>
      <c r="C192">
        <v>745</v>
      </c>
      <c r="D192">
        <v>98</v>
      </c>
      <c r="E192">
        <v>354816</v>
      </c>
      <c r="F192">
        <v>4.03</v>
      </c>
      <c r="G192">
        <v>17103</v>
      </c>
      <c r="H192">
        <f>Engagement_Summary6810[[#This Row],[New_Followers]]-Engagement_Summary6810[[#This Row],[Unfollows]]</f>
        <v>647</v>
      </c>
    </row>
    <row r="193" spans="1:8" x14ac:dyDescent="0.3">
      <c r="A193" s="7">
        <v>45887</v>
      </c>
      <c r="B193" t="s">
        <v>16</v>
      </c>
      <c r="C193">
        <v>936</v>
      </c>
      <c r="D193">
        <v>97</v>
      </c>
      <c r="E193">
        <v>151799</v>
      </c>
      <c r="F193">
        <v>9.3699999999999992</v>
      </c>
      <c r="G193">
        <v>15461</v>
      </c>
      <c r="H193">
        <f>Engagement_Summary6810[[#This Row],[New_Followers]]-Engagement_Summary6810[[#This Row],[Unfollows]]</f>
        <v>839</v>
      </c>
    </row>
    <row r="194" spans="1:8" x14ac:dyDescent="0.3">
      <c r="A194" s="7">
        <v>45894</v>
      </c>
      <c r="B194" t="s">
        <v>14</v>
      </c>
      <c r="C194">
        <v>1183</v>
      </c>
      <c r="D194">
        <v>223</v>
      </c>
      <c r="E194">
        <v>143811</v>
      </c>
      <c r="F194">
        <v>6.07</v>
      </c>
      <c r="G194">
        <v>22103</v>
      </c>
      <c r="H194">
        <f>Engagement_Summary6810[[#This Row],[New_Followers]]-Engagement_Summary6810[[#This Row],[Unfollows]]</f>
        <v>960</v>
      </c>
    </row>
    <row r="195" spans="1:8" x14ac:dyDescent="0.3">
      <c r="A195" s="7">
        <v>45894</v>
      </c>
      <c r="B195" t="s">
        <v>15</v>
      </c>
      <c r="C195">
        <v>1413</v>
      </c>
      <c r="D195">
        <v>245</v>
      </c>
      <c r="E195">
        <v>296450</v>
      </c>
      <c r="F195">
        <v>6.52</v>
      </c>
      <c r="G195">
        <v>11625</v>
      </c>
      <c r="H195">
        <f>Engagement_Summary6810[[#This Row],[New_Followers]]-Engagement_Summary6810[[#This Row],[Unfollows]]</f>
        <v>1168</v>
      </c>
    </row>
    <row r="196" spans="1:8" x14ac:dyDescent="0.3">
      <c r="A196" s="7">
        <v>45894</v>
      </c>
      <c r="B196" t="s">
        <v>16</v>
      </c>
      <c r="C196">
        <v>791</v>
      </c>
      <c r="D196">
        <v>273</v>
      </c>
      <c r="E196">
        <v>144049</v>
      </c>
      <c r="F196">
        <v>3.08</v>
      </c>
      <c r="G196">
        <v>5281</v>
      </c>
      <c r="H196">
        <f>Engagement_Summary6810[[#This Row],[New_Followers]]-Engagement_Summary6810[[#This Row],[Unfollows]]</f>
        <v>518</v>
      </c>
    </row>
    <row r="197" spans="1:8" x14ac:dyDescent="0.3">
      <c r="A197" s="7">
        <v>45901</v>
      </c>
      <c r="B197" t="s">
        <v>14</v>
      </c>
      <c r="C197">
        <v>1052</v>
      </c>
      <c r="D197">
        <v>180</v>
      </c>
      <c r="E197">
        <v>272534</v>
      </c>
      <c r="F197">
        <v>5.34</v>
      </c>
      <c r="G197">
        <v>13424</v>
      </c>
      <c r="H197">
        <f>Engagement_Summary6810[[#This Row],[New_Followers]]-Engagement_Summary6810[[#This Row],[Unfollows]]</f>
        <v>872</v>
      </c>
    </row>
    <row r="198" spans="1:8" x14ac:dyDescent="0.3">
      <c r="A198" s="7">
        <v>45901</v>
      </c>
      <c r="B198" t="s">
        <v>15</v>
      </c>
      <c r="C198">
        <v>572</v>
      </c>
      <c r="D198">
        <v>270</v>
      </c>
      <c r="E198">
        <v>82265</v>
      </c>
      <c r="F198">
        <v>3.65</v>
      </c>
      <c r="G198">
        <v>13140</v>
      </c>
      <c r="H198">
        <f>Engagement_Summary6810[[#This Row],[New_Followers]]-Engagement_Summary6810[[#This Row],[Unfollows]]</f>
        <v>302</v>
      </c>
    </row>
    <row r="199" spans="1:8" x14ac:dyDescent="0.3">
      <c r="A199" s="7">
        <v>45901</v>
      </c>
      <c r="B199" t="s">
        <v>16</v>
      </c>
      <c r="C199">
        <v>503</v>
      </c>
      <c r="D199">
        <v>253</v>
      </c>
      <c r="E199">
        <v>313562</v>
      </c>
      <c r="F199">
        <v>4.18</v>
      </c>
      <c r="G199">
        <v>19538</v>
      </c>
      <c r="H199">
        <f>Engagement_Summary6810[[#This Row],[New_Followers]]-Engagement_Summary6810[[#This Row],[Unfollows]]</f>
        <v>250</v>
      </c>
    </row>
    <row r="200" spans="1:8" x14ac:dyDescent="0.3">
      <c r="A200" s="7">
        <v>45908</v>
      </c>
      <c r="B200" t="s">
        <v>14</v>
      </c>
      <c r="C200">
        <v>1017</v>
      </c>
      <c r="D200">
        <v>197</v>
      </c>
      <c r="E200">
        <v>89918</v>
      </c>
      <c r="F200">
        <v>3.91</v>
      </c>
      <c r="G200">
        <v>7881</v>
      </c>
      <c r="H200">
        <f>Engagement_Summary6810[[#This Row],[New_Followers]]-Engagement_Summary6810[[#This Row],[Unfollows]]</f>
        <v>820</v>
      </c>
    </row>
    <row r="201" spans="1:8" x14ac:dyDescent="0.3">
      <c r="A201" s="7">
        <v>45908</v>
      </c>
      <c r="B201" t="s">
        <v>15</v>
      </c>
      <c r="C201">
        <v>860</v>
      </c>
      <c r="D201">
        <v>244</v>
      </c>
      <c r="E201">
        <v>348686</v>
      </c>
      <c r="F201">
        <v>5.12</v>
      </c>
      <c r="G201">
        <v>11418</v>
      </c>
      <c r="H201">
        <f>Engagement_Summary6810[[#This Row],[New_Followers]]-Engagement_Summary6810[[#This Row],[Unfollows]]</f>
        <v>616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21DD35-B0FF-4F95-8533-ADB8B679E7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6</vt:lpstr>
      <vt:lpstr>Engagement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Vishnupriya S</dc:creator>
  <cp:lastModifiedBy>Vishnupriya S</cp:lastModifiedBy>
  <dcterms:created xsi:type="dcterms:W3CDTF">2026-03-01T16:36:59Z</dcterms:created>
  <dcterms:modified xsi:type="dcterms:W3CDTF">2026-03-09T15:30:23Z</dcterms:modified>
</cp:coreProperties>
</file>