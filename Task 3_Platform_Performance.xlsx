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shn\Desktop\Social Media Analytics for Strategic Branding_Spotify\"/>
    </mc:Choice>
  </mc:AlternateContent>
  <xr:revisionPtr revIDLastSave="0" documentId="13_ncr:1_{984A2439-4D74-47D5-AF09-93B1AFD6A583}" xr6:coauthVersionLast="47" xr6:coauthVersionMax="47" xr10:uidLastSave="{00000000-0000-0000-0000-000000000000}"/>
  <bookViews>
    <workbookView xWindow="-108" yWindow="-108" windowWidth="23256" windowHeight="12456" xr2:uid="{C578B87A-7C93-4443-A19B-9592B5E4A085}"/>
  </bookViews>
  <sheets>
    <sheet name="Task 3" sheetId="2" r:id="rId1"/>
    <sheet name="Engagement Summary " sheetId="3" r:id="rId2"/>
  </sheets>
  <definedNames>
    <definedName name="ExternalData_1" localSheetId="1" hidden="1">'Engagement Summary '!$A$1:$G$201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3" l="1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EDCF6-6A0A-4C7B-8E84-0D3E91D20FF4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</connections>
</file>

<file path=xl/sharedStrings.xml><?xml version="1.0" encoding="utf-8"?>
<sst xmlns="http://schemas.openxmlformats.org/spreadsheetml/2006/main" count="235" uniqueCount="20">
  <si>
    <t>3.1) Platform yielding highest engagement</t>
  </si>
  <si>
    <t>3.2) Weekly Follower growth rates across Platforms</t>
  </si>
  <si>
    <t>3.3) Ad Spend vs Engagement</t>
  </si>
  <si>
    <t>Platforms</t>
  </si>
  <si>
    <t>Engagement_Rate in %</t>
  </si>
  <si>
    <t>Weekly_Followers_Growth_Rates</t>
  </si>
  <si>
    <t>Average of Ad_Spend</t>
  </si>
  <si>
    <t>Average of Engagement_Rate</t>
  </si>
  <si>
    <t>Twitter</t>
  </si>
  <si>
    <t>Week_Start_Date</t>
  </si>
  <si>
    <t>Instagram</t>
  </si>
  <si>
    <t>YouTube</t>
  </si>
  <si>
    <t>Platform</t>
  </si>
  <si>
    <t>New_Followers</t>
  </si>
  <si>
    <t>Unfollows</t>
  </si>
  <si>
    <t>Total_Followers</t>
  </si>
  <si>
    <t>Engagement_Rate</t>
  </si>
  <si>
    <t>Ad_Spend</t>
  </si>
  <si>
    <t>Weekly_Followers_Growth_Rate</t>
  </si>
  <si>
    <t>TASK 3: PLATFORM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</si>
</sst>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632523"/>
      <name val="Calibri"/>
      <family val="2"/>
      <scheme val="minor"/>
    </font>
    <font>
      <sz val="11"/>
      <color rgb="FF632523"/>
      <name val="Calibri"/>
      <family val="2"/>
      <scheme val="minor"/>
    </font>
    <font>
      <b/>
      <sz val="18"/>
      <color rgb="FF002060"/>
      <name val="Lucida Handwriting"/>
      <family val="4"/>
    </font>
    <font>
      <sz val="18"/>
      <color rgb="FF002060"/>
      <name val="Lucida Handwriting"/>
      <family val="4"/>
    </font>
  </fonts>
  <fills count="5">
    <fill>
      <patternFill patternType="none"/>
    </fill>
    <fill>
      <patternFill patternType="gray125"/>
    </fill>
    <fill>
      <patternFill patternType="solid">
        <fgColor rgb="FFE9B8B6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/>
    <xf numFmtId="0" fontId="0" fillId="0" borderId="2" xfId="0" applyBorder="1" applyAlignment="1">
      <alignment horizontal="left"/>
    </xf>
    <xf numFmtId="2" fontId="0" fillId="0" borderId="2" xfId="0" applyNumberFormat="1" applyBorder="1"/>
    <xf numFmtId="0" fontId="0" fillId="0" borderId="2" xfId="0" applyBorder="1"/>
    <xf numFmtId="14" fontId="0" fillId="0" borderId="2" xfId="0" applyNumberFormat="1" applyBorder="1" applyAlignment="1">
      <alignment horizontal="left"/>
    </xf>
    <xf numFmtId="10" fontId="0" fillId="0" borderId="2" xfId="0" applyNumberFormat="1" applyBorder="1"/>
    <xf numFmtId="10" fontId="1" fillId="0" borderId="0" xfId="0" applyNumberFormat="1" applyFont="1"/>
    <xf numFmtId="0" fontId="3" fillId="0" borderId="0" xfId="0" applyFont="1"/>
    <xf numFmtId="14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3" borderId="2" xfId="0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50">
    <dxf>
      <numFmt numFmtId="14" formatCode="0.00%"/>
    </dxf>
    <dxf>
      <numFmt numFmtId="0" formatCode="General"/>
    </dxf>
    <dxf>
      <numFmt numFmtId="19" formatCode="dd/mm/yyyy"/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rgb="FFD8E4BC"/>
        </patternFill>
      </fill>
    </dxf>
    <dxf>
      <fill>
        <patternFill>
          <bgColor rgb="FFD8E4BC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C0504D"/>
      <color rgb="FF4F81BD"/>
      <color rgb="FF9BBB59"/>
      <color rgb="FFFFC090"/>
      <color rgb="FFFFEADA"/>
      <color rgb="FFFFEADB"/>
      <color rgb="FF1F5663"/>
      <color rgb="FF1F497D"/>
      <color rgb="FFEEE6F3"/>
      <color rgb="FF403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3.xlsx]Task 3!PivotTable19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10203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403151"/>
                </a:solidFill>
              </a:rPr>
              <a:t>Weekly Follower growth rates across Platforms</a:t>
            </a:r>
          </a:p>
        </c:rich>
      </c:tx>
      <c:layout>
        <c:manualLayout>
          <c:xMode val="edge"/>
          <c:yMode val="edge"/>
          <c:x val="0.20699415045307223"/>
          <c:y val="7.55417687954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10203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4F81B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1020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C0504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1020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9BBB5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1020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13673924257613"/>
          <c:y val="0.16429877565190326"/>
          <c:w val="0.7296574949144955"/>
          <c:h val="0.45570948443303194"/>
        </c:manualLayout>
      </c:layout>
      <c:lineChart>
        <c:grouping val="standard"/>
        <c:varyColors val="0"/>
        <c:ser>
          <c:idx val="0"/>
          <c:order val="0"/>
          <c:tx>
            <c:strRef>
              <c:f>'Task 3'!$E$4:$E$5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rgbClr val="4F81BD"/>
              </a:solidFill>
              <a:round/>
            </a:ln>
            <a:effectLst/>
          </c:spPr>
          <c:marker>
            <c:symbol val="none"/>
          </c:marker>
          <c:cat>
            <c:strRef>
              <c:f>'Task 3'!$D$6:$D$72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3'!$E$6:$E$72</c:f>
              <c:numCache>
                <c:formatCode>0.00%</c:formatCode>
                <c:ptCount val="67"/>
                <c:pt idx="0">
                  <c:v>1.0709526179733787E-2</c:v>
                </c:pt>
                <c:pt idx="1">
                  <c:v>1.0035253152237385E-2</c:v>
                </c:pt>
                <c:pt idx="2">
                  <c:v>6.1532043593888509E-3</c:v>
                </c:pt>
                <c:pt idx="3">
                  <c:v>7.0194756038813571E-3</c:v>
                </c:pt>
                <c:pt idx="4">
                  <c:v>3.9974246283906723E-3</c:v>
                </c:pt>
                <c:pt idx="5">
                  <c:v>1.9610667968164271E-3</c:v>
                </c:pt>
                <c:pt idx="6">
                  <c:v>2.1159343412017798E-3</c:v>
                </c:pt>
                <c:pt idx="7">
                  <c:v>3.8800515380583087E-3</c:v>
                </c:pt>
                <c:pt idx="8">
                  <c:v>2.3089717768720206E-3</c:v>
                </c:pt>
                <c:pt idx="9">
                  <c:v>6.7435554935305723E-3</c:v>
                </c:pt>
                <c:pt idx="10">
                  <c:v>1.4216285431581398E-2</c:v>
                </c:pt>
                <c:pt idx="11">
                  <c:v>2.5711521816608116E-3</c:v>
                </c:pt>
                <c:pt idx="12">
                  <c:v>5.2519335029163131E-3</c:v>
                </c:pt>
                <c:pt idx="13">
                  <c:v>1.5378321642822803E-3</c:v>
                </c:pt>
                <c:pt idx="14">
                  <c:v>1.7288453918263881E-3</c:v>
                </c:pt>
                <c:pt idx="15">
                  <c:v>1.8947546272643525E-3</c:v>
                </c:pt>
                <c:pt idx="16">
                  <c:v>1.3784135240572171E-2</c:v>
                </c:pt>
                <c:pt idx="17">
                  <c:v>3.0190531054641659E-3</c:v>
                </c:pt>
                <c:pt idx="18">
                  <c:v>1.7507375647522346E-3</c:v>
                </c:pt>
                <c:pt idx="19">
                  <c:v>4.7398149771776844E-3</c:v>
                </c:pt>
                <c:pt idx="20">
                  <c:v>1.0915497012055407E-2</c:v>
                </c:pt>
                <c:pt idx="21">
                  <c:v>3.8051035059458792E-3</c:v>
                </c:pt>
                <c:pt idx="22">
                  <c:v>3.6781918718691762E-3</c:v>
                </c:pt>
                <c:pt idx="23">
                  <c:v>3.9281193313061976E-3</c:v>
                </c:pt>
                <c:pt idx="24">
                  <c:v>2.741648314656868E-3</c:v>
                </c:pt>
                <c:pt idx="25">
                  <c:v>1.2759550523566889E-3</c:v>
                </c:pt>
                <c:pt idx="26">
                  <c:v>4.7176696580273365E-3</c:v>
                </c:pt>
                <c:pt idx="27">
                  <c:v>1.7677812464738406E-3</c:v>
                </c:pt>
                <c:pt idx="28">
                  <c:v>6.506669773402458E-3</c:v>
                </c:pt>
                <c:pt idx="29">
                  <c:v>4.8653658034289241E-3</c:v>
                </c:pt>
                <c:pt idx="30">
                  <c:v>1.7165562473503519E-3</c:v>
                </c:pt>
                <c:pt idx="31">
                  <c:v>3.1809630491290049E-3</c:v>
                </c:pt>
                <c:pt idx="32">
                  <c:v>1.3793673813581599E-3</c:v>
                </c:pt>
                <c:pt idx="33">
                  <c:v>1.3487040845594743E-3</c:v>
                </c:pt>
                <c:pt idx="34">
                  <c:v>9.2415931314094918E-4</c:v>
                </c:pt>
                <c:pt idx="35">
                  <c:v>2.3334666742861497E-3</c:v>
                </c:pt>
                <c:pt idx="36">
                  <c:v>3.0798747854185599E-3</c:v>
                </c:pt>
                <c:pt idx="37">
                  <c:v>4.0817246978170664E-3</c:v>
                </c:pt>
                <c:pt idx="38">
                  <c:v>1.0896826083196401E-3</c:v>
                </c:pt>
                <c:pt idx="39">
                  <c:v>1.0984575217286749E-2</c:v>
                </c:pt>
                <c:pt idx="40">
                  <c:v>1.8468941678809856E-3</c:v>
                </c:pt>
                <c:pt idx="41">
                  <c:v>1.9052058737091724E-3</c:v>
                </c:pt>
                <c:pt idx="42">
                  <c:v>3.0555240088474996E-3</c:v>
                </c:pt>
                <c:pt idx="43">
                  <c:v>3.1475371965261584E-3</c:v>
                </c:pt>
                <c:pt idx="44">
                  <c:v>3.9209705941868752E-3</c:v>
                </c:pt>
                <c:pt idx="45">
                  <c:v>1.9961869935398759E-3</c:v>
                </c:pt>
                <c:pt idx="46">
                  <c:v>1.0988053215795403E-3</c:v>
                </c:pt>
                <c:pt idx="47">
                  <c:v>3.7778051067623862E-3</c:v>
                </c:pt>
                <c:pt idx="48">
                  <c:v>2.5976522198761379E-3</c:v>
                </c:pt>
                <c:pt idx="49">
                  <c:v>1.5731300645365684E-3</c:v>
                </c:pt>
                <c:pt idx="50">
                  <c:v>7.872087032172511E-3</c:v>
                </c:pt>
                <c:pt idx="51">
                  <c:v>3.8281206906062111E-3</c:v>
                </c:pt>
                <c:pt idx="52">
                  <c:v>1.2413909189098204E-3</c:v>
                </c:pt>
                <c:pt idx="53">
                  <c:v>1.1327664328719508E-2</c:v>
                </c:pt>
                <c:pt idx="54">
                  <c:v>2.4617598408673293E-3</c:v>
                </c:pt>
                <c:pt idx="55">
                  <c:v>1.1452908859898713E-3</c:v>
                </c:pt>
                <c:pt idx="56">
                  <c:v>2.2401847575057735E-3</c:v>
                </c:pt>
                <c:pt idx="57">
                  <c:v>3.3512794144334888E-3</c:v>
                </c:pt>
                <c:pt idx="58">
                  <c:v>9.827213822894169E-3</c:v>
                </c:pt>
                <c:pt idx="59">
                  <c:v>7.4721268454424738E-3</c:v>
                </c:pt>
                <c:pt idx="60">
                  <c:v>4.669318378338316E-3</c:v>
                </c:pt>
                <c:pt idx="61">
                  <c:v>7.6555792759910937E-3</c:v>
                </c:pt>
                <c:pt idx="62">
                  <c:v>2.6309839468870114E-3</c:v>
                </c:pt>
                <c:pt idx="63">
                  <c:v>2.1136549728017671E-3</c:v>
                </c:pt>
                <c:pt idx="64">
                  <c:v>6.6754281661347186E-3</c:v>
                </c:pt>
                <c:pt idx="65">
                  <c:v>3.1996007837554212E-3</c:v>
                </c:pt>
                <c:pt idx="66">
                  <c:v>9.1194199159233963E-3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7-4D63-9C9D-677A5B36039C}"/>
            </c:ext>
          </c:extLst>
        </c:ser>
        <c:ser>
          <c:idx val="1"/>
          <c:order val="1"/>
          <c:tx>
            <c:strRef>
              <c:f>'Task 3'!$F$4:$F$5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rgbClr val="C0504D"/>
              </a:solidFill>
              <a:round/>
            </a:ln>
            <a:effectLst/>
          </c:spPr>
          <c:marker>
            <c:symbol val="none"/>
          </c:marker>
          <c:cat>
            <c:strRef>
              <c:f>'Task 3'!$D$6:$D$72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3'!$F$6:$F$72</c:f>
              <c:numCache>
                <c:formatCode>0.00%</c:formatCode>
                <c:ptCount val="67"/>
                <c:pt idx="0">
                  <c:v>3.9875766588582107E-3</c:v>
                </c:pt>
                <c:pt idx="1">
                  <c:v>4.247465810484582E-3</c:v>
                </c:pt>
                <c:pt idx="2">
                  <c:v>5.2165710498603361E-3</c:v>
                </c:pt>
                <c:pt idx="3">
                  <c:v>8.7155963302752298E-3</c:v>
                </c:pt>
                <c:pt idx="4">
                  <c:v>2.7265062228494967E-3</c:v>
                </c:pt>
                <c:pt idx="5">
                  <c:v>1.7836234485988603E-2</c:v>
                </c:pt>
                <c:pt idx="6">
                  <c:v>4.1633646660018432E-3</c:v>
                </c:pt>
                <c:pt idx="7">
                  <c:v>1.3666228646517741E-3</c:v>
                </c:pt>
                <c:pt idx="8">
                  <c:v>5.2125958475504573E-3</c:v>
                </c:pt>
                <c:pt idx="9">
                  <c:v>4.3839826448522105E-3</c:v>
                </c:pt>
                <c:pt idx="10">
                  <c:v>1.031124193757846E-2</c:v>
                </c:pt>
                <c:pt idx="11">
                  <c:v>6.2169419806330862E-3</c:v>
                </c:pt>
                <c:pt idx="12">
                  <c:v>1.1090510417460359E-3</c:v>
                </c:pt>
                <c:pt idx="13">
                  <c:v>2.6618404566337186E-3</c:v>
                </c:pt>
                <c:pt idx="14">
                  <c:v>4.7123181781018424E-3</c:v>
                </c:pt>
                <c:pt idx="15">
                  <c:v>3.4796436801746559E-3</c:v>
                </c:pt>
                <c:pt idx="16">
                  <c:v>3.305365562946797E-3</c:v>
                </c:pt>
                <c:pt idx="17">
                  <c:v>4.6946006530167259E-3</c:v>
                </c:pt>
                <c:pt idx="18">
                  <c:v>2.8850860838862216E-3</c:v>
                </c:pt>
                <c:pt idx="19">
                  <c:v>1.8353650184906177E-3</c:v>
                </c:pt>
                <c:pt idx="20">
                  <c:v>5.3980915408646862E-3</c:v>
                </c:pt>
                <c:pt idx="21">
                  <c:v>1.5788005199153436E-3</c:v>
                </c:pt>
                <c:pt idx="22">
                  <c:v>3.9842122008616216E-3</c:v>
                </c:pt>
                <c:pt idx="23">
                  <c:v>2.6275238057607967E-3</c:v>
                </c:pt>
                <c:pt idx="24">
                  <c:v>5.0288483327232481E-3</c:v>
                </c:pt>
                <c:pt idx="25">
                  <c:v>4.2439230501565839E-3</c:v>
                </c:pt>
                <c:pt idx="26">
                  <c:v>7.8261885293774095E-3</c:v>
                </c:pt>
                <c:pt idx="27">
                  <c:v>3.8344284334702996E-3</c:v>
                </c:pt>
                <c:pt idx="28">
                  <c:v>2.7987701840030041E-3</c:v>
                </c:pt>
                <c:pt idx="29">
                  <c:v>6.4046760353189906E-3</c:v>
                </c:pt>
                <c:pt idx="30">
                  <c:v>3.7157691133055076E-3</c:v>
                </c:pt>
                <c:pt idx="31">
                  <c:v>8.2282093543773697E-3</c:v>
                </c:pt>
                <c:pt idx="32">
                  <c:v>3.960732004118693E-3</c:v>
                </c:pt>
                <c:pt idx="33">
                  <c:v>2.0100280520398473E-3</c:v>
                </c:pt>
                <c:pt idx="34">
                  <c:v>5.1939513477975013E-3</c:v>
                </c:pt>
                <c:pt idx="35">
                  <c:v>6.8852027382833069E-3</c:v>
                </c:pt>
                <c:pt idx="36">
                  <c:v>1.2038244241634072E-2</c:v>
                </c:pt>
                <c:pt idx="37">
                  <c:v>2.3280135960016494E-3</c:v>
                </c:pt>
                <c:pt idx="38">
                  <c:v>3.7818873758696555E-3</c:v>
                </c:pt>
                <c:pt idx="39">
                  <c:v>7.8900723125911749E-3</c:v>
                </c:pt>
                <c:pt idx="40">
                  <c:v>5.1540047386073422E-3</c:v>
                </c:pt>
                <c:pt idx="41">
                  <c:v>1.4348198375413667E-3</c:v>
                </c:pt>
                <c:pt idx="42">
                  <c:v>6.5302778380201933E-3</c:v>
                </c:pt>
                <c:pt idx="43">
                  <c:v>9.0792625187990864E-3</c:v>
                </c:pt>
                <c:pt idx="44">
                  <c:v>2.9814935695005556E-3</c:v>
                </c:pt>
                <c:pt idx="45">
                  <c:v>6.2397756485160086E-3</c:v>
                </c:pt>
                <c:pt idx="46">
                  <c:v>1.4351099955706482E-3</c:v>
                </c:pt>
                <c:pt idx="47">
                  <c:v>2.0509887813384732E-3</c:v>
                </c:pt>
                <c:pt idx="48">
                  <c:v>2.5507605115104954E-3</c:v>
                </c:pt>
                <c:pt idx="49">
                  <c:v>2.6547884187082403E-3</c:v>
                </c:pt>
                <c:pt idx="50">
                  <c:v>4.1466368206671319E-3</c:v>
                </c:pt>
                <c:pt idx="51">
                  <c:v>3.7470607409939207E-3</c:v>
                </c:pt>
                <c:pt idx="52">
                  <c:v>9.6542972769051369E-3</c:v>
                </c:pt>
                <c:pt idx="53">
                  <c:v>1.5942232850377457E-3</c:v>
                </c:pt>
                <c:pt idx="54">
                  <c:v>5.1721119722456512E-3</c:v>
                </c:pt>
                <c:pt idx="55">
                  <c:v>2.1127444317144686E-3</c:v>
                </c:pt>
                <c:pt idx="56">
                  <c:v>1.208595326242385E-2</c:v>
                </c:pt>
                <c:pt idx="57">
                  <c:v>2.6668250067122413E-3</c:v>
                </c:pt>
                <c:pt idx="58">
                  <c:v>1.5181988769584942E-3</c:v>
                </c:pt>
                <c:pt idx="59">
                  <c:v>3.1852844079273504E-3</c:v>
                </c:pt>
                <c:pt idx="60">
                  <c:v>1.0981480529715098E-2</c:v>
                </c:pt>
                <c:pt idx="61">
                  <c:v>1.8650998332996943E-3</c:v>
                </c:pt>
                <c:pt idx="62">
                  <c:v>6.0271996703070265E-3</c:v>
                </c:pt>
                <c:pt idx="63">
                  <c:v>1.823480339105339E-3</c:v>
                </c:pt>
                <c:pt idx="64">
                  <c:v>3.9399561477483558E-3</c:v>
                </c:pt>
                <c:pt idx="65">
                  <c:v>3.6710630280192063E-3</c:v>
                </c:pt>
                <c:pt idx="66">
                  <c:v>1.7666324429429343E-3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7-4D63-9C9D-677A5B36039C}"/>
            </c:ext>
          </c:extLst>
        </c:ser>
        <c:ser>
          <c:idx val="2"/>
          <c:order val="2"/>
          <c:tx>
            <c:strRef>
              <c:f>'Task 3'!$G$4:$G$5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rgbClr val="9BBB59"/>
              </a:solidFill>
              <a:round/>
            </a:ln>
            <a:effectLst/>
          </c:spPr>
          <c:marker>
            <c:symbol val="none"/>
          </c:marker>
          <c:cat>
            <c:strRef>
              <c:f>'Task 3'!$D$6:$D$72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3'!$G$6:$G$72</c:f>
              <c:numCache>
                <c:formatCode>0.00%</c:formatCode>
                <c:ptCount val="67"/>
                <c:pt idx="0">
                  <c:v>3.176300905893983E-3</c:v>
                </c:pt>
                <c:pt idx="1">
                  <c:v>1.1541771253329111E-3</c:v>
                </c:pt>
                <c:pt idx="2">
                  <c:v>5.1990991422684362E-3</c:v>
                </c:pt>
                <c:pt idx="3">
                  <c:v>5.5548942586200059E-3</c:v>
                </c:pt>
                <c:pt idx="4">
                  <c:v>3.7184126339477423E-3</c:v>
                </c:pt>
                <c:pt idx="5">
                  <c:v>5.7836390843520723E-3</c:v>
                </c:pt>
                <c:pt idx="6">
                  <c:v>4.4074791828765565E-3</c:v>
                </c:pt>
                <c:pt idx="7">
                  <c:v>2.9558125725816196E-3</c:v>
                </c:pt>
                <c:pt idx="8">
                  <c:v>2.4107127645679174E-3</c:v>
                </c:pt>
                <c:pt idx="9">
                  <c:v>2.3829134417695176E-3</c:v>
                </c:pt>
                <c:pt idx="10">
                  <c:v>3.2668165162148292E-3</c:v>
                </c:pt>
                <c:pt idx="11">
                  <c:v>6.1138546368952043E-3</c:v>
                </c:pt>
                <c:pt idx="12">
                  <c:v>4.3018845648676966E-3</c:v>
                </c:pt>
                <c:pt idx="13">
                  <c:v>2.8775171297394605E-3</c:v>
                </c:pt>
                <c:pt idx="14">
                  <c:v>2.3319170287838973E-3</c:v>
                </c:pt>
                <c:pt idx="15">
                  <c:v>2.2541306944976669E-3</c:v>
                </c:pt>
                <c:pt idx="16">
                  <c:v>1.3748256088824177E-3</c:v>
                </c:pt>
                <c:pt idx="17">
                  <c:v>3.2768049617799048E-3</c:v>
                </c:pt>
                <c:pt idx="18">
                  <c:v>8.0878372132944243E-3</c:v>
                </c:pt>
                <c:pt idx="19">
                  <c:v>3.8177207407976638E-3</c:v>
                </c:pt>
                <c:pt idx="20">
                  <c:v>7.2173750633688196E-3</c:v>
                </c:pt>
                <c:pt idx="21">
                  <c:v>3.6774665438586984E-3</c:v>
                </c:pt>
                <c:pt idx="22">
                  <c:v>8.0175996088975802E-3</c:v>
                </c:pt>
                <c:pt idx="23">
                  <c:v>4.6556860536239985E-3</c:v>
                </c:pt>
                <c:pt idx="24">
                  <c:v>2.0449775112443779E-3</c:v>
                </c:pt>
                <c:pt idx="25">
                  <c:v>5.8524314976443207E-3</c:v>
                </c:pt>
                <c:pt idx="26">
                  <c:v>2.0028848369668811E-3</c:v>
                </c:pt>
                <c:pt idx="27">
                  <c:v>3.2086280175382597E-3</c:v>
                </c:pt>
                <c:pt idx="28">
                  <c:v>7.8332145402708487E-3</c:v>
                </c:pt>
                <c:pt idx="29">
                  <c:v>2.60081206532016E-3</c:v>
                </c:pt>
                <c:pt idx="30">
                  <c:v>4.3562203906807708E-3</c:v>
                </c:pt>
                <c:pt idx="31">
                  <c:v>2.8057492705051896E-3</c:v>
                </c:pt>
                <c:pt idx="32">
                  <c:v>2.9568975321278288E-3</c:v>
                </c:pt>
                <c:pt idx="33">
                  <c:v>2.5280739012313877E-3</c:v>
                </c:pt>
                <c:pt idx="34">
                  <c:v>3.685623501752981E-3</c:v>
                </c:pt>
                <c:pt idx="35">
                  <c:v>1.1697559866836308E-3</c:v>
                </c:pt>
                <c:pt idx="36">
                  <c:v>1.9357425118836263E-3</c:v>
                </c:pt>
                <c:pt idx="37">
                  <c:v>1.0583174536168594E-3</c:v>
                </c:pt>
                <c:pt idx="38">
                  <c:v>1.8949662755644234E-3</c:v>
                </c:pt>
                <c:pt idx="39">
                  <c:v>1.7409229805475531E-3</c:v>
                </c:pt>
                <c:pt idx="40">
                  <c:v>2.2450476889214967E-3</c:v>
                </c:pt>
                <c:pt idx="41">
                  <c:v>4.2810298761233904E-3</c:v>
                </c:pt>
                <c:pt idx="42">
                  <c:v>3.2720751898231166E-3</c:v>
                </c:pt>
                <c:pt idx="43">
                  <c:v>6.7594964249334932E-3</c:v>
                </c:pt>
                <c:pt idx="44">
                  <c:v>3.6902252215116576E-3</c:v>
                </c:pt>
                <c:pt idx="45">
                  <c:v>4.6142223427541986E-3</c:v>
                </c:pt>
                <c:pt idx="46">
                  <c:v>3.2565414723670183E-3</c:v>
                </c:pt>
                <c:pt idx="47">
                  <c:v>2.9339148299662998E-3</c:v>
                </c:pt>
                <c:pt idx="48">
                  <c:v>1.9790880672631238E-3</c:v>
                </c:pt>
                <c:pt idx="49">
                  <c:v>1.4915157677349929E-3</c:v>
                </c:pt>
                <c:pt idx="50">
                  <c:v>7.5491490264485411E-3</c:v>
                </c:pt>
                <c:pt idx="51">
                  <c:v>2.005770990217468E-3</c:v>
                </c:pt>
                <c:pt idx="52">
                  <c:v>4.9181461441388493E-3</c:v>
                </c:pt>
                <c:pt idx="53">
                  <c:v>4.1211031333606603E-3</c:v>
                </c:pt>
                <c:pt idx="54">
                  <c:v>5.4388566363352828E-3</c:v>
                </c:pt>
                <c:pt idx="55">
                  <c:v>3.3553365983339462E-3</c:v>
                </c:pt>
                <c:pt idx="56">
                  <c:v>6.4765009508285796E-3</c:v>
                </c:pt>
                <c:pt idx="57">
                  <c:v>3.1694785125105812E-3</c:v>
                </c:pt>
                <c:pt idx="58">
                  <c:v>2.6388003437092886E-3</c:v>
                </c:pt>
                <c:pt idx="59">
                  <c:v>3.2454858113287115E-3</c:v>
                </c:pt>
                <c:pt idx="60">
                  <c:v>1.7084647221127316E-2</c:v>
                </c:pt>
                <c:pt idx="61">
                  <c:v>3.9299078763469142E-3</c:v>
                </c:pt>
                <c:pt idx="62">
                  <c:v>6.6042394102916796E-3</c:v>
                </c:pt>
                <c:pt idx="63">
                  <c:v>5.5270456327116777E-3</c:v>
                </c:pt>
                <c:pt idx="64">
                  <c:v>3.5959985838152297E-3</c:v>
                </c:pt>
                <c:pt idx="65">
                  <c:v>7.9729048800556194E-4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7-4D63-9C9D-677A5B360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874623"/>
        <c:axId val="1588875103"/>
      </c:lineChart>
      <c:catAx>
        <c:axId val="1588874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1020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Week_Start_Date</a:t>
                </a:r>
              </a:p>
            </c:rich>
          </c:tx>
          <c:layout>
            <c:manualLayout>
              <c:xMode val="edge"/>
              <c:yMode val="edge"/>
              <c:x val="0.38966742259813314"/>
              <c:y val="0.85163908403665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1020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1020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75103"/>
        <c:crosses val="autoZero"/>
        <c:auto val="1"/>
        <c:lblAlgn val="ctr"/>
        <c:lblOffset val="100"/>
        <c:noMultiLvlLbl val="0"/>
      </c:catAx>
      <c:valAx>
        <c:axId val="158887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1020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Weekly Followers_Growth Rate</a:t>
                </a:r>
              </a:p>
            </c:rich>
          </c:tx>
          <c:layout>
            <c:manualLayout>
              <c:xMode val="edge"/>
              <c:yMode val="edge"/>
              <c:x val="1.2360939431396786E-2"/>
              <c:y val="0.18179797884545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1020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1020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09501701656886"/>
          <c:y val="0.69348326968111018"/>
          <c:w val="0.14054404355203437"/>
          <c:h val="0.280059408741571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1020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ADB"/>
    </a:solidFill>
    <a:ln w="9525" cap="flat" cmpd="sng" algn="ctr">
      <a:solidFill>
        <a:srgbClr val="161616"/>
      </a:solidFill>
      <a:round/>
    </a:ln>
    <a:effectLst>
      <a:glow rad="139700">
        <a:srgbClr val="D8E4BC"/>
      </a:glow>
    </a:effectLst>
    <a:scene3d>
      <a:camera prst="orthographicFront"/>
      <a:lightRig rig="threePt" dir="t"/>
    </a:scene3d>
    <a:sp3d/>
  </c:spPr>
  <c:txPr>
    <a:bodyPr/>
    <a:lstStyle/>
    <a:p>
      <a:pPr>
        <a:defRPr>
          <a:solidFill>
            <a:srgbClr val="01020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n>
                  <a:noFill/>
                </a:ln>
                <a:solidFill>
                  <a:srgbClr val="1F5663"/>
                </a:solidFill>
              </a:rPr>
              <a:t>Ad</a:t>
            </a:r>
            <a:r>
              <a:rPr lang="en-IN" b="1" baseline="0">
                <a:ln>
                  <a:noFill/>
                </a:ln>
                <a:solidFill>
                  <a:srgbClr val="1F5663"/>
                </a:solidFill>
              </a:rPr>
              <a:t> Spend vs Engagement</a:t>
            </a:r>
            <a:endParaRPr lang="en-IN" b="1">
              <a:ln>
                <a:noFill/>
              </a:ln>
              <a:solidFill>
                <a:srgbClr val="1F5663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3'!$X$4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5A-4757-A8B5-6D8565AE0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'Task 3'!$W$5:$W$7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xVal>
          <c:yVal>
            <c:numRef>
              <c:f>'Task 3'!$X$5:$X$7</c:f>
              <c:numCache>
                <c:formatCode>0.00</c:formatCode>
                <c:ptCount val="3"/>
                <c:pt idx="0">
                  <c:v>16629.910447761195</c:v>
                </c:pt>
                <c:pt idx="1">
                  <c:v>16148.212121212122</c:v>
                </c:pt>
                <c:pt idx="2">
                  <c:v>15461.820895522387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5A-4757-A8B5-6D8565AE038C}"/>
            </c:ext>
          </c:extLst>
        </c:ser>
        <c:ser>
          <c:idx val="1"/>
          <c:order val="1"/>
          <c:tx>
            <c:strRef>
              <c:f>'Task 3'!$Y$4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504D"/>
              </a:solidFill>
              <a:ln w="9525">
                <a:solidFill>
                  <a:srgbClr val="C0504D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'Task 3'!$W$5:$W$7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xVal>
          <c:yVal>
            <c:numRef>
              <c:f>'Task 3'!$Y$5:$Y$7</c:f>
              <c:numCache>
                <c:formatCode>0.00</c:formatCode>
                <c:ptCount val="3"/>
                <c:pt idx="0">
                  <c:v>6.8856716417910446</c:v>
                </c:pt>
                <c:pt idx="1">
                  <c:v>6.7189393939393929</c:v>
                </c:pt>
                <c:pt idx="2">
                  <c:v>6.4582089552238831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5A-4757-A8B5-6D8565AE03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78053727"/>
        <c:axId val="778048927"/>
      </c:scatterChart>
      <c:valAx>
        <c:axId val="77805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Engagement</a:t>
                </a:r>
                <a:r>
                  <a:rPr lang="en-IN" baseline="0">
                    <a:solidFill>
                      <a:schemeClr val="tx1"/>
                    </a:solidFill>
                  </a:rPr>
                  <a:t> 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316072522634958"/>
              <c:y val="0.79698077843762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48927"/>
        <c:crosses val="autoZero"/>
        <c:crossBetween val="midCat"/>
      </c:valAx>
      <c:valAx>
        <c:axId val="7780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Ad</a:t>
                </a:r>
                <a:r>
                  <a:rPr lang="en-IN" baseline="0">
                    <a:solidFill>
                      <a:schemeClr val="tx1"/>
                    </a:solidFill>
                  </a:rPr>
                  <a:t> Spend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2007684918347743E-2"/>
              <c:y val="0.312799774543059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5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ADA"/>
    </a:solidFill>
    <a:ln w="9525" cap="flat" cmpd="sng" algn="ctr">
      <a:solidFill>
        <a:schemeClr val="tx2"/>
      </a:solidFill>
      <a:round/>
    </a:ln>
    <a:effectLst>
      <a:glow rad="76200">
        <a:srgbClr val="FFC090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3</xdr:row>
      <xdr:rowOff>64770</xdr:rowOff>
    </xdr:from>
    <xdr:to>
      <xdr:col>16</xdr:col>
      <xdr:colOff>548640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31AE9-EE46-4CEA-93F6-CFA374D0C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373380</xdr:colOff>
      <xdr:row>22</xdr:row>
      <xdr:rowOff>144780</xdr:rowOff>
    </xdr:from>
    <xdr:ext cx="3863340" cy="18059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815D92-5E83-4B3C-B196-66C4B4B75954}"/>
            </a:ext>
          </a:extLst>
        </xdr:cNvPr>
        <xdr:cNvSpPr txBox="1"/>
      </xdr:nvSpPr>
      <xdr:spPr>
        <a:xfrm>
          <a:off x="8282940" y="4312920"/>
          <a:ext cx="3863340" cy="1805940"/>
        </a:xfrm>
        <a:prstGeom prst="rect">
          <a:avLst/>
        </a:prstGeom>
        <a:solidFill>
          <a:srgbClr val="EEE6F3"/>
        </a:solidFill>
        <a:ln w="19050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indent="-171450" algn="l">
            <a:buFont typeface="Wingdings" panose="05000000000000000000" pitchFamily="2" charset="2"/>
            <a:buChar char="v"/>
          </a:pPr>
          <a:r>
            <a:rPr lang="en-IN" sz="1100">
              <a:ln>
                <a:solidFill>
                  <a:schemeClr val="accent5">
                    <a:lumMod val="50000"/>
                  </a:schemeClr>
                </a:solidFill>
              </a:ln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Instagram shows the most consistent weekly follower growth rate with fewer extreme fluctuations</a:t>
          </a:r>
          <a:r>
            <a:rPr lang="en-IN" sz="1100" baseline="0">
              <a:ln>
                <a:solidFill>
                  <a:schemeClr val="accent5">
                    <a:lumMod val="50000"/>
                  </a:schemeClr>
                </a:solidFill>
              </a:ln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, Youtube records comparatively lower growth rate and </a:t>
          </a:r>
          <a:r>
            <a:rPr lang="en-IN" sz="1100">
              <a:ln>
                <a:solidFill>
                  <a:schemeClr val="accent5">
                    <a:lumMod val="50000"/>
                  </a:schemeClr>
                </a:solidFill>
              </a:ln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Twitter</a:t>
          </a:r>
          <a:r>
            <a:rPr lang="en-IN" sz="1100" baseline="0">
              <a:ln>
                <a:solidFill>
                  <a:schemeClr val="accent5">
                    <a:lumMod val="50000"/>
                  </a:schemeClr>
                </a:solidFill>
              </a:ln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shows irregular increases and drops.</a:t>
          </a:r>
        </a:p>
        <a:p>
          <a:pPr marL="171450" indent="-171450" algn="l">
            <a:buFont typeface="Arial" panose="020B0604020202020204" pitchFamily="34" charset="0"/>
            <a:buChar char="•"/>
          </a:pPr>
          <a:endParaRPr lang="en-IN" sz="1100">
            <a:ln>
              <a:solidFill>
                <a:schemeClr val="accent5">
                  <a:lumMod val="50000"/>
                </a:schemeClr>
              </a:solidFill>
            </a:ln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 algn="l">
            <a:buFont typeface="Wingdings" panose="05000000000000000000" pitchFamily="2" charset="2"/>
            <a:buChar char="v"/>
          </a:pPr>
          <a:r>
            <a:rPr lang="en-IN" sz="1100" baseline="0">
              <a:ln>
                <a:solidFill>
                  <a:schemeClr val="accent5">
                    <a:lumMod val="50000"/>
                  </a:schemeClr>
                </a:solidFill>
              </a:ln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Instagram is the most reliable platform for sustained follower growth. </a:t>
          </a:r>
          <a:endParaRPr lang="en-IN" sz="1100">
            <a:ln>
              <a:solidFill>
                <a:schemeClr val="accent5">
                  <a:lumMod val="50000"/>
                </a:schemeClr>
              </a:solidFill>
            </a:ln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oneCellAnchor>
    <xdr:from>
      <xdr:col>9</xdr:col>
      <xdr:colOff>571500</xdr:colOff>
      <xdr:row>29</xdr:row>
      <xdr:rowOff>175260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F759F1-24CE-498F-A065-8A252D6E6B55}"/>
            </a:ext>
          </a:extLst>
        </xdr:cNvPr>
        <xdr:cNvSpPr txBox="1"/>
      </xdr:nvSpPr>
      <xdr:spPr>
        <a:xfrm>
          <a:off x="909066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18</xdr:col>
      <xdr:colOff>0</xdr:colOff>
      <xdr:row>8</xdr:row>
      <xdr:rowOff>95250</xdr:rowOff>
    </xdr:from>
    <xdr:to>
      <xdr:col>23</xdr:col>
      <xdr:colOff>358140</xdr:colOff>
      <xdr:row>24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03316B-B23B-4E86-93F4-E0B37C931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617220</xdr:colOff>
      <xdr:row>8</xdr:row>
      <xdr:rowOff>99060</xdr:rowOff>
    </xdr:from>
    <xdr:ext cx="2606040" cy="1546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D9E1911-07C5-4030-83A5-9483E05215BC}"/>
            </a:ext>
          </a:extLst>
        </xdr:cNvPr>
        <xdr:cNvSpPr txBox="1"/>
      </xdr:nvSpPr>
      <xdr:spPr>
        <a:xfrm>
          <a:off x="19758660" y="1379220"/>
          <a:ext cx="2606040" cy="1546860"/>
        </a:xfrm>
        <a:prstGeom prst="rect">
          <a:avLst/>
        </a:prstGeom>
        <a:solidFill>
          <a:srgbClr val="EEE6F3"/>
        </a:solidFill>
        <a:ln w="19050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indent="-171450" algn="l">
            <a:buFont typeface="Wingdings" panose="05000000000000000000" pitchFamily="2" charset="2"/>
            <a:buChar char="v"/>
          </a:pPr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Twitter shows the </a:t>
          </a:r>
          <a:r>
            <a:rPr lang="en-IN" sz="1100" b="1">
              <a:solidFill>
                <a:srgbClr val="1F5663"/>
              </a:solidFill>
              <a:effectLst/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highest ad</a:t>
          </a:r>
          <a:r>
            <a:rPr lang="en-IN" sz="1100" b="1" baseline="0">
              <a:solidFill>
                <a:srgbClr val="1F5663"/>
              </a:solidFill>
              <a:effectLst/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spend and </a:t>
          </a:r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highest engagement </a:t>
          </a: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whereas Instagram shows lowest engagement and lowest ad spend. </a:t>
          </a:r>
        </a:p>
        <a:p>
          <a:pPr marL="171450" indent="-171450" algn="l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 algn="l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This shows that Ad Spend and Engagement are  directly proportional to each other.</a:t>
          </a:r>
          <a:endParaRPr lang="en-IN" sz="1100" b="1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oneCellAnchor>
    <xdr:from>
      <xdr:col>0</xdr:col>
      <xdr:colOff>106680</xdr:colOff>
      <xdr:row>9</xdr:row>
      <xdr:rowOff>99060</xdr:rowOff>
    </xdr:from>
    <xdr:ext cx="2095500" cy="626364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95D931-40CF-4942-B892-8CBE02019E4D}"/>
            </a:ext>
          </a:extLst>
        </xdr:cNvPr>
        <xdr:cNvSpPr txBox="1"/>
      </xdr:nvSpPr>
      <xdr:spPr>
        <a:xfrm>
          <a:off x="106680" y="1562100"/>
          <a:ext cx="2095500" cy="6263640"/>
        </a:xfrm>
        <a:prstGeom prst="rect">
          <a:avLst/>
        </a:prstGeom>
        <a:solidFill>
          <a:srgbClr val="F7DBDA"/>
        </a:solidFill>
        <a:ln w="19050">
          <a:solidFill>
            <a:srgbClr val="4D5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>
            <a:buFontTx/>
            <a:buNone/>
          </a:pPr>
          <a:r>
            <a:rPr lang="en-IN" sz="1600" b="1">
              <a:solidFill>
                <a:srgbClr val="4D5D31"/>
              </a:solidFill>
              <a:latin typeface="HP Simplified Jpan" panose="020B0500000000000000" pitchFamily="34" charset="-128"/>
              <a:ea typeface="HP Simplified Jpan" panose="020B0500000000000000" pitchFamily="34" charset="-128"/>
            </a:rPr>
            <a:t>3.4) INSIGHTS</a:t>
          </a:r>
          <a:r>
            <a:rPr lang="en-IN" sz="1600" b="1" baseline="0">
              <a:solidFill>
                <a:srgbClr val="4D5D31"/>
              </a:solidFill>
              <a:latin typeface="HP Simplified Jpan" panose="020B0500000000000000" pitchFamily="34" charset="-128"/>
              <a:ea typeface="HP Simplified Jpan" panose="020B0500000000000000" pitchFamily="34" charset="-128"/>
            </a:rPr>
            <a:t> AND </a:t>
          </a:r>
          <a:r>
            <a:rPr lang="en-IN" sz="1600" b="1">
              <a:solidFill>
                <a:srgbClr val="4D5D31"/>
              </a:solidFill>
              <a:latin typeface="HP Simplified Jpan" panose="020B0500000000000000" pitchFamily="34" charset="-128"/>
              <a:ea typeface="HP Simplified Jpan" panose="020B0500000000000000" pitchFamily="34" charset="-128"/>
            </a:rPr>
            <a:t>RECOMMENDATION</a:t>
          </a:r>
          <a:br>
            <a:rPr lang="en-IN" sz="1100"/>
          </a:br>
          <a:endParaRPr lang="en-IN" sz="1100"/>
        </a:p>
        <a:p>
          <a:pPr marL="285750" indent="-285750">
            <a:buFont typeface="Wingdings" panose="05000000000000000000" pitchFamily="2" charset="2"/>
            <a:buChar char="q"/>
          </a:pPr>
          <a:r>
            <a:rPr lang="en-IN" sz="1100" b="1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Based</a:t>
          </a:r>
          <a: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on the analysis, a focused 1-2 platform strategy is recommended.</a:t>
          </a:r>
          <a:b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100" b="1" baseline="0">
            <a:solidFill>
              <a:srgbClr val="63252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q"/>
          </a:pPr>
          <a:r>
            <a:rPr lang="en-IN" sz="1100" b="1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Twitter shows the highest engagement rate</a:t>
          </a:r>
          <a: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while Instagram shows most consistent follower growth rate indicating sustained audience expansion.</a:t>
          </a:r>
          <a:b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100" b="1" baseline="0">
            <a:solidFill>
              <a:srgbClr val="63252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q"/>
          </a:pPr>
          <a: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Youtube shows moderate engagement, lower growth rate for higher ad spend and moderate yet inconsistent weekly follower growth.</a:t>
          </a:r>
          <a:b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100" b="1" baseline="0">
            <a:solidFill>
              <a:srgbClr val="63252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q"/>
          </a:pPr>
          <a: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Thus, focus on Twitter and Instagram due to higher engagement and maintain a limited presence on Youtube.</a:t>
          </a:r>
          <a:b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100" b="1" baseline="0">
            <a:solidFill>
              <a:srgbClr val="63252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q"/>
          </a:pPr>
          <a:r>
            <a:rPr lang="en-IN" sz="1100" b="1" baseline="0">
              <a:solidFill>
                <a:srgbClr val="63252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Reduce ad spend on youtube as it shows lower efficiency.</a:t>
          </a:r>
          <a:endParaRPr lang="en-IN" sz="1100" b="1">
            <a:solidFill>
              <a:srgbClr val="63252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8.048311458333" createdVersion="8" refreshedVersion="8" minRefreshableVersion="3" recordCount="200" xr:uid="{45412FF9-520C-4F79-8056-464D4D887D43}">
  <cacheSource type="worksheet">
    <worksheetSource name="Engagement_Summary" r:id="rId2"/>
  </cacheSource>
  <cacheFields count="11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Weekly_Followers_Growth_Rate" numFmtId="10">
      <sharedItems containsSemiMixedTypes="0" containsString="0" containsNumber="1" minValue="7.9729048800556194E-4" maxValue="1.7836234485988603E-2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.0709526179733787E-2"/>
  </r>
  <r>
    <x v="0"/>
    <x v="1"/>
    <n v="995"/>
    <n v="86"/>
    <n v="227958"/>
    <n v="8.0500000000000007"/>
    <n v="22788"/>
    <n v="3.9875766588582107E-3"/>
  </r>
  <r>
    <x v="0"/>
    <x v="2"/>
    <n v="1472"/>
    <n v="296"/>
    <n v="370242"/>
    <n v="7.72"/>
    <n v="7810"/>
    <n v="3.176300905893983E-3"/>
  </r>
  <r>
    <x v="1"/>
    <x v="0"/>
    <n v="1018"/>
    <n v="90"/>
    <n v="92474"/>
    <n v="9.4"/>
    <n v="11966"/>
    <n v="1.0035253152237385E-2"/>
  </r>
  <r>
    <x v="1"/>
    <x v="1"/>
    <n v="1461"/>
    <n v="64"/>
    <n v="328902"/>
    <n v="9.02"/>
    <n v="26298"/>
    <n v="4.247465810484582E-3"/>
  </r>
  <r>
    <x v="1"/>
    <x v="2"/>
    <n v="545"/>
    <n v="93"/>
    <n v="391621"/>
    <n v="9.9600000000000009"/>
    <n v="22029"/>
    <n v="1.1541771253329111E-3"/>
  </r>
  <r>
    <x v="2"/>
    <x v="0"/>
    <n v="881"/>
    <n v="291"/>
    <n v="95885"/>
    <n v="5.29"/>
    <n v="12391"/>
    <n v="6.1532043593888509E-3"/>
  </r>
  <r>
    <x v="2"/>
    <x v="1"/>
    <n v="1414"/>
    <n v="131"/>
    <n v="245947"/>
    <n v="8.3000000000000007"/>
    <n v="14477"/>
    <n v="5.2165710498603361E-3"/>
  </r>
  <r>
    <x v="2"/>
    <x v="2"/>
    <n v="1472"/>
    <n v="170"/>
    <n v="250428"/>
    <n v="4.66"/>
    <n v="25040"/>
    <n v="5.1990991422684362E-3"/>
  </r>
  <r>
    <x v="3"/>
    <x v="0"/>
    <n v="809"/>
    <n v="197"/>
    <n v="87186"/>
    <n v="9.48"/>
    <n v="22619"/>
    <n v="7.0194756038813571E-3"/>
  </r>
  <r>
    <x v="3"/>
    <x v="1"/>
    <n v="1371"/>
    <n v="250"/>
    <n v="128620"/>
    <n v="7.11"/>
    <n v="12399"/>
    <n v="8.7155963302752298E-3"/>
  </r>
  <r>
    <x v="3"/>
    <x v="2"/>
    <n v="844"/>
    <n v="144"/>
    <n v="126015"/>
    <n v="9.65"/>
    <n v="22456"/>
    <n v="5.5548942586200059E-3"/>
  </r>
  <r>
    <x v="4"/>
    <x v="0"/>
    <n v="786"/>
    <n v="72"/>
    <n v="178615"/>
    <n v="5.43"/>
    <n v="19328"/>
    <n v="3.9974246283906723E-3"/>
  </r>
  <r>
    <x v="4"/>
    <x v="1"/>
    <n v="845"/>
    <n v="250"/>
    <n v="218228"/>
    <n v="4.5199999999999996"/>
    <n v="21107"/>
    <n v="2.7265062228494967E-3"/>
  </r>
  <r>
    <x v="4"/>
    <x v="2"/>
    <n v="1218"/>
    <n v="101"/>
    <n v="300397"/>
    <n v="4.33"/>
    <n v="12277"/>
    <n v="3.7184126339477423E-3"/>
  </r>
  <r>
    <x v="5"/>
    <x v="0"/>
    <n v="797"/>
    <n v="130"/>
    <n v="340121"/>
    <n v="8.52"/>
    <n v="11684"/>
    <n v="1.9610667968164271E-3"/>
  </r>
  <r>
    <x v="5"/>
    <x v="1"/>
    <n v="1471"/>
    <n v="100"/>
    <n v="76866"/>
    <n v="8.5500000000000007"/>
    <n v="14412"/>
    <n v="1.7836234485988603E-2"/>
  </r>
  <r>
    <x v="5"/>
    <x v="2"/>
    <n v="1253"/>
    <n v="136"/>
    <n v="193131"/>
    <n v="7.99"/>
    <n v="15924"/>
    <n v="5.7836390843520723E-3"/>
  </r>
  <r>
    <x v="6"/>
    <x v="0"/>
    <n v="616"/>
    <n v="257"/>
    <n v="169665"/>
    <n v="6.31"/>
    <n v="12390"/>
    <n v="2.1159343412017798E-3"/>
  </r>
  <r>
    <x v="6"/>
    <x v="1"/>
    <n v="1308"/>
    <n v="210"/>
    <n v="263729"/>
    <n v="8.5299999999999994"/>
    <n v="25742"/>
    <n v="4.1633646660018432E-3"/>
  </r>
  <r>
    <x v="6"/>
    <x v="2"/>
    <n v="981"/>
    <n v="69"/>
    <n v="206921"/>
    <n v="8.42"/>
    <n v="10495"/>
    <n v="4.4074791828765565E-3"/>
  </r>
  <r>
    <x v="7"/>
    <x v="0"/>
    <n v="866"/>
    <n v="74"/>
    <n v="204121"/>
    <n v="9.34"/>
    <n v="7797"/>
    <n v="3.8800515380583087E-3"/>
  </r>
  <r>
    <x v="7"/>
    <x v="1"/>
    <n v="547"/>
    <n v="183"/>
    <n v="266350"/>
    <n v="5.65"/>
    <n v="15595"/>
    <n v="1.3666228646517741E-3"/>
  </r>
  <r>
    <x v="7"/>
    <x v="2"/>
    <n v="1241"/>
    <n v="116"/>
    <n v="380606"/>
    <n v="4.2"/>
    <n v="24617"/>
    <n v="2.9558125725816196E-3"/>
  </r>
  <r>
    <x v="8"/>
    <x v="0"/>
    <n v="973"/>
    <n v="104"/>
    <n v="376358"/>
    <n v="3.87"/>
    <n v="9847"/>
    <n v="2.3089717768720206E-3"/>
  </r>
  <r>
    <x v="8"/>
    <x v="1"/>
    <n v="611"/>
    <n v="197"/>
    <n v="79423"/>
    <n v="5.82"/>
    <n v="13644"/>
    <n v="5.2125958475504573E-3"/>
  </r>
  <r>
    <x v="8"/>
    <x v="2"/>
    <n v="983"/>
    <n v="134"/>
    <n v="352178"/>
    <n v="3.55"/>
    <n v="11421"/>
    <n v="2.4107127645679174E-3"/>
  </r>
  <r>
    <x v="9"/>
    <x v="0"/>
    <n v="1449"/>
    <n v="96"/>
    <n v="200636"/>
    <n v="9.92"/>
    <n v="15613"/>
    <n v="6.7435554935305723E-3"/>
  </r>
  <r>
    <x v="9"/>
    <x v="1"/>
    <n v="752"/>
    <n v="170"/>
    <n v="132756"/>
    <n v="8.17"/>
    <n v="23900"/>
    <n v="4.3839826448522105E-3"/>
  </r>
  <r>
    <x v="9"/>
    <x v="2"/>
    <n v="937"/>
    <n v="179"/>
    <n v="318098"/>
    <n v="5.3"/>
    <n v="5836"/>
    <n v="2.3829134417695176E-3"/>
  </r>
  <r>
    <x v="10"/>
    <x v="0"/>
    <n v="1060"/>
    <n v="83"/>
    <n v="68724"/>
    <n v="5.98"/>
    <n v="5624"/>
    <n v="1.4216285431581398E-2"/>
  </r>
  <r>
    <x v="10"/>
    <x v="1"/>
    <n v="1456"/>
    <n v="265"/>
    <n v="115505"/>
    <n v="7.49"/>
    <n v="10311"/>
    <n v="1.031124193757846E-2"/>
  </r>
  <r>
    <x v="10"/>
    <x v="2"/>
    <n v="1109"/>
    <n v="205"/>
    <n v="276722"/>
    <n v="9.3800000000000008"/>
    <n v="8274"/>
    <n v="3.2668165162148292E-3"/>
  </r>
  <r>
    <x v="11"/>
    <x v="0"/>
    <n v="1002"/>
    <n v="93"/>
    <n v="353538"/>
    <n v="5.84"/>
    <n v="6031"/>
    <n v="2.5711521816608116E-3"/>
  </r>
  <r>
    <x v="11"/>
    <x v="1"/>
    <n v="571"/>
    <n v="189"/>
    <n v="61445"/>
    <n v="5.41"/>
    <n v="27829"/>
    <n v="6.2169419806330862E-3"/>
  </r>
  <r>
    <x v="11"/>
    <x v="2"/>
    <n v="1240"/>
    <n v="231"/>
    <n v="165035"/>
    <n v="6.05"/>
    <n v="18267"/>
    <n v="6.1138546368952043E-3"/>
  </r>
  <r>
    <x v="12"/>
    <x v="0"/>
    <n v="1154"/>
    <n v="132"/>
    <n v="194595"/>
    <n v="7.54"/>
    <n v="26624"/>
    <n v="5.2519335029163131E-3"/>
  </r>
  <r>
    <x v="12"/>
    <x v="1"/>
    <n v="537"/>
    <n v="275"/>
    <n v="236238"/>
    <n v="5.87"/>
    <n v="26644"/>
    <n v="1.1090510417460359E-3"/>
  </r>
  <r>
    <x v="12"/>
    <x v="2"/>
    <n v="1456"/>
    <n v="290"/>
    <n v="271044"/>
    <n v="7.17"/>
    <n v="13051"/>
    <n v="4.3018845648676966E-3"/>
  </r>
  <r>
    <x v="13"/>
    <x v="0"/>
    <n v="721"/>
    <n v="206"/>
    <n v="334887"/>
    <n v="6.05"/>
    <n v="14217"/>
    <n v="1.5378321642822803E-3"/>
  </r>
  <r>
    <x v="13"/>
    <x v="1"/>
    <n v="1098"/>
    <n v="142"/>
    <n v="359150"/>
    <n v="7.51"/>
    <n v="16385"/>
    <n v="2.6618404566337186E-3"/>
  </r>
  <r>
    <x v="13"/>
    <x v="2"/>
    <n v="1096"/>
    <n v="65"/>
    <n v="358295"/>
    <n v="7.66"/>
    <n v="24548"/>
    <n v="2.8775171297394605E-3"/>
  </r>
  <r>
    <x v="14"/>
    <x v="0"/>
    <n v="912"/>
    <n v="275"/>
    <n v="368454"/>
    <n v="6.03"/>
    <n v="9195"/>
    <n v="1.7288453918263881E-3"/>
  </r>
  <r>
    <x v="14"/>
    <x v="1"/>
    <n v="1430"/>
    <n v="162"/>
    <n v="269082"/>
    <n v="3.4"/>
    <n v="18071"/>
    <n v="4.7123181781018424E-3"/>
  </r>
  <r>
    <x v="14"/>
    <x v="2"/>
    <n v="854"/>
    <n v="129"/>
    <n v="310903"/>
    <n v="7.83"/>
    <n v="16875"/>
    <n v="2.3319170287838973E-3"/>
  </r>
  <r>
    <x v="15"/>
    <x v="0"/>
    <n v="681"/>
    <n v="210"/>
    <n v="248581"/>
    <n v="8.76"/>
    <n v="9567"/>
    <n v="1.8947546272643525E-3"/>
  </r>
  <r>
    <x v="15"/>
    <x v="1"/>
    <n v="1373"/>
    <n v="82"/>
    <n v="371015"/>
    <n v="9.52"/>
    <n v="20306"/>
    <n v="3.4796436801746559E-3"/>
  </r>
  <r>
    <x v="15"/>
    <x v="2"/>
    <n v="685"/>
    <n v="285"/>
    <n v="177452"/>
    <n v="3.36"/>
    <n v="21134"/>
    <n v="2.2541306944976669E-3"/>
  </r>
  <r>
    <x v="16"/>
    <x v="0"/>
    <n v="1290"/>
    <n v="177"/>
    <n v="80745"/>
    <n v="9.2200000000000006"/>
    <n v="26872"/>
    <n v="1.3784135240572171E-2"/>
  </r>
  <r>
    <x v="16"/>
    <x v="1"/>
    <n v="1437"/>
    <n v="239"/>
    <n v="362441"/>
    <n v="5.57"/>
    <n v="10253"/>
    <n v="3.305365562946797E-3"/>
  </r>
  <r>
    <x v="16"/>
    <x v="2"/>
    <n v="769"/>
    <n v="295"/>
    <n v="344771"/>
    <n v="8.06"/>
    <n v="23963"/>
    <n v="1.3748256088824177E-3"/>
  </r>
  <r>
    <x v="17"/>
    <x v="0"/>
    <n v="1416"/>
    <n v="284"/>
    <n v="374952"/>
    <n v="3.45"/>
    <n v="11335"/>
    <n v="3.0190531054641659E-3"/>
  </r>
  <r>
    <x v="17"/>
    <x v="1"/>
    <n v="998"/>
    <n v="154"/>
    <n v="179781"/>
    <n v="9.58"/>
    <n v="12115"/>
    <n v="4.6946006530167259E-3"/>
  </r>
  <r>
    <x v="17"/>
    <x v="2"/>
    <n v="1421"/>
    <n v="246"/>
    <n v="358581"/>
    <n v="8.8800000000000008"/>
    <n v="24358"/>
    <n v="3.2768049617799048E-3"/>
  </r>
  <r>
    <x v="18"/>
    <x v="0"/>
    <n v="764"/>
    <n v="205"/>
    <n v="319294"/>
    <n v="6.23"/>
    <n v="12181"/>
    <n v="1.7507375647522346E-3"/>
  </r>
  <r>
    <x v="18"/>
    <x v="1"/>
    <n v="678"/>
    <n v="124"/>
    <n v="192022"/>
    <n v="8.4499999999999993"/>
    <n v="17729"/>
    <n v="2.8850860838862216E-3"/>
  </r>
  <r>
    <x v="18"/>
    <x v="2"/>
    <n v="1328"/>
    <n v="103"/>
    <n v="151462"/>
    <n v="8.4"/>
    <n v="10881"/>
    <n v="8.0878372132944243E-3"/>
  </r>
  <r>
    <x v="19"/>
    <x v="0"/>
    <n v="1161"/>
    <n v="269"/>
    <n v="188193"/>
    <n v="7.34"/>
    <n v="18576"/>
    <n v="4.7398149771776844E-3"/>
  </r>
  <r>
    <x v="19"/>
    <x v="1"/>
    <n v="588"/>
    <n v="52"/>
    <n v="292040"/>
    <n v="8.14"/>
    <n v="9383"/>
    <n v="1.8353650184906177E-3"/>
  </r>
  <r>
    <x v="19"/>
    <x v="2"/>
    <n v="1457"/>
    <n v="215"/>
    <n v="325325"/>
    <n v="9.58"/>
    <n v="14178"/>
    <n v="3.8177207407976638E-3"/>
  </r>
  <r>
    <x v="20"/>
    <x v="0"/>
    <n v="1190"/>
    <n v="242"/>
    <n v="86849"/>
    <n v="8.06"/>
    <n v="21254"/>
    <n v="1.0915497012055407E-2"/>
  </r>
  <r>
    <x v="20"/>
    <x v="1"/>
    <n v="886"/>
    <n v="124"/>
    <n v="141161"/>
    <n v="8.19"/>
    <n v="14215"/>
    <n v="5.3980915408646862E-3"/>
  </r>
  <r>
    <x v="20"/>
    <x v="2"/>
    <n v="1237"/>
    <n v="155"/>
    <n v="149916"/>
    <n v="4.4800000000000004"/>
    <n v="16921"/>
    <n v="7.2173750633688196E-3"/>
  </r>
  <r>
    <x v="21"/>
    <x v="0"/>
    <n v="1435"/>
    <n v="261"/>
    <n v="308533"/>
    <n v="4.5199999999999996"/>
    <n v="25130"/>
    <n v="3.8051035059458792E-3"/>
  </r>
  <r>
    <x v="21"/>
    <x v="1"/>
    <n v="746"/>
    <n v="282"/>
    <n v="293894"/>
    <n v="5.42"/>
    <n v="25537"/>
    <n v="1.5788005199153436E-3"/>
  </r>
  <r>
    <x v="21"/>
    <x v="2"/>
    <n v="759"/>
    <n v="216"/>
    <n v="147656"/>
    <n v="4.08"/>
    <n v="24943"/>
    <n v="3.6774665438586984E-3"/>
  </r>
  <r>
    <x v="22"/>
    <x v="0"/>
    <n v="1437"/>
    <n v="235"/>
    <n v="326791"/>
    <n v="4.0599999999999996"/>
    <n v="14563"/>
    <n v="3.6781918718691762E-3"/>
  </r>
  <r>
    <x v="22"/>
    <x v="1"/>
    <n v="1463"/>
    <n v="73"/>
    <n v="348877"/>
    <n v="9.91"/>
    <n v="26273"/>
    <n v="3.9842122008616216E-3"/>
  </r>
  <r>
    <x v="22"/>
    <x v="2"/>
    <n v="1208"/>
    <n v="224"/>
    <n v="122730"/>
    <n v="8.7200000000000006"/>
    <n v="10858"/>
    <n v="8.0175996088975802E-3"/>
  </r>
  <r>
    <x v="23"/>
    <x v="0"/>
    <n v="1391"/>
    <n v="187"/>
    <n v="306508"/>
    <n v="8.3800000000000008"/>
    <n v="25038"/>
    <n v="3.9281193313061976E-3"/>
  </r>
  <r>
    <x v="23"/>
    <x v="1"/>
    <n v="655"/>
    <n v="123"/>
    <n v="202472"/>
    <n v="7.56"/>
    <n v="9092"/>
    <n v="2.6275238057607967E-3"/>
  </r>
  <r>
    <x v="23"/>
    <x v="2"/>
    <n v="1148"/>
    <n v="90"/>
    <n v="227249"/>
    <n v="7.24"/>
    <n v="17662"/>
    <n v="4.6556860536239985E-3"/>
  </r>
  <r>
    <x v="24"/>
    <x v="0"/>
    <n v="946"/>
    <n v="270"/>
    <n v="246567"/>
    <n v="4.53"/>
    <n v="5924"/>
    <n v="2.741648314656868E-3"/>
  </r>
  <r>
    <x v="24"/>
    <x v="1"/>
    <n v="791"/>
    <n v="214"/>
    <n v="114738"/>
    <n v="6.62"/>
    <n v="25347"/>
    <n v="5.0288483327232481E-3"/>
  </r>
  <r>
    <x v="24"/>
    <x v="2"/>
    <n v="793"/>
    <n v="111"/>
    <n v="333500"/>
    <n v="6.36"/>
    <n v="8910"/>
    <n v="2.0449775112443779E-3"/>
  </r>
  <r>
    <x v="25"/>
    <x v="0"/>
    <n v="663"/>
    <n v="213"/>
    <n v="352677"/>
    <n v="9"/>
    <n v="20438"/>
    <n v="1.2759550523566889E-3"/>
  </r>
  <r>
    <x v="25"/>
    <x v="1"/>
    <n v="954"/>
    <n v="271"/>
    <n v="160936"/>
    <n v="8.83"/>
    <n v="8760"/>
    <n v="4.2439230501565839E-3"/>
  </r>
  <r>
    <x v="25"/>
    <x v="2"/>
    <n v="1313"/>
    <n v="159"/>
    <n v="197183"/>
    <n v="9.7100000000000009"/>
    <n v="6625"/>
    <n v="5.8524314976443207E-3"/>
  </r>
  <r>
    <x v="26"/>
    <x v="0"/>
    <n v="895"/>
    <n v="87"/>
    <n v="171271"/>
    <n v="6.68"/>
    <n v="23329"/>
    <n v="4.7176696580273365E-3"/>
  </r>
  <r>
    <x v="26"/>
    <x v="1"/>
    <n v="1027"/>
    <n v="156"/>
    <n v="111293"/>
    <n v="5.51"/>
    <n v="7299"/>
    <n v="7.8261885293774095E-3"/>
  </r>
  <r>
    <x v="26"/>
    <x v="2"/>
    <n v="990"/>
    <n v="286"/>
    <n v="351493"/>
    <n v="7.97"/>
    <n v="14496"/>
    <n v="2.0028848369668811E-3"/>
  </r>
  <r>
    <x v="27"/>
    <x v="0"/>
    <n v="875"/>
    <n v="264"/>
    <n v="345631"/>
    <n v="9.18"/>
    <n v="25703"/>
    <n v="1.7677812464738406E-3"/>
  </r>
  <r>
    <x v="27"/>
    <x v="1"/>
    <n v="599"/>
    <n v="194"/>
    <n v="105622"/>
    <n v="6.44"/>
    <n v="15108"/>
    <n v="3.8344284334702996E-3"/>
  </r>
  <r>
    <x v="27"/>
    <x v="2"/>
    <n v="630"/>
    <n v="248"/>
    <n v="119054"/>
    <n v="5.0199999999999996"/>
    <n v="18867"/>
    <n v="3.2086280175382597E-3"/>
  </r>
  <r>
    <x v="28"/>
    <x v="0"/>
    <n v="1350"/>
    <n v="233"/>
    <n v="171670"/>
    <n v="4.53"/>
    <n v="17574"/>
    <n v="6.506669773402458E-3"/>
  </r>
  <r>
    <x v="28"/>
    <x v="1"/>
    <n v="632"/>
    <n v="155"/>
    <n v="170432"/>
    <n v="9.17"/>
    <n v="12840"/>
    <n v="2.7987701840030041E-3"/>
  </r>
  <r>
    <x v="28"/>
    <x v="2"/>
    <n v="1182"/>
    <n v="83"/>
    <n v="140300"/>
    <n v="3.27"/>
    <n v="21079"/>
    <n v="7.8332145402708487E-3"/>
  </r>
  <r>
    <x v="29"/>
    <x v="0"/>
    <n v="661"/>
    <n v="94"/>
    <n v="116538"/>
    <n v="5.31"/>
    <n v="23486"/>
    <n v="4.8653658034289241E-3"/>
  </r>
  <r>
    <x v="29"/>
    <x v="1"/>
    <n v="1360"/>
    <n v="227"/>
    <n v="176902"/>
    <n v="6.03"/>
    <n v="5960"/>
    <n v="6.4046760353189906E-3"/>
  </r>
  <r>
    <x v="29"/>
    <x v="2"/>
    <n v="935"/>
    <n v="85"/>
    <n v="326821"/>
    <n v="8.89"/>
    <n v="13301"/>
    <n v="2.60081206532016E-3"/>
  </r>
  <r>
    <x v="30"/>
    <x v="0"/>
    <n v="664"/>
    <n v="251"/>
    <n v="240598"/>
    <n v="4.79"/>
    <n v="10563"/>
    <n v="1.7165562473503519E-3"/>
  </r>
  <r>
    <x v="30"/>
    <x v="1"/>
    <n v="1490"/>
    <n v="103"/>
    <n v="373274"/>
    <n v="4.8"/>
    <n v="19949"/>
    <n v="3.7157691133055076E-3"/>
  </r>
  <r>
    <x v="30"/>
    <x v="2"/>
    <n v="601"/>
    <n v="64"/>
    <n v="123272"/>
    <n v="4.07"/>
    <n v="14273"/>
    <n v="4.3562203906807708E-3"/>
  </r>
  <r>
    <x v="31"/>
    <x v="0"/>
    <n v="613"/>
    <n v="170"/>
    <n v="139266"/>
    <n v="6.06"/>
    <n v="9247"/>
    <n v="3.1809630491290049E-3"/>
  </r>
  <r>
    <x v="31"/>
    <x v="1"/>
    <n v="1340"/>
    <n v="57"/>
    <n v="155927"/>
    <n v="7.79"/>
    <n v="11972"/>
    <n v="8.2282093543773697E-3"/>
  </r>
  <r>
    <x v="31"/>
    <x v="2"/>
    <n v="953"/>
    <n v="228"/>
    <n v="258398"/>
    <n v="9.0500000000000007"/>
    <n v="13314"/>
    <n v="2.8057492705051896E-3"/>
  </r>
  <r>
    <x v="32"/>
    <x v="0"/>
    <n v="532"/>
    <n v="65"/>
    <n v="338561"/>
    <n v="3.5"/>
    <n v="14749"/>
    <n v="1.3793673813581599E-3"/>
  </r>
  <r>
    <x v="32"/>
    <x v="1"/>
    <n v="1414"/>
    <n v="60"/>
    <n v="341856"/>
    <n v="8.76"/>
    <n v="6868"/>
    <n v="3.960732004118693E-3"/>
  </r>
  <r>
    <x v="32"/>
    <x v="2"/>
    <n v="685"/>
    <n v="165"/>
    <n v="175860"/>
    <n v="6.26"/>
    <n v="6027"/>
    <n v="2.9568975321278288E-3"/>
  </r>
  <r>
    <x v="33"/>
    <x v="0"/>
    <n v="601"/>
    <n v="159"/>
    <n v="327722"/>
    <n v="3.33"/>
    <n v="25267"/>
    <n v="1.3487040845594743E-3"/>
  </r>
  <r>
    <x v="33"/>
    <x v="1"/>
    <n v="841"/>
    <n v="295"/>
    <n v="271638"/>
    <n v="9.15"/>
    <n v="5900"/>
    <n v="2.0100280520398473E-3"/>
  </r>
  <r>
    <x v="33"/>
    <x v="2"/>
    <n v="1105"/>
    <n v="261"/>
    <n v="333851"/>
    <n v="6.03"/>
    <n v="11181"/>
    <n v="2.5280739012313877E-3"/>
  </r>
  <r>
    <x v="34"/>
    <x v="0"/>
    <n v="566"/>
    <n v="225"/>
    <n v="368984"/>
    <n v="9.82"/>
    <n v="9592"/>
    <n v="9.2415931314094918E-4"/>
  </r>
  <r>
    <x v="34"/>
    <x v="1"/>
    <n v="1149"/>
    <n v="280"/>
    <n v="167310"/>
    <n v="3.7"/>
    <n v="5291"/>
    <n v="5.1939513477975013E-3"/>
  </r>
  <r>
    <x v="34"/>
    <x v="2"/>
    <n v="819"/>
    <n v="101"/>
    <n v="194811"/>
    <n v="3.35"/>
    <n v="22244"/>
    <n v="3.685623501752981E-3"/>
  </r>
  <r>
    <x v="35"/>
    <x v="0"/>
    <n v="795"/>
    <n v="60"/>
    <n v="314982"/>
    <n v="7.31"/>
    <n v="6824"/>
    <n v="2.3334666742861497E-3"/>
  </r>
  <r>
    <x v="35"/>
    <x v="1"/>
    <n v="681"/>
    <n v="158"/>
    <n v="75960"/>
    <n v="3.13"/>
    <n v="24112"/>
    <n v="6.8852027382833069E-3"/>
  </r>
  <r>
    <x v="35"/>
    <x v="2"/>
    <n v="534"/>
    <n v="112"/>
    <n v="360759"/>
    <n v="4.8899999999999997"/>
    <n v="25478"/>
    <n v="1.1697559866836308E-3"/>
  </r>
  <r>
    <x v="36"/>
    <x v="0"/>
    <n v="1066"/>
    <n v="151"/>
    <n v="297090"/>
    <n v="8.6300000000000008"/>
    <n v="11235"/>
    <n v="3.0798747854185599E-3"/>
  </r>
  <r>
    <x v="36"/>
    <x v="1"/>
    <n v="1270"/>
    <n v="162"/>
    <n v="92040"/>
    <n v="8.0299999999999994"/>
    <n v="6120"/>
    <n v="1.2038244241634072E-2"/>
  </r>
  <r>
    <x v="36"/>
    <x v="2"/>
    <n v="536"/>
    <n v="198"/>
    <n v="174610"/>
    <n v="7.85"/>
    <n v="20572"/>
    <n v="1.9357425118836263E-3"/>
  </r>
  <r>
    <x v="37"/>
    <x v="0"/>
    <n v="819"/>
    <n v="95"/>
    <n v="177376"/>
    <n v="6.12"/>
    <n v="14975"/>
    <n v="4.0817246978170664E-3"/>
  </r>
  <r>
    <x v="37"/>
    <x v="1"/>
    <n v="681"/>
    <n v="218"/>
    <n v="198882"/>
    <n v="7.16"/>
    <n v="22234"/>
    <n v="2.3280135960016494E-3"/>
  </r>
  <r>
    <x v="37"/>
    <x v="2"/>
    <n v="646"/>
    <n v="290"/>
    <n v="336383"/>
    <n v="7.04"/>
    <n v="6532"/>
    <n v="1.0583174536168594E-3"/>
  </r>
  <r>
    <x v="38"/>
    <x v="0"/>
    <n v="645"/>
    <n v="267"/>
    <n v="346890"/>
    <n v="3.71"/>
    <n v="24858"/>
    <n v="1.0896826083196401E-3"/>
  </r>
  <r>
    <x v="38"/>
    <x v="1"/>
    <n v="886"/>
    <n v="250"/>
    <n v="168170"/>
    <n v="4.12"/>
    <n v="13883"/>
    <n v="3.7818873758696555E-3"/>
  </r>
  <r>
    <x v="38"/>
    <x v="2"/>
    <n v="978"/>
    <n v="279"/>
    <n v="368872"/>
    <n v="6.82"/>
    <n v="18654"/>
    <n v="1.8949662755644234E-3"/>
  </r>
  <r>
    <x v="39"/>
    <x v="0"/>
    <n v="1444"/>
    <n v="165"/>
    <n v="116436"/>
    <n v="8.2200000000000006"/>
    <n v="25234"/>
    <n v="1.0984575217286749E-2"/>
  </r>
  <r>
    <x v="39"/>
    <x v="1"/>
    <n v="1234"/>
    <n v="228"/>
    <n v="127502"/>
    <n v="7.71"/>
    <n v="6772"/>
    <n v="7.8900723125911749E-3"/>
  </r>
  <r>
    <x v="39"/>
    <x v="2"/>
    <n v="665"/>
    <n v="187"/>
    <n v="274567"/>
    <n v="7.39"/>
    <n v="22428"/>
    <n v="1.7409229805475531E-3"/>
  </r>
  <r>
    <x v="40"/>
    <x v="0"/>
    <n v="631"/>
    <n v="86"/>
    <n v="295090"/>
    <n v="7.89"/>
    <n v="11911"/>
    <n v="1.8468941678809856E-3"/>
  </r>
  <r>
    <x v="40"/>
    <x v="1"/>
    <n v="1159"/>
    <n v="154"/>
    <n v="194994"/>
    <n v="6.39"/>
    <n v="21900"/>
    <n v="5.1540047386073422E-3"/>
  </r>
  <r>
    <x v="40"/>
    <x v="2"/>
    <n v="950"/>
    <n v="185"/>
    <n v="340750"/>
    <n v="6.77"/>
    <n v="25542"/>
    <n v="2.2450476889214967E-3"/>
  </r>
  <r>
    <x v="41"/>
    <x v="0"/>
    <n v="693"/>
    <n v="129"/>
    <n v="296031"/>
    <n v="3.41"/>
    <n v="7140"/>
    <n v="1.9052058737091724E-3"/>
  </r>
  <r>
    <x v="41"/>
    <x v="1"/>
    <n v="576"/>
    <n v="80"/>
    <n v="345688"/>
    <n v="4.1100000000000003"/>
    <n v="20474"/>
    <n v="1.4348198375413667E-3"/>
  </r>
  <r>
    <x v="41"/>
    <x v="2"/>
    <n v="1274"/>
    <n v="146"/>
    <n v="263488"/>
    <n v="9.58"/>
    <n v="8698"/>
    <n v="4.2810298761233904E-3"/>
  </r>
  <r>
    <x v="42"/>
    <x v="0"/>
    <n v="818"/>
    <n v="253"/>
    <n v="184911"/>
    <n v="3.39"/>
    <n v="10402"/>
    <n v="3.0555240088474996E-3"/>
  </r>
  <r>
    <x v="42"/>
    <x v="1"/>
    <n v="975"/>
    <n v="162"/>
    <n v="124497"/>
    <n v="9.58"/>
    <n v="26618"/>
    <n v="6.5302778380201933E-3"/>
  </r>
  <r>
    <x v="42"/>
    <x v="2"/>
    <n v="1398"/>
    <n v="97"/>
    <n v="397607"/>
    <n v="5.09"/>
    <n v="7975"/>
    <n v="3.2720751898231166E-3"/>
  </r>
  <r>
    <x v="43"/>
    <x v="0"/>
    <n v="591"/>
    <n v="155"/>
    <n v="138521"/>
    <n v="7.85"/>
    <n v="19054"/>
    <n v="3.1475371965261584E-3"/>
  </r>
  <r>
    <x v="43"/>
    <x v="1"/>
    <n v="1232"/>
    <n v="254"/>
    <n v="107718"/>
    <n v="9.7100000000000009"/>
    <n v="13740"/>
    <n v="9.0792625187990864E-3"/>
  </r>
  <r>
    <x v="43"/>
    <x v="2"/>
    <n v="1425"/>
    <n v="58"/>
    <n v="202234"/>
    <n v="6.67"/>
    <n v="18442"/>
    <n v="6.7594964249334932E-3"/>
  </r>
  <r>
    <x v="44"/>
    <x v="0"/>
    <n v="1417"/>
    <n v="80"/>
    <n v="340987"/>
    <n v="6.13"/>
    <n v="10104"/>
    <n v="3.9209705941868752E-3"/>
  </r>
  <r>
    <x v="44"/>
    <x v="1"/>
    <n v="1222"/>
    <n v="208"/>
    <n v="340098"/>
    <n v="7.34"/>
    <n v="21771"/>
    <n v="2.9814935695005556E-3"/>
  </r>
  <r>
    <x v="44"/>
    <x v="2"/>
    <n v="1071"/>
    <n v="131"/>
    <n v="254727"/>
    <n v="6.87"/>
    <n v="22191"/>
    <n v="3.6902252215116576E-3"/>
  </r>
  <r>
    <x v="45"/>
    <x v="0"/>
    <n v="772"/>
    <n v="82"/>
    <n v="345659"/>
    <n v="3.52"/>
    <n v="27753"/>
    <n v="1.9961869935398759E-3"/>
  </r>
  <r>
    <x v="45"/>
    <x v="1"/>
    <n v="1472"/>
    <n v="137"/>
    <n v="213950"/>
    <n v="6.96"/>
    <n v="23736"/>
    <n v="6.2397756485160086E-3"/>
  </r>
  <r>
    <x v="45"/>
    <x v="2"/>
    <n v="1472"/>
    <n v="281"/>
    <n v="258115"/>
    <n v="7.23"/>
    <n v="27393"/>
    <n v="4.6142223427541986E-3"/>
  </r>
  <r>
    <x v="46"/>
    <x v="0"/>
    <n v="585"/>
    <n v="232"/>
    <n v="321258"/>
    <n v="7.42"/>
    <n v="10343"/>
    <n v="1.0988053215795403E-3"/>
  </r>
  <r>
    <x v="46"/>
    <x v="1"/>
    <n v="747"/>
    <n v="261"/>
    <n v="338650"/>
    <n v="7.73"/>
    <n v="25259"/>
    <n v="1.4351099955706482E-3"/>
  </r>
  <r>
    <x v="46"/>
    <x v="2"/>
    <n v="1113"/>
    <n v="224"/>
    <n v="272989"/>
    <n v="5.13"/>
    <n v="24827"/>
    <n v="3.2565414723670183E-3"/>
  </r>
  <r>
    <x v="47"/>
    <x v="0"/>
    <n v="1100"/>
    <n v="117"/>
    <n v="260204"/>
    <n v="4.4000000000000004"/>
    <n v="11908"/>
    <n v="3.7778051067623862E-3"/>
  </r>
  <r>
    <x v="47"/>
    <x v="1"/>
    <n v="751"/>
    <n v="170"/>
    <n v="283278"/>
    <n v="3.49"/>
    <n v="11005"/>
    <n v="2.0509887813384732E-3"/>
  </r>
  <r>
    <x v="47"/>
    <x v="2"/>
    <n v="864"/>
    <n v="50"/>
    <n v="277445"/>
    <n v="3.57"/>
    <n v="26333"/>
    <n v="2.9339148299662998E-3"/>
  </r>
  <r>
    <x v="48"/>
    <x v="0"/>
    <n v="1146"/>
    <n v="227"/>
    <n v="353781"/>
    <n v="6.41"/>
    <n v="5495"/>
    <n v="2.5976522198761379E-3"/>
  </r>
  <r>
    <x v="48"/>
    <x v="1"/>
    <n v="883"/>
    <n v="207"/>
    <n v="265019"/>
    <n v="6.04"/>
    <n v="15655"/>
    <n v="2.5507605115104954E-3"/>
  </r>
  <r>
    <x v="48"/>
    <x v="2"/>
    <n v="622"/>
    <n v="163"/>
    <n v="231925"/>
    <n v="9.18"/>
    <n v="13763"/>
    <n v="1.9790880672631238E-3"/>
  </r>
  <r>
    <x v="49"/>
    <x v="0"/>
    <n v="837"/>
    <n v="261"/>
    <n v="366149"/>
    <n v="6.54"/>
    <n v="26073"/>
    <n v="1.5731300645365684E-3"/>
  </r>
  <r>
    <x v="49"/>
    <x v="1"/>
    <n v="544"/>
    <n v="97"/>
    <n v="168375"/>
    <n v="8.66"/>
    <n v="12774"/>
    <n v="2.6547884187082403E-3"/>
  </r>
  <r>
    <x v="49"/>
    <x v="2"/>
    <n v="624"/>
    <n v="247"/>
    <n v="252763"/>
    <n v="3.89"/>
    <n v="19000"/>
    <n v="1.4915157677349929E-3"/>
  </r>
  <r>
    <x v="50"/>
    <x v="0"/>
    <n v="1073"/>
    <n v="141"/>
    <n v="118393"/>
    <n v="7.95"/>
    <n v="14051"/>
    <n v="7.872087032172511E-3"/>
  </r>
  <r>
    <x v="50"/>
    <x v="1"/>
    <n v="1430"/>
    <n v="74"/>
    <n v="327012"/>
    <n v="6.66"/>
    <n v="27782"/>
    <n v="4.1466368206671319E-3"/>
  </r>
  <r>
    <x v="50"/>
    <x v="2"/>
    <n v="1358"/>
    <n v="77"/>
    <n v="169688"/>
    <n v="5.25"/>
    <n v="7859"/>
    <n v="7.5491490264485411E-3"/>
  </r>
  <r>
    <x v="51"/>
    <x v="0"/>
    <n v="1242"/>
    <n v="201"/>
    <n v="271935"/>
    <n v="5.07"/>
    <n v="15773"/>
    <n v="3.8281206906062111E-3"/>
  </r>
  <r>
    <x v="51"/>
    <x v="1"/>
    <n v="1389"/>
    <n v="205"/>
    <n v="315981"/>
    <n v="7.62"/>
    <n v="20595"/>
    <n v="3.7470607409939207E-3"/>
  </r>
  <r>
    <x v="51"/>
    <x v="2"/>
    <n v="826"/>
    <n v="142"/>
    <n v="341016"/>
    <n v="7.44"/>
    <n v="12031"/>
    <n v="2.005770990217468E-3"/>
  </r>
  <r>
    <x v="52"/>
    <x v="0"/>
    <n v="618"/>
    <n v="264"/>
    <n v="285164"/>
    <n v="4.8600000000000003"/>
    <n v="15128"/>
    <n v="1.2413909189098204E-3"/>
  </r>
  <r>
    <x v="52"/>
    <x v="1"/>
    <n v="1419"/>
    <n v="293"/>
    <n v="116632"/>
    <n v="6.93"/>
    <n v="11826"/>
    <n v="9.6542972769051369E-3"/>
  </r>
  <r>
    <x v="52"/>
    <x v="2"/>
    <n v="637"/>
    <n v="68"/>
    <n v="115694"/>
    <n v="9.99"/>
    <n v="12562"/>
    <n v="4.9181461441388493E-3"/>
  </r>
  <r>
    <x v="53"/>
    <x v="0"/>
    <n v="917"/>
    <n v="187"/>
    <n v="64444"/>
    <n v="5.22"/>
    <n v="13013"/>
    <n v="1.1327664328719508E-2"/>
  </r>
  <r>
    <x v="53"/>
    <x v="1"/>
    <n v="810"/>
    <n v="232"/>
    <n v="362559"/>
    <n v="5.17"/>
    <n v="12937"/>
    <n v="1.5942232850377457E-3"/>
  </r>
  <r>
    <x v="53"/>
    <x v="2"/>
    <n v="1183"/>
    <n v="248"/>
    <n v="226881"/>
    <n v="5.17"/>
    <n v="14534"/>
    <n v="4.1211031333606603E-3"/>
  </r>
  <r>
    <x v="54"/>
    <x v="0"/>
    <n v="765"/>
    <n v="67"/>
    <n v="283537"/>
    <n v="6.18"/>
    <n v="8182"/>
    <n v="2.4617598408673293E-3"/>
  </r>
  <r>
    <x v="54"/>
    <x v="1"/>
    <n v="540"/>
    <n v="215"/>
    <n v="62837"/>
    <n v="5.3"/>
    <n v="10615"/>
    <n v="5.1721119722456512E-3"/>
  </r>
  <r>
    <x v="54"/>
    <x v="2"/>
    <n v="1145"/>
    <n v="151"/>
    <n v="182759"/>
    <n v="5.99"/>
    <n v="20109"/>
    <n v="5.4388566363352828E-3"/>
  </r>
  <r>
    <x v="55"/>
    <x v="0"/>
    <n v="564"/>
    <n v="244"/>
    <n v="279405"/>
    <n v="8.43"/>
    <n v="26024"/>
    <n v="1.1452908859898713E-3"/>
  </r>
  <r>
    <x v="55"/>
    <x v="1"/>
    <n v="668"/>
    <n v="124"/>
    <n v="257485"/>
    <n v="7.55"/>
    <n v="26730"/>
    <n v="2.1127444317144686E-3"/>
  </r>
  <r>
    <x v="55"/>
    <x v="2"/>
    <n v="761"/>
    <n v="241"/>
    <n v="154977"/>
    <n v="5.63"/>
    <n v="10563"/>
    <n v="3.3553365983339462E-3"/>
  </r>
  <r>
    <x v="56"/>
    <x v="0"/>
    <n v="593"/>
    <n v="108"/>
    <n v="216500"/>
    <n v="4.71"/>
    <n v="27575"/>
    <n v="2.2401847575057735E-3"/>
  </r>
  <r>
    <x v="56"/>
    <x v="1"/>
    <n v="1349"/>
    <n v="115"/>
    <n v="102102"/>
    <n v="5.28"/>
    <n v="14479"/>
    <n v="1.208595326242385E-2"/>
  </r>
  <r>
    <x v="56"/>
    <x v="2"/>
    <n v="693"/>
    <n v="97"/>
    <n v="92025"/>
    <n v="5.95"/>
    <n v="15915"/>
    <n v="6.4765009508285796E-3"/>
  </r>
  <r>
    <x v="57"/>
    <x v="0"/>
    <n v="974"/>
    <n v="143"/>
    <n v="247965"/>
    <n v="9.98"/>
    <n v="12767"/>
    <n v="3.3512794144334888E-3"/>
  </r>
  <r>
    <x v="57"/>
    <x v="1"/>
    <n v="1155"/>
    <n v="122"/>
    <n v="387352"/>
    <n v="9.93"/>
    <n v="12170"/>
    <n v="2.6668250067122413E-3"/>
  </r>
  <r>
    <x v="57"/>
    <x v="2"/>
    <n v="1051"/>
    <n v="246"/>
    <n v="253985"/>
    <n v="9.08"/>
    <n v="7245"/>
    <n v="3.1694785125105812E-3"/>
  </r>
  <r>
    <x v="58"/>
    <x v="0"/>
    <n v="1457"/>
    <n v="183"/>
    <n v="129640"/>
    <n v="7.98"/>
    <n v="12985"/>
    <n v="9.827213822894169E-3"/>
  </r>
  <r>
    <x v="58"/>
    <x v="1"/>
    <n v="670"/>
    <n v="242"/>
    <n v="281913"/>
    <n v="9.6199999999999992"/>
    <n v="16377"/>
    <n v="1.5181988769584942E-3"/>
  </r>
  <r>
    <x v="58"/>
    <x v="2"/>
    <n v="1111"/>
    <n v="159"/>
    <n v="360770"/>
    <n v="8.7100000000000009"/>
    <n v="11453"/>
    <n v="2.6388003437092886E-3"/>
  </r>
  <r>
    <x v="59"/>
    <x v="0"/>
    <n v="1197"/>
    <n v="246"/>
    <n v="127273"/>
    <n v="6.69"/>
    <n v="12323"/>
    <n v="7.4721268454424738E-3"/>
  </r>
  <r>
    <x v="59"/>
    <x v="1"/>
    <n v="754"/>
    <n v="150"/>
    <n v="189622"/>
    <n v="4.25"/>
    <n v="11911"/>
    <n v="3.1852844079273504E-3"/>
  </r>
  <r>
    <x v="59"/>
    <x v="2"/>
    <n v="1246"/>
    <n v="107"/>
    <n v="350949"/>
    <n v="4.9800000000000004"/>
    <n v="27809"/>
    <n v="3.2454858113287115E-3"/>
  </r>
  <r>
    <x v="60"/>
    <x v="0"/>
    <n v="780"/>
    <n v="213"/>
    <n v="121431"/>
    <n v="4.97"/>
    <n v="21464"/>
    <n v="4.669318378338316E-3"/>
  </r>
  <r>
    <x v="60"/>
    <x v="1"/>
    <n v="1425"/>
    <n v="143"/>
    <n v="116742"/>
    <n v="3.71"/>
    <n v="27126"/>
    <n v="1.0981480529715098E-2"/>
  </r>
  <r>
    <x v="60"/>
    <x v="2"/>
    <n v="1490"/>
    <n v="103"/>
    <n v="81184"/>
    <n v="7.79"/>
    <n v="10681"/>
    <n v="1.7084647221127316E-2"/>
  </r>
  <r>
    <x v="61"/>
    <x v="0"/>
    <n v="949"/>
    <n v="282"/>
    <n v="87126"/>
    <n v="4.96"/>
    <n v="5413"/>
    <n v="7.6555792759910937E-3"/>
  </r>
  <r>
    <x v="61"/>
    <x v="1"/>
    <n v="640"/>
    <n v="141"/>
    <n v="267546"/>
    <n v="8.58"/>
    <n v="25058"/>
    <n v="1.8650998332996943E-3"/>
  </r>
  <r>
    <x v="61"/>
    <x v="2"/>
    <n v="616"/>
    <n v="93"/>
    <n v="133082"/>
    <n v="8.51"/>
    <n v="18303"/>
    <n v="3.9299078763469142E-3"/>
  </r>
  <r>
    <x v="62"/>
    <x v="0"/>
    <n v="1080"/>
    <n v="184"/>
    <n v="340557"/>
    <n v="5.41"/>
    <n v="5526"/>
    <n v="2.6309839468870114E-3"/>
  </r>
  <r>
    <x v="62"/>
    <x v="1"/>
    <n v="938"/>
    <n v="236"/>
    <n v="116472"/>
    <n v="8.7200000000000006"/>
    <n v="17460"/>
    <n v="6.0271996703070265E-3"/>
  </r>
  <r>
    <x v="62"/>
    <x v="2"/>
    <n v="1007"/>
    <n v="258"/>
    <n v="113412"/>
    <n v="7.71"/>
    <n v="14475"/>
    <n v="6.6042394102916796E-3"/>
  </r>
  <r>
    <x v="63"/>
    <x v="0"/>
    <n v="541"/>
    <n v="208"/>
    <n v="157547"/>
    <n v="8.35"/>
    <n v="20162"/>
    <n v="2.1136549728017671E-3"/>
  </r>
  <r>
    <x v="63"/>
    <x v="1"/>
    <n v="745"/>
    <n v="98"/>
    <n v="354816"/>
    <n v="4.03"/>
    <n v="17103"/>
    <n v="1.823480339105339E-3"/>
  </r>
  <r>
    <x v="63"/>
    <x v="2"/>
    <n v="936"/>
    <n v="97"/>
    <n v="151799"/>
    <n v="9.3699999999999992"/>
    <n v="15461"/>
    <n v="5.5270456327116777E-3"/>
  </r>
  <r>
    <x v="64"/>
    <x v="0"/>
    <n v="1183"/>
    <n v="223"/>
    <n v="143811"/>
    <n v="6.07"/>
    <n v="22103"/>
    <n v="6.6754281661347186E-3"/>
  </r>
  <r>
    <x v="64"/>
    <x v="1"/>
    <n v="1413"/>
    <n v="245"/>
    <n v="296450"/>
    <n v="6.52"/>
    <n v="11625"/>
    <n v="3.9399561477483558E-3"/>
  </r>
  <r>
    <x v="64"/>
    <x v="2"/>
    <n v="791"/>
    <n v="273"/>
    <n v="144049"/>
    <n v="3.08"/>
    <n v="5281"/>
    <n v="3.5959985838152297E-3"/>
  </r>
  <r>
    <x v="65"/>
    <x v="0"/>
    <n v="1052"/>
    <n v="180"/>
    <n v="272534"/>
    <n v="5.34"/>
    <n v="13424"/>
    <n v="3.1996007837554212E-3"/>
  </r>
  <r>
    <x v="65"/>
    <x v="1"/>
    <n v="572"/>
    <n v="270"/>
    <n v="82265"/>
    <n v="3.65"/>
    <n v="13140"/>
    <n v="3.6710630280192063E-3"/>
  </r>
  <r>
    <x v="65"/>
    <x v="2"/>
    <n v="503"/>
    <n v="253"/>
    <n v="313562"/>
    <n v="4.18"/>
    <n v="19538"/>
    <n v="7.9729048800556194E-4"/>
  </r>
  <r>
    <x v="66"/>
    <x v="0"/>
    <n v="1017"/>
    <n v="197"/>
    <n v="89918"/>
    <n v="3.91"/>
    <n v="7881"/>
    <n v="9.1194199159233963E-3"/>
  </r>
  <r>
    <x v="66"/>
    <x v="1"/>
    <n v="860"/>
    <n v="244"/>
    <n v="348686"/>
    <n v="5.12"/>
    <n v="11418"/>
    <n v="1.7666324429429343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A8094-DF08-412C-9F57-ED9A88443CD4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Platforms">
  <location ref="S4:U7" firstHeaderRow="0" firstDataRow="1" firstDataCol="1"/>
  <pivotFields count="11">
    <pivotField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numFmtId="10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3">
    <i>
      <x v="1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Average of Ad_Spend" fld="6" subtotal="average" baseField="1" baseItem="0" numFmtId="2"/>
    <dataField name="Average of Engagement_Rate" fld="5" subtotal="average" baseField="1" baseItem="0" numFmtId="2"/>
  </dataFields>
  <formats count="9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B5289-746A-4380-82AC-C05DD2FB995D}" name="PivotTable1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Week_Start_Date" colHeaderCaption="Platforms">
  <location ref="D4:G72" firstHeaderRow="1" firstDataRow="2" firstDataCol="1"/>
  <pivotFields count="11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Fields count="1">
    <field x="1"/>
  </colFields>
  <colItems count="3">
    <i>
      <x/>
    </i>
    <i>
      <x v="1"/>
    </i>
    <i>
      <x v="2"/>
    </i>
  </colItems>
  <dataFields count="1">
    <dataField name="Weekly_Followers_Growth_Rates" fld="7" subtotal="average" baseField="0" baseItem="3" numFmtId="10"/>
  </dataFields>
  <formats count="24">
    <format dxfId="35">
      <pivotArea type="origin" dataOnly="0" labelOnly="1" outline="0" fieldPosition="0"/>
    </format>
    <format dxfId="34">
      <pivotArea field="1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type="origin" dataOnly="0" labelOnly="1" outline="0" fieldPosition="0"/>
    </format>
    <format dxfId="15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</formats>
  <chartFormats count="9">
    <chartFormat chart="0" format="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BC9C0-D9C7-4756-A677-99A7D9EF51B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latforms">
  <location ref="A4:B7" firstHeaderRow="1" firstDataRow="1" firstDataCol="1"/>
  <pivotFields count="11">
    <pivotField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Engagement_Rate in %" fld="5" subtotal="average" baseField="1" baseItem="0" numFmtId="2"/>
  </dataFields>
  <formats count="14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outline="0" axis="axisValues" fieldPosition="0"/>
    </format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EFEF2A-8C7E-4DF5-8990-83BEFCF030E3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34F5E-1D69-49B1-BD84-A37485282ABD}" name="Engagement_Summary" displayName="Engagement_Summary" ref="A1:H201" tableType="queryTable" totalsRowShown="0">
  <autoFilter ref="A1:H201" xr:uid="{03962E43-3208-4A69-BA0D-5F0BD528EF2D}"/>
  <tableColumns count="8">
    <tableColumn id="1" xr3:uid="{A239E2D3-FEA9-41B7-BE28-27D32052E217}" uniqueName="1" name="Week_Start_Date" queryTableFieldId="1" dataDxfId="2"/>
    <tableColumn id="2" xr3:uid="{EF01CC9C-B365-4887-AE88-C83EAD7B3898}" uniqueName="2" name="Platform" queryTableFieldId="2" dataDxfId="1"/>
    <tableColumn id="3" xr3:uid="{4C9CB91A-5892-46C3-9352-401BB764BBA5}" uniqueName="3" name="New_Followers" queryTableFieldId="3"/>
    <tableColumn id="4" xr3:uid="{2A4F680C-573F-4BC4-AA92-3F64A89077AC}" uniqueName="4" name="Unfollows" queryTableFieldId="4"/>
    <tableColumn id="5" xr3:uid="{65066CB6-FF8B-4CD0-9071-8BC67FAE11B2}" uniqueName="5" name="Total_Followers" queryTableFieldId="5"/>
    <tableColumn id="6" xr3:uid="{1378E0C9-F846-4E5C-8A49-0FC93E4899B9}" uniqueName="6" name="Engagement_Rate" queryTableFieldId="6"/>
    <tableColumn id="7" xr3:uid="{4B343438-B9AA-4B3F-A1AB-E13CC4C93890}" uniqueName="7" name="Ad_Spend" queryTableFieldId="7"/>
    <tableColumn id="9" xr3:uid="{D9367807-2025-4B6E-A698-1FF6341C0570}" uniqueName="9" name="Weekly_Followers_Growth_Rate" queryTableFieldId="9" dataDxfId="0">
      <calculatedColumnFormula>((Engagement_Summary[[#This Row],[New_Followers]]-Engagement_Summary[[#This Row],[Unfollows]]) / Engagement_Summary[[#This Row],[Total_Followers]] 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B86B-AE5C-4AA7-9179-93395A1315DC}">
  <dimension ref="A1:Y72"/>
  <sheetViews>
    <sheetView tabSelected="1" zoomScaleNormal="100" workbookViewId="0">
      <selection activeCell="M2" sqref="M2"/>
    </sheetView>
  </sheetViews>
  <sheetFormatPr defaultRowHeight="14.4" x14ac:dyDescent="0.3"/>
  <cols>
    <col min="1" max="1" width="11.33203125" bestFit="1" customWidth="1"/>
    <col min="2" max="2" width="24.109375" customWidth="1"/>
    <col min="3" max="3" width="8.88671875" customWidth="1"/>
    <col min="4" max="4" width="29.33203125" bestFit="1" customWidth="1"/>
    <col min="5" max="5" width="15.5546875" bestFit="1" customWidth="1"/>
    <col min="6" max="6" width="6.88671875" bestFit="1" customWidth="1"/>
    <col min="7" max="7" width="8.44140625" customWidth="1"/>
    <col min="8" max="8" width="10.77734375" customWidth="1"/>
    <col min="9" max="10" width="8.88671875" customWidth="1"/>
    <col min="18" max="18" width="8.88671875" customWidth="1"/>
    <col min="19" max="19" width="11.33203125" bestFit="1" customWidth="1"/>
    <col min="20" max="20" width="19.44140625" bestFit="1" customWidth="1"/>
    <col min="21" max="21" width="26.33203125" bestFit="1" customWidth="1"/>
    <col min="24" max="24" width="18.44140625" bestFit="1" customWidth="1"/>
    <col min="25" max="25" width="26.33203125" bestFit="1" customWidth="1"/>
    <col min="26" max="26" width="6.33203125" bestFit="1" customWidth="1"/>
  </cols>
  <sheetData>
    <row r="1" spans="1:25" ht="25.8" x14ac:dyDescent="0.6">
      <c r="D1" s="15" t="s">
        <v>19</v>
      </c>
      <c r="E1" s="16"/>
      <c r="F1" s="16"/>
      <c r="G1" s="16"/>
      <c r="H1" s="16"/>
      <c r="I1" s="16"/>
      <c r="J1" s="16"/>
      <c r="K1" s="16"/>
    </row>
    <row r="3" spans="1:25" x14ac:dyDescent="0.3">
      <c r="A3" s="13" t="s">
        <v>0</v>
      </c>
      <c r="B3" s="13"/>
      <c r="D3" s="13" t="s">
        <v>1</v>
      </c>
      <c r="E3" s="14"/>
      <c r="F3" s="14"/>
      <c r="G3" s="14"/>
      <c r="S3" s="13" t="s">
        <v>2</v>
      </c>
      <c r="T3" s="13"/>
      <c r="U3" s="13"/>
    </row>
    <row r="4" spans="1:25" x14ac:dyDescent="0.3">
      <c r="A4" s="12" t="s">
        <v>3</v>
      </c>
      <c r="B4" s="12" t="s">
        <v>4</v>
      </c>
      <c r="D4" s="12" t="s">
        <v>5</v>
      </c>
      <c r="E4" s="12" t="s">
        <v>3</v>
      </c>
      <c r="F4" s="12"/>
      <c r="G4" s="12"/>
      <c r="S4" s="12" t="s">
        <v>3</v>
      </c>
      <c r="T4" s="12" t="s">
        <v>6</v>
      </c>
      <c r="U4" s="12" t="s">
        <v>7</v>
      </c>
      <c r="W4" s="1" t="s">
        <v>3</v>
      </c>
      <c r="X4" s="1" t="s">
        <v>6</v>
      </c>
      <c r="Y4" s="1" t="s">
        <v>7</v>
      </c>
    </row>
    <row r="5" spans="1:25" x14ac:dyDescent="0.3">
      <c r="A5" s="2" t="s">
        <v>8</v>
      </c>
      <c r="B5" s="3">
        <v>6.8856716417910446</v>
      </c>
      <c r="D5" s="12" t="s">
        <v>9</v>
      </c>
      <c r="E5" s="12" t="s">
        <v>10</v>
      </c>
      <c r="F5" s="12" t="s">
        <v>8</v>
      </c>
      <c r="G5" s="12" t="s">
        <v>11</v>
      </c>
      <c r="S5" s="2" t="s">
        <v>8</v>
      </c>
      <c r="T5" s="3">
        <v>16629.910447761195</v>
      </c>
      <c r="U5" s="3">
        <v>6.8856716417910446</v>
      </c>
      <c r="W5" s="4" t="s">
        <v>8</v>
      </c>
      <c r="X5" s="3">
        <v>16629.910447761195</v>
      </c>
      <c r="Y5" s="3">
        <v>6.8856716417910446</v>
      </c>
    </row>
    <row r="6" spans="1:25" x14ac:dyDescent="0.3">
      <c r="A6" s="2" t="s">
        <v>11</v>
      </c>
      <c r="B6" s="3">
        <v>6.7189393939393929</v>
      </c>
      <c r="D6" s="5">
        <v>45446</v>
      </c>
      <c r="E6" s="6">
        <v>1.0709526179733787E-2</v>
      </c>
      <c r="F6" s="6">
        <v>3.9875766588582107E-3</v>
      </c>
      <c r="G6" s="6">
        <v>3.176300905893983E-3</v>
      </c>
      <c r="S6" s="2" t="s">
        <v>11</v>
      </c>
      <c r="T6" s="3">
        <v>16148.212121212122</v>
      </c>
      <c r="U6" s="3">
        <v>6.7189393939393929</v>
      </c>
      <c r="W6" s="4" t="s">
        <v>11</v>
      </c>
      <c r="X6" s="3">
        <v>16148.212121212122</v>
      </c>
      <c r="Y6" s="3">
        <v>6.7189393939393929</v>
      </c>
    </row>
    <row r="7" spans="1:25" x14ac:dyDescent="0.3">
      <c r="A7" s="2" t="s">
        <v>10</v>
      </c>
      <c r="B7" s="3">
        <v>6.4582089552238831</v>
      </c>
      <c r="D7" s="5">
        <v>45453</v>
      </c>
      <c r="E7" s="6">
        <v>1.0035253152237385E-2</v>
      </c>
      <c r="F7" s="6">
        <v>4.247465810484582E-3</v>
      </c>
      <c r="G7" s="6">
        <v>1.1541771253329111E-3</v>
      </c>
      <c r="S7" s="2" t="s">
        <v>10</v>
      </c>
      <c r="T7" s="3">
        <v>15461.820895522387</v>
      </c>
      <c r="U7" s="3">
        <v>6.4582089552238831</v>
      </c>
      <c r="W7" s="4" t="s">
        <v>10</v>
      </c>
      <c r="X7" s="3">
        <v>15461.820895522387</v>
      </c>
      <c r="Y7" s="3">
        <v>6.4582089552238831</v>
      </c>
    </row>
    <row r="8" spans="1:25" x14ac:dyDescent="0.3">
      <c r="D8" s="5">
        <v>45460</v>
      </c>
      <c r="E8" s="6">
        <v>6.1532043593888509E-3</v>
      </c>
      <c r="F8" s="6">
        <v>5.2165710498603361E-3</v>
      </c>
      <c r="G8" s="6">
        <v>5.1990991422684362E-3</v>
      </c>
    </row>
    <row r="9" spans="1:25" x14ac:dyDescent="0.3">
      <c r="D9" s="5">
        <v>45467</v>
      </c>
      <c r="E9" s="6">
        <v>7.0194756038813571E-3</v>
      </c>
      <c r="F9" s="6">
        <v>8.7155963302752298E-3</v>
      </c>
      <c r="G9" s="6">
        <v>5.5548942586200059E-3</v>
      </c>
    </row>
    <row r="10" spans="1:25" x14ac:dyDescent="0.3">
      <c r="D10" s="5">
        <v>45474</v>
      </c>
      <c r="E10" s="6">
        <v>3.9974246283906723E-3</v>
      </c>
      <c r="F10" s="6">
        <v>2.7265062228494967E-3</v>
      </c>
      <c r="G10" s="6">
        <v>3.7184126339477423E-3</v>
      </c>
    </row>
    <row r="11" spans="1:25" x14ac:dyDescent="0.3">
      <c r="D11" s="5">
        <v>45481</v>
      </c>
      <c r="E11" s="6">
        <v>1.9610667968164271E-3</v>
      </c>
      <c r="F11" s="6">
        <v>1.7836234485988603E-2</v>
      </c>
      <c r="G11" s="6">
        <v>5.7836390843520723E-3</v>
      </c>
    </row>
    <row r="12" spans="1:25" x14ac:dyDescent="0.3">
      <c r="D12" s="5">
        <v>45488</v>
      </c>
      <c r="E12" s="6">
        <v>2.1159343412017798E-3</v>
      </c>
      <c r="F12" s="6">
        <v>4.1633646660018432E-3</v>
      </c>
      <c r="G12" s="6">
        <v>4.4074791828765565E-3</v>
      </c>
    </row>
    <row r="13" spans="1:25" x14ac:dyDescent="0.3">
      <c r="D13" s="5">
        <v>45495</v>
      </c>
      <c r="E13" s="6">
        <v>3.8800515380583087E-3</v>
      </c>
      <c r="F13" s="6">
        <v>1.3666228646517741E-3</v>
      </c>
      <c r="G13" s="6">
        <v>2.9558125725816196E-3</v>
      </c>
    </row>
    <row r="14" spans="1:25" x14ac:dyDescent="0.3">
      <c r="D14" s="5">
        <v>45502</v>
      </c>
      <c r="E14" s="6">
        <v>2.3089717768720206E-3</v>
      </c>
      <c r="F14" s="6">
        <v>5.2125958475504573E-3</v>
      </c>
      <c r="G14" s="6">
        <v>2.4107127645679174E-3</v>
      </c>
    </row>
    <row r="15" spans="1:25" x14ac:dyDescent="0.3">
      <c r="D15" s="5">
        <v>45509</v>
      </c>
      <c r="E15" s="6">
        <v>6.7435554935305723E-3</v>
      </c>
      <c r="F15" s="6">
        <v>4.3839826448522105E-3</v>
      </c>
      <c r="G15" s="6">
        <v>2.3829134417695176E-3</v>
      </c>
    </row>
    <row r="16" spans="1:25" x14ac:dyDescent="0.3">
      <c r="D16" s="5">
        <v>45516</v>
      </c>
      <c r="E16" s="6">
        <v>1.4216285431581398E-2</v>
      </c>
      <c r="F16" s="6">
        <v>1.031124193757846E-2</v>
      </c>
      <c r="G16" s="6">
        <v>3.2668165162148292E-3</v>
      </c>
    </row>
    <row r="17" spans="4:7" x14ac:dyDescent="0.3">
      <c r="D17" s="5">
        <v>45523</v>
      </c>
      <c r="E17" s="6">
        <v>2.5711521816608116E-3</v>
      </c>
      <c r="F17" s="6">
        <v>6.2169419806330862E-3</v>
      </c>
      <c r="G17" s="6">
        <v>6.1138546368952043E-3</v>
      </c>
    </row>
    <row r="18" spans="4:7" x14ac:dyDescent="0.3">
      <c r="D18" s="5">
        <v>45530</v>
      </c>
      <c r="E18" s="6">
        <v>5.2519335029163131E-3</v>
      </c>
      <c r="F18" s="6">
        <v>1.1090510417460359E-3</v>
      </c>
      <c r="G18" s="6">
        <v>4.3018845648676966E-3</v>
      </c>
    </row>
    <row r="19" spans="4:7" x14ac:dyDescent="0.3">
      <c r="D19" s="5">
        <v>45537</v>
      </c>
      <c r="E19" s="6">
        <v>1.5378321642822803E-3</v>
      </c>
      <c r="F19" s="6">
        <v>2.6618404566337186E-3</v>
      </c>
      <c r="G19" s="6">
        <v>2.8775171297394605E-3</v>
      </c>
    </row>
    <row r="20" spans="4:7" x14ac:dyDescent="0.3">
      <c r="D20" s="5">
        <v>45544</v>
      </c>
      <c r="E20" s="6">
        <v>1.7288453918263881E-3</v>
      </c>
      <c r="F20" s="6">
        <v>4.7123181781018424E-3</v>
      </c>
      <c r="G20" s="6">
        <v>2.3319170287838973E-3</v>
      </c>
    </row>
    <row r="21" spans="4:7" x14ac:dyDescent="0.3">
      <c r="D21" s="5">
        <v>45551</v>
      </c>
      <c r="E21" s="6">
        <v>1.8947546272643525E-3</v>
      </c>
      <c r="F21" s="6">
        <v>3.4796436801746559E-3</v>
      </c>
      <c r="G21" s="6">
        <v>2.2541306944976669E-3</v>
      </c>
    </row>
    <row r="22" spans="4:7" x14ac:dyDescent="0.3">
      <c r="D22" s="5">
        <v>45558</v>
      </c>
      <c r="E22" s="6">
        <v>1.3784135240572171E-2</v>
      </c>
      <c r="F22" s="6">
        <v>3.305365562946797E-3</v>
      </c>
      <c r="G22" s="6">
        <v>1.3748256088824177E-3</v>
      </c>
    </row>
    <row r="23" spans="4:7" x14ac:dyDescent="0.3">
      <c r="D23" s="5">
        <v>45565</v>
      </c>
      <c r="E23" s="6">
        <v>3.0190531054641659E-3</v>
      </c>
      <c r="F23" s="6">
        <v>4.6946006530167259E-3</v>
      </c>
      <c r="G23" s="6">
        <v>3.2768049617799048E-3</v>
      </c>
    </row>
    <row r="24" spans="4:7" x14ac:dyDescent="0.3">
      <c r="D24" s="5">
        <v>45572</v>
      </c>
      <c r="E24" s="6">
        <v>1.7507375647522346E-3</v>
      </c>
      <c r="F24" s="6">
        <v>2.8850860838862216E-3</v>
      </c>
      <c r="G24" s="6">
        <v>8.0878372132944243E-3</v>
      </c>
    </row>
    <row r="25" spans="4:7" x14ac:dyDescent="0.3">
      <c r="D25" s="5">
        <v>45579</v>
      </c>
      <c r="E25" s="6">
        <v>4.7398149771776844E-3</v>
      </c>
      <c r="F25" s="6">
        <v>1.8353650184906177E-3</v>
      </c>
      <c r="G25" s="6">
        <v>3.8177207407976638E-3</v>
      </c>
    </row>
    <row r="26" spans="4:7" x14ac:dyDescent="0.3">
      <c r="D26" s="5">
        <v>45586</v>
      </c>
      <c r="E26" s="6">
        <v>1.0915497012055407E-2</v>
      </c>
      <c r="F26" s="6">
        <v>5.3980915408646862E-3</v>
      </c>
      <c r="G26" s="6">
        <v>7.2173750633688196E-3</v>
      </c>
    </row>
    <row r="27" spans="4:7" x14ac:dyDescent="0.3">
      <c r="D27" s="5">
        <v>45593</v>
      </c>
      <c r="E27" s="6">
        <v>3.8051035059458792E-3</v>
      </c>
      <c r="F27" s="6">
        <v>1.5788005199153436E-3</v>
      </c>
      <c r="G27" s="6">
        <v>3.6774665438586984E-3</v>
      </c>
    </row>
    <row r="28" spans="4:7" x14ac:dyDescent="0.3">
      <c r="D28" s="5">
        <v>45600</v>
      </c>
      <c r="E28" s="6">
        <v>3.6781918718691762E-3</v>
      </c>
      <c r="F28" s="6">
        <v>3.9842122008616216E-3</v>
      </c>
      <c r="G28" s="6">
        <v>8.0175996088975802E-3</v>
      </c>
    </row>
    <row r="29" spans="4:7" x14ac:dyDescent="0.3">
      <c r="D29" s="5">
        <v>45607</v>
      </c>
      <c r="E29" s="6">
        <v>3.9281193313061976E-3</v>
      </c>
      <c r="F29" s="6">
        <v>2.6275238057607967E-3</v>
      </c>
      <c r="G29" s="6">
        <v>4.6556860536239985E-3</v>
      </c>
    </row>
    <row r="30" spans="4:7" x14ac:dyDescent="0.3">
      <c r="D30" s="5">
        <v>45614</v>
      </c>
      <c r="E30" s="6">
        <v>2.741648314656868E-3</v>
      </c>
      <c r="F30" s="6">
        <v>5.0288483327232481E-3</v>
      </c>
      <c r="G30" s="6">
        <v>2.0449775112443779E-3</v>
      </c>
    </row>
    <row r="31" spans="4:7" x14ac:dyDescent="0.3">
      <c r="D31" s="5">
        <v>45621</v>
      </c>
      <c r="E31" s="6">
        <v>1.2759550523566889E-3</v>
      </c>
      <c r="F31" s="6">
        <v>4.2439230501565839E-3</v>
      </c>
      <c r="G31" s="6">
        <v>5.8524314976443207E-3</v>
      </c>
    </row>
    <row r="32" spans="4:7" x14ac:dyDescent="0.3">
      <c r="D32" s="5">
        <v>45628</v>
      </c>
      <c r="E32" s="6">
        <v>4.7176696580273365E-3</v>
      </c>
      <c r="F32" s="6">
        <v>7.8261885293774095E-3</v>
      </c>
      <c r="G32" s="6">
        <v>2.0028848369668811E-3</v>
      </c>
    </row>
    <row r="33" spans="4:7" x14ac:dyDescent="0.3">
      <c r="D33" s="5">
        <v>45635</v>
      </c>
      <c r="E33" s="6">
        <v>1.7677812464738406E-3</v>
      </c>
      <c r="F33" s="6">
        <v>3.8344284334702996E-3</v>
      </c>
      <c r="G33" s="6">
        <v>3.2086280175382597E-3</v>
      </c>
    </row>
    <row r="34" spans="4:7" x14ac:dyDescent="0.3">
      <c r="D34" s="5">
        <v>45642</v>
      </c>
      <c r="E34" s="6">
        <v>6.506669773402458E-3</v>
      </c>
      <c r="F34" s="6">
        <v>2.7987701840030041E-3</v>
      </c>
      <c r="G34" s="6">
        <v>7.8332145402708487E-3</v>
      </c>
    </row>
    <row r="35" spans="4:7" x14ac:dyDescent="0.3">
      <c r="D35" s="5">
        <v>45649</v>
      </c>
      <c r="E35" s="6">
        <v>4.8653658034289241E-3</v>
      </c>
      <c r="F35" s="6">
        <v>6.4046760353189906E-3</v>
      </c>
      <c r="G35" s="6">
        <v>2.60081206532016E-3</v>
      </c>
    </row>
    <row r="36" spans="4:7" x14ac:dyDescent="0.3">
      <c r="D36" s="5">
        <v>45656</v>
      </c>
      <c r="E36" s="6">
        <v>1.7165562473503519E-3</v>
      </c>
      <c r="F36" s="6">
        <v>3.7157691133055076E-3</v>
      </c>
      <c r="G36" s="6">
        <v>4.3562203906807708E-3</v>
      </c>
    </row>
    <row r="37" spans="4:7" x14ac:dyDescent="0.3">
      <c r="D37" s="5">
        <v>45663</v>
      </c>
      <c r="E37" s="6">
        <v>3.1809630491290049E-3</v>
      </c>
      <c r="F37" s="6">
        <v>8.2282093543773697E-3</v>
      </c>
      <c r="G37" s="6">
        <v>2.8057492705051896E-3</v>
      </c>
    </row>
    <row r="38" spans="4:7" x14ac:dyDescent="0.3">
      <c r="D38" s="5">
        <v>45670</v>
      </c>
      <c r="E38" s="6">
        <v>1.3793673813581599E-3</v>
      </c>
      <c r="F38" s="6">
        <v>3.960732004118693E-3</v>
      </c>
      <c r="G38" s="6">
        <v>2.9568975321278288E-3</v>
      </c>
    </row>
    <row r="39" spans="4:7" x14ac:dyDescent="0.3">
      <c r="D39" s="5">
        <v>45677</v>
      </c>
      <c r="E39" s="6">
        <v>1.3487040845594743E-3</v>
      </c>
      <c r="F39" s="6">
        <v>2.0100280520398473E-3</v>
      </c>
      <c r="G39" s="6">
        <v>2.5280739012313877E-3</v>
      </c>
    </row>
    <row r="40" spans="4:7" x14ac:dyDescent="0.3">
      <c r="D40" s="5">
        <v>45684</v>
      </c>
      <c r="E40" s="6">
        <v>9.2415931314094918E-4</v>
      </c>
      <c r="F40" s="6">
        <v>5.1939513477975013E-3</v>
      </c>
      <c r="G40" s="6">
        <v>3.685623501752981E-3</v>
      </c>
    </row>
    <row r="41" spans="4:7" x14ac:dyDescent="0.3">
      <c r="D41" s="5">
        <v>45691</v>
      </c>
      <c r="E41" s="6">
        <v>2.3334666742861497E-3</v>
      </c>
      <c r="F41" s="6">
        <v>6.8852027382833069E-3</v>
      </c>
      <c r="G41" s="6">
        <v>1.1697559866836308E-3</v>
      </c>
    </row>
    <row r="42" spans="4:7" x14ac:dyDescent="0.3">
      <c r="D42" s="5">
        <v>45698</v>
      </c>
      <c r="E42" s="6">
        <v>3.0798747854185599E-3</v>
      </c>
      <c r="F42" s="6">
        <v>1.2038244241634072E-2</v>
      </c>
      <c r="G42" s="6">
        <v>1.9357425118836263E-3</v>
      </c>
    </row>
    <row r="43" spans="4:7" x14ac:dyDescent="0.3">
      <c r="D43" s="5">
        <v>45705</v>
      </c>
      <c r="E43" s="6">
        <v>4.0817246978170664E-3</v>
      </c>
      <c r="F43" s="6">
        <v>2.3280135960016494E-3</v>
      </c>
      <c r="G43" s="6">
        <v>1.0583174536168594E-3</v>
      </c>
    </row>
    <row r="44" spans="4:7" x14ac:dyDescent="0.3">
      <c r="D44" s="5">
        <v>45712</v>
      </c>
      <c r="E44" s="6">
        <v>1.0896826083196401E-3</v>
      </c>
      <c r="F44" s="6">
        <v>3.7818873758696555E-3</v>
      </c>
      <c r="G44" s="6">
        <v>1.8949662755644234E-3</v>
      </c>
    </row>
    <row r="45" spans="4:7" x14ac:dyDescent="0.3">
      <c r="D45" s="5">
        <v>45719</v>
      </c>
      <c r="E45" s="6">
        <v>1.0984575217286749E-2</v>
      </c>
      <c r="F45" s="6">
        <v>7.8900723125911749E-3</v>
      </c>
      <c r="G45" s="6">
        <v>1.7409229805475531E-3</v>
      </c>
    </row>
    <row r="46" spans="4:7" x14ac:dyDescent="0.3">
      <c r="D46" s="5">
        <v>45726</v>
      </c>
      <c r="E46" s="6">
        <v>1.8468941678809856E-3</v>
      </c>
      <c r="F46" s="6">
        <v>5.1540047386073422E-3</v>
      </c>
      <c r="G46" s="6">
        <v>2.2450476889214967E-3</v>
      </c>
    </row>
    <row r="47" spans="4:7" x14ac:dyDescent="0.3">
      <c r="D47" s="5">
        <v>45733</v>
      </c>
      <c r="E47" s="6">
        <v>1.9052058737091724E-3</v>
      </c>
      <c r="F47" s="6">
        <v>1.4348198375413667E-3</v>
      </c>
      <c r="G47" s="6">
        <v>4.2810298761233904E-3</v>
      </c>
    </row>
    <row r="48" spans="4:7" x14ac:dyDescent="0.3">
      <c r="D48" s="5">
        <v>45740</v>
      </c>
      <c r="E48" s="6">
        <v>3.0555240088474996E-3</v>
      </c>
      <c r="F48" s="6">
        <v>6.5302778380201933E-3</v>
      </c>
      <c r="G48" s="6">
        <v>3.2720751898231166E-3</v>
      </c>
    </row>
    <row r="49" spans="4:7" x14ac:dyDescent="0.3">
      <c r="D49" s="5">
        <v>45747</v>
      </c>
      <c r="E49" s="6">
        <v>3.1475371965261584E-3</v>
      </c>
      <c r="F49" s="6">
        <v>9.0792625187990864E-3</v>
      </c>
      <c r="G49" s="6">
        <v>6.7594964249334932E-3</v>
      </c>
    </row>
    <row r="50" spans="4:7" x14ac:dyDescent="0.3">
      <c r="D50" s="5">
        <v>45754</v>
      </c>
      <c r="E50" s="6">
        <v>3.9209705941868752E-3</v>
      </c>
      <c r="F50" s="6">
        <v>2.9814935695005556E-3</v>
      </c>
      <c r="G50" s="6">
        <v>3.6902252215116576E-3</v>
      </c>
    </row>
    <row r="51" spans="4:7" x14ac:dyDescent="0.3">
      <c r="D51" s="5">
        <v>45761</v>
      </c>
      <c r="E51" s="6">
        <v>1.9961869935398759E-3</v>
      </c>
      <c r="F51" s="6">
        <v>6.2397756485160086E-3</v>
      </c>
      <c r="G51" s="6">
        <v>4.6142223427541986E-3</v>
      </c>
    </row>
    <row r="52" spans="4:7" x14ac:dyDescent="0.3">
      <c r="D52" s="5">
        <v>45768</v>
      </c>
      <c r="E52" s="6">
        <v>1.0988053215795403E-3</v>
      </c>
      <c r="F52" s="6">
        <v>1.4351099955706482E-3</v>
      </c>
      <c r="G52" s="6">
        <v>3.2565414723670183E-3</v>
      </c>
    </row>
    <row r="53" spans="4:7" x14ac:dyDescent="0.3">
      <c r="D53" s="5">
        <v>45775</v>
      </c>
      <c r="E53" s="6">
        <v>3.7778051067623862E-3</v>
      </c>
      <c r="F53" s="6">
        <v>2.0509887813384732E-3</v>
      </c>
      <c r="G53" s="6">
        <v>2.9339148299662998E-3</v>
      </c>
    </row>
    <row r="54" spans="4:7" x14ac:dyDescent="0.3">
      <c r="D54" s="5">
        <v>45782</v>
      </c>
      <c r="E54" s="6">
        <v>2.5976522198761379E-3</v>
      </c>
      <c r="F54" s="6">
        <v>2.5507605115104954E-3</v>
      </c>
      <c r="G54" s="6">
        <v>1.9790880672631238E-3</v>
      </c>
    </row>
    <row r="55" spans="4:7" x14ac:dyDescent="0.3">
      <c r="D55" s="5">
        <v>45789</v>
      </c>
      <c r="E55" s="6">
        <v>1.5731300645365684E-3</v>
      </c>
      <c r="F55" s="6">
        <v>2.6547884187082403E-3</v>
      </c>
      <c r="G55" s="6">
        <v>1.4915157677349929E-3</v>
      </c>
    </row>
    <row r="56" spans="4:7" x14ac:dyDescent="0.3">
      <c r="D56" s="5">
        <v>45796</v>
      </c>
      <c r="E56" s="6">
        <v>7.872087032172511E-3</v>
      </c>
      <c r="F56" s="6">
        <v>4.1466368206671319E-3</v>
      </c>
      <c r="G56" s="6">
        <v>7.5491490264485411E-3</v>
      </c>
    </row>
    <row r="57" spans="4:7" x14ac:dyDescent="0.3">
      <c r="D57" s="5">
        <v>45803</v>
      </c>
      <c r="E57" s="6">
        <v>3.8281206906062111E-3</v>
      </c>
      <c r="F57" s="6">
        <v>3.7470607409939207E-3</v>
      </c>
      <c r="G57" s="6">
        <v>2.005770990217468E-3</v>
      </c>
    </row>
    <row r="58" spans="4:7" x14ac:dyDescent="0.3">
      <c r="D58" s="5">
        <v>45810</v>
      </c>
      <c r="E58" s="6">
        <v>1.2413909189098204E-3</v>
      </c>
      <c r="F58" s="6">
        <v>9.6542972769051369E-3</v>
      </c>
      <c r="G58" s="6">
        <v>4.9181461441388493E-3</v>
      </c>
    </row>
    <row r="59" spans="4:7" x14ac:dyDescent="0.3">
      <c r="D59" s="5">
        <v>45817</v>
      </c>
      <c r="E59" s="6">
        <v>1.1327664328719508E-2</v>
      </c>
      <c r="F59" s="6">
        <v>1.5942232850377457E-3</v>
      </c>
      <c r="G59" s="6">
        <v>4.1211031333606603E-3</v>
      </c>
    </row>
    <row r="60" spans="4:7" x14ac:dyDescent="0.3">
      <c r="D60" s="5">
        <v>45824</v>
      </c>
      <c r="E60" s="6">
        <v>2.4617598408673293E-3</v>
      </c>
      <c r="F60" s="6">
        <v>5.1721119722456512E-3</v>
      </c>
      <c r="G60" s="6">
        <v>5.4388566363352828E-3</v>
      </c>
    </row>
    <row r="61" spans="4:7" x14ac:dyDescent="0.3">
      <c r="D61" s="5">
        <v>45831</v>
      </c>
      <c r="E61" s="6">
        <v>1.1452908859898713E-3</v>
      </c>
      <c r="F61" s="6">
        <v>2.1127444317144686E-3</v>
      </c>
      <c r="G61" s="6">
        <v>3.3553365983339462E-3</v>
      </c>
    </row>
    <row r="62" spans="4:7" x14ac:dyDescent="0.3">
      <c r="D62" s="5">
        <v>45838</v>
      </c>
      <c r="E62" s="6">
        <v>2.2401847575057735E-3</v>
      </c>
      <c r="F62" s="6">
        <v>1.208595326242385E-2</v>
      </c>
      <c r="G62" s="6">
        <v>6.4765009508285796E-3</v>
      </c>
    </row>
    <row r="63" spans="4:7" x14ac:dyDescent="0.3">
      <c r="D63" s="5">
        <v>45845</v>
      </c>
      <c r="E63" s="6">
        <v>3.3512794144334888E-3</v>
      </c>
      <c r="F63" s="6">
        <v>2.6668250067122413E-3</v>
      </c>
      <c r="G63" s="6">
        <v>3.1694785125105812E-3</v>
      </c>
    </row>
    <row r="64" spans="4:7" x14ac:dyDescent="0.3">
      <c r="D64" s="5">
        <v>45852</v>
      </c>
      <c r="E64" s="6">
        <v>9.827213822894169E-3</v>
      </c>
      <c r="F64" s="6">
        <v>1.5181988769584942E-3</v>
      </c>
      <c r="G64" s="6">
        <v>2.6388003437092886E-3</v>
      </c>
    </row>
    <row r="65" spans="4:7" x14ac:dyDescent="0.3">
      <c r="D65" s="5">
        <v>45859</v>
      </c>
      <c r="E65" s="6">
        <v>7.4721268454424738E-3</v>
      </c>
      <c r="F65" s="6">
        <v>3.1852844079273504E-3</v>
      </c>
      <c r="G65" s="6">
        <v>3.2454858113287115E-3</v>
      </c>
    </row>
    <row r="66" spans="4:7" x14ac:dyDescent="0.3">
      <c r="D66" s="5">
        <v>45866</v>
      </c>
      <c r="E66" s="6">
        <v>4.669318378338316E-3</v>
      </c>
      <c r="F66" s="6">
        <v>1.0981480529715098E-2</v>
      </c>
      <c r="G66" s="6">
        <v>1.7084647221127316E-2</v>
      </c>
    </row>
    <row r="67" spans="4:7" x14ac:dyDescent="0.3">
      <c r="D67" s="5">
        <v>45873</v>
      </c>
      <c r="E67" s="6">
        <v>7.6555792759910937E-3</v>
      </c>
      <c r="F67" s="6">
        <v>1.8650998332996943E-3</v>
      </c>
      <c r="G67" s="6">
        <v>3.9299078763469142E-3</v>
      </c>
    </row>
    <row r="68" spans="4:7" x14ac:dyDescent="0.3">
      <c r="D68" s="5">
        <v>45880</v>
      </c>
      <c r="E68" s="6">
        <v>2.6309839468870114E-3</v>
      </c>
      <c r="F68" s="6">
        <v>6.0271996703070265E-3</v>
      </c>
      <c r="G68" s="6">
        <v>6.6042394102916796E-3</v>
      </c>
    </row>
    <row r="69" spans="4:7" x14ac:dyDescent="0.3">
      <c r="D69" s="5">
        <v>45887</v>
      </c>
      <c r="E69" s="6">
        <v>2.1136549728017671E-3</v>
      </c>
      <c r="F69" s="6">
        <v>1.823480339105339E-3</v>
      </c>
      <c r="G69" s="6">
        <v>5.5270456327116777E-3</v>
      </c>
    </row>
    <row r="70" spans="4:7" x14ac:dyDescent="0.3">
      <c r="D70" s="5">
        <v>45894</v>
      </c>
      <c r="E70" s="6">
        <v>6.6754281661347186E-3</v>
      </c>
      <c r="F70" s="6">
        <v>3.9399561477483558E-3</v>
      </c>
      <c r="G70" s="6">
        <v>3.5959985838152297E-3</v>
      </c>
    </row>
    <row r="71" spans="4:7" x14ac:dyDescent="0.3">
      <c r="D71" s="5">
        <v>45901</v>
      </c>
      <c r="E71" s="6">
        <v>3.1996007837554212E-3</v>
      </c>
      <c r="F71" s="6">
        <v>3.6710630280192063E-3</v>
      </c>
      <c r="G71" s="6">
        <v>7.9729048800556194E-4</v>
      </c>
    </row>
    <row r="72" spans="4:7" x14ac:dyDescent="0.3">
      <c r="D72" s="5">
        <v>45908</v>
      </c>
      <c r="E72" s="6">
        <v>9.1194199159233963E-3</v>
      </c>
      <c r="F72" s="6">
        <v>1.7666324429429343E-3</v>
      </c>
      <c r="G72" s="6"/>
    </row>
  </sheetData>
  <mergeCells count="4">
    <mergeCell ref="A3:B3"/>
    <mergeCell ref="D3:G3"/>
    <mergeCell ref="S3:U3"/>
    <mergeCell ref="D1:K1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49A0-763A-457F-BF05-BA72F782F72D}">
  <dimension ref="A1:O201"/>
  <sheetViews>
    <sheetView workbookViewId="0">
      <selection activeCell="H2" sqref="H2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30.77734375" style="10" bestFit="1" customWidth="1"/>
    <col min="10" max="10" width="12.5546875" bestFit="1" customWidth="1"/>
    <col min="11" max="11" width="26.33203125" bestFit="1" customWidth="1"/>
  </cols>
  <sheetData>
    <row r="1" spans="1:15" x14ac:dyDescent="0.3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s="7" t="s">
        <v>18</v>
      </c>
      <c r="L1" s="8"/>
      <c r="M1" s="8"/>
    </row>
    <row r="2" spans="1:15" x14ac:dyDescent="0.3">
      <c r="A2" s="9">
        <v>45446</v>
      </c>
      <c r="B2" t="s">
        <v>10</v>
      </c>
      <c r="C2">
        <v>1402</v>
      </c>
      <c r="D2">
        <v>68</v>
      </c>
      <c r="E2">
        <v>124562</v>
      </c>
      <c r="F2">
        <v>9.92</v>
      </c>
      <c r="G2">
        <v>23125</v>
      </c>
      <c r="H2" s="10">
        <f>((Engagement_Summary[[#This Row],[New_Followers]]-Engagement_Summary[[#This Row],[Unfollows]]) / Engagement_Summary[[#This Row],[Total_Followers]] )</f>
        <v>1.0709526179733787E-2</v>
      </c>
    </row>
    <row r="3" spans="1:15" x14ac:dyDescent="0.3">
      <c r="A3" s="9">
        <v>45446</v>
      </c>
      <c r="B3" t="s">
        <v>8</v>
      </c>
      <c r="C3">
        <v>995</v>
      </c>
      <c r="D3">
        <v>86</v>
      </c>
      <c r="E3">
        <v>227958</v>
      </c>
      <c r="F3">
        <v>8.0500000000000007</v>
      </c>
      <c r="G3">
        <v>22788</v>
      </c>
      <c r="H3" s="10">
        <f>((Engagement_Summary[[#This Row],[New_Followers]]-Engagement_Summary[[#This Row],[Unfollows]]) / Engagement_Summary[[#This Row],[Total_Followers]] )</f>
        <v>3.9875766588582107E-3</v>
      </c>
      <c r="K3" s="11"/>
      <c r="L3" s="11"/>
      <c r="M3" s="11"/>
      <c r="N3" s="11"/>
      <c r="O3" s="11"/>
    </row>
    <row r="4" spans="1:15" x14ac:dyDescent="0.3">
      <c r="A4" s="9">
        <v>45446</v>
      </c>
      <c r="B4" t="s">
        <v>11</v>
      </c>
      <c r="C4">
        <v>1472</v>
      </c>
      <c r="D4">
        <v>296</v>
      </c>
      <c r="E4">
        <v>370242</v>
      </c>
      <c r="F4">
        <v>7.72</v>
      </c>
      <c r="G4">
        <v>7810</v>
      </c>
      <c r="H4" s="10">
        <f>((Engagement_Summary[[#This Row],[New_Followers]]-Engagement_Summary[[#This Row],[Unfollows]]) / Engagement_Summary[[#This Row],[Total_Followers]] )</f>
        <v>3.176300905893983E-3</v>
      </c>
    </row>
    <row r="5" spans="1:15" x14ac:dyDescent="0.3">
      <c r="A5" s="9">
        <v>45453</v>
      </c>
      <c r="B5" t="s">
        <v>10</v>
      </c>
      <c r="C5">
        <v>1018</v>
      </c>
      <c r="D5">
        <v>90</v>
      </c>
      <c r="E5">
        <v>92474</v>
      </c>
      <c r="F5">
        <v>9.4</v>
      </c>
      <c r="G5">
        <v>11966</v>
      </c>
      <c r="H5" s="10">
        <f>((Engagement_Summary[[#This Row],[New_Followers]]-Engagement_Summary[[#This Row],[Unfollows]]) / Engagement_Summary[[#This Row],[Total_Followers]] )</f>
        <v>1.0035253152237385E-2</v>
      </c>
    </row>
    <row r="6" spans="1:15" x14ac:dyDescent="0.3">
      <c r="A6" s="9">
        <v>45453</v>
      </c>
      <c r="B6" t="s">
        <v>8</v>
      </c>
      <c r="C6">
        <v>1461</v>
      </c>
      <c r="D6">
        <v>64</v>
      </c>
      <c r="E6">
        <v>328902</v>
      </c>
      <c r="F6">
        <v>9.02</v>
      </c>
      <c r="G6">
        <v>26298</v>
      </c>
      <c r="H6" s="10">
        <f>((Engagement_Summary[[#This Row],[New_Followers]]-Engagement_Summary[[#This Row],[Unfollows]]) / Engagement_Summary[[#This Row],[Total_Followers]] )</f>
        <v>4.247465810484582E-3</v>
      </c>
    </row>
    <row r="7" spans="1:15" x14ac:dyDescent="0.3">
      <c r="A7" s="9">
        <v>45453</v>
      </c>
      <c r="B7" t="s">
        <v>11</v>
      </c>
      <c r="C7">
        <v>545</v>
      </c>
      <c r="D7">
        <v>93</v>
      </c>
      <c r="E7">
        <v>391621</v>
      </c>
      <c r="F7">
        <v>9.9600000000000009</v>
      </c>
      <c r="G7">
        <v>22029</v>
      </c>
      <c r="H7" s="10">
        <f>((Engagement_Summary[[#This Row],[New_Followers]]-Engagement_Summary[[#This Row],[Unfollows]]) / Engagement_Summary[[#This Row],[Total_Followers]] )</f>
        <v>1.1541771253329111E-3</v>
      </c>
    </row>
    <row r="8" spans="1:15" x14ac:dyDescent="0.3">
      <c r="A8" s="9">
        <v>45460</v>
      </c>
      <c r="B8" t="s">
        <v>10</v>
      </c>
      <c r="C8">
        <v>881</v>
      </c>
      <c r="D8">
        <v>291</v>
      </c>
      <c r="E8">
        <v>95885</v>
      </c>
      <c r="F8">
        <v>5.29</v>
      </c>
      <c r="G8">
        <v>12391</v>
      </c>
      <c r="H8" s="10">
        <f>((Engagement_Summary[[#This Row],[New_Followers]]-Engagement_Summary[[#This Row],[Unfollows]]) / Engagement_Summary[[#This Row],[Total_Followers]] )</f>
        <v>6.1532043593888509E-3</v>
      </c>
    </row>
    <row r="9" spans="1:15" x14ac:dyDescent="0.3">
      <c r="A9" s="9">
        <v>45460</v>
      </c>
      <c r="B9" t="s">
        <v>8</v>
      </c>
      <c r="C9">
        <v>1414</v>
      </c>
      <c r="D9">
        <v>131</v>
      </c>
      <c r="E9">
        <v>245947</v>
      </c>
      <c r="F9">
        <v>8.3000000000000007</v>
      </c>
      <c r="G9">
        <v>14477</v>
      </c>
      <c r="H9" s="10">
        <f>((Engagement_Summary[[#This Row],[New_Followers]]-Engagement_Summary[[#This Row],[Unfollows]]) / Engagement_Summary[[#This Row],[Total_Followers]] )</f>
        <v>5.2165710498603361E-3</v>
      </c>
    </row>
    <row r="10" spans="1:15" x14ac:dyDescent="0.3">
      <c r="A10" s="9">
        <v>45460</v>
      </c>
      <c r="B10" t="s">
        <v>11</v>
      </c>
      <c r="C10">
        <v>1472</v>
      </c>
      <c r="D10">
        <v>170</v>
      </c>
      <c r="E10">
        <v>250428</v>
      </c>
      <c r="F10">
        <v>4.66</v>
      </c>
      <c r="G10">
        <v>25040</v>
      </c>
      <c r="H10" s="10">
        <f>((Engagement_Summary[[#This Row],[New_Followers]]-Engagement_Summary[[#This Row],[Unfollows]]) / Engagement_Summary[[#This Row],[Total_Followers]] )</f>
        <v>5.1990991422684362E-3</v>
      </c>
    </row>
    <row r="11" spans="1:15" x14ac:dyDescent="0.3">
      <c r="A11" s="9">
        <v>45467</v>
      </c>
      <c r="B11" t="s">
        <v>10</v>
      </c>
      <c r="C11">
        <v>809</v>
      </c>
      <c r="D11">
        <v>197</v>
      </c>
      <c r="E11">
        <v>87186</v>
      </c>
      <c r="F11">
        <v>9.48</v>
      </c>
      <c r="G11">
        <v>22619</v>
      </c>
      <c r="H11" s="10">
        <f>((Engagement_Summary[[#This Row],[New_Followers]]-Engagement_Summary[[#This Row],[Unfollows]]) / Engagement_Summary[[#This Row],[Total_Followers]] )</f>
        <v>7.0194756038813571E-3</v>
      </c>
    </row>
    <row r="12" spans="1:15" x14ac:dyDescent="0.3">
      <c r="A12" s="9">
        <v>45467</v>
      </c>
      <c r="B12" t="s">
        <v>8</v>
      </c>
      <c r="C12">
        <v>1371</v>
      </c>
      <c r="D12">
        <v>250</v>
      </c>
      <c r="E12">
        <v>128620</v>
      </c>
      <c r="F12">
        <v>7.11</v>
      </c>
      <c r="G12">
        <v>12399</v>
      </c>
      <c r="H12" s="10">
        <f>((Engagement_Summary[[#This Row],[New_Followers]]-Engagement_Summary[[#This Row],[Unfollows]]) / Engagement_Summary[[#This Row],[Total_Followers]] )</f>
        <v>8.7155963302752298E-3</v>
      </c>
    </row>
    <row r="13" spans="1:15" x14ac:dyDescent="0.3">
      <c r="A13" s="9">
        <v>45467</v>
      </c>
      <c r="B13" t="s">
        <v>11</v>
      </c>
      <c r="C13">
        <v>844</v>
      </c>
      <c r="D13">
        <v>144</v>
      </c>
      <c r="E13">
        <v>126015</v>
      </c>
      <c r="F13">
        <v>9.65</v>
      </c>
      <c r="G13">
        <v>22456</v>
      </c>
      <c r="H13" s="10">
        <f>((Engagement_Summary[[#This Row],[New_Followers]]-Engagement_Summary[[#This Row],[Unfollows]]) / Engagement_Summary[[#This Row],[Total_Followers]] )</f>
        <v>5.5548942586200059E-3</v>
      </c>
    </row>
    <row r="14" spans="1:15" x14ac:dyDescent="0.3">
      <c r="A14" s="9">
        <v>45474</v>
      </c>
      <c r="B14" t="s">
        <v>10</v>
      </c>
      <c r="C14">
        <v>786</v>
      </c>
      <c r="D14">
        <v>72</v>
      </c>
      <c r="E14">
        <v>178615</v>
      </c>
      <c r="F14">
        <v>5.43</v>
      </c>
      <c r="G14">
        <v>19328</v>
      </c>
      <c r="H14" s="10">
        <f>((Engagement_Summary[[#This Row],[New_Followers]]-Engagement_Summary[[#This Row],[Unfollows]]) / Engagement_Summary[[#This Row],[Total_Followers]] )</f>
        <v>3.9974246283906723E-3</v>
      </c>
    </row>
    <row r="15" spans="1:15" x14ac:dyDescent="0.3">
      <c r="A15" s="9">
        <v>45474</v>
      </c>
      <c r="B15" t="s">
        <v>8</v>
      </c>
      <c r="C15">
        <v>845</v>
      </c>
      <c r="D15">
        <v>250</v>
      </c>
      <c r="E15">
        <v>218228</v>
      </c>
      <c r="F15">
        <v>4.5199999999999996</v>
      </c>
      <c r="G15">
        <v>21107</v>
      </c>
      <c r="H15" s="10">
        <f>((Engagement_Summary[[#This Row],[New_Followers]]-Engagement_Summary[[#This Row],[Unfollows]]) / Engagement_Summary[[#This Row],[Total_Followers]] )</f>
        <v>2.7265062228494967E-3</v>
      </c>
    </row>
    <row r="16" spans="1:15" x14ac:dyDescent="0.3">
      <c r="A16" s="9">
        <v>45474</v>
      </c>
      <c r="B16" t="s">
        <v>11</v>
      </c>
      <c r="C16">
        <v>1218</v>
      </c>
      <c r="D16">
        <v>101</v>
      </c>
      <c r="E16">
        <v>300397</v>
      </c>
      <c r="F16">
        <v>4.33</v>
      </c>
      <c r="G16">
        <v>12277</v>
      </c>
      <c r="H16" s="10">
        <f>((Engagement_Summary[[#This Row],[New_Followers]]-Engagement_Summary[[#This Row],[Unfollows]]) / Engagement_Summary[[#This Row],[Total_Followers]] )</f>
        <v>3.7184126339477423E-3</v>
      </c>
    </row>
    <row r="17" spans="1:8" x14ac:dyDescent="0.3">
      <c r="A17" s="9">
        <v>45481</v>
      </c>
      <c r="B17" t="s">
        <v>10</v>
      </c>
      <c r="C17">
        <v>797</v>
      </c>
      <c r="D17">
        <v>130</v>
      </c>
      <c r="E17">
        <v>340121</v>
      </c>
      <c r="F17">
        <v>8.52</v>
      </c>
      <c r="G17">
        <v>11684</v>
      </c>
      <c r="H17" s="10">
        <f>((Engagement_Summary[[#This Row],[New_Followers]]-Engagement_Summary[[#This Row],[Unfollows]]) / Engagement_Summary[[#This Row],[Total_Followers]] )</f>
        <v>1.9610667968164271E-3</v>
      </c>
    </row>
    <row r="18" spans="1:8" x14ac:dyDescent="0.3">
      <c r="A18" s="9">
        <v>45481</v>
      </c>
      <c r="B18" t="s">
        <v>8</v>
      </c>
      <c r="C18">
        <v>1471</v>
      </c>
      <c r="D18">
        <v>100</v>
      </c>
      <c r="E18">
        <v>76866</v>
      </c>
      <c r="F18">
        <v>8.5500000000000007</v>
      </c>
      <c r="G18">
        <v>14412</v>
      </c>
      <c r="H18" s="10">
        <f>((Engagement_Summary[[#This Row],[New_Followers]]-Engagement_Summary[[#This Row],[Unfollows]]) / Engagement_Summary[[#This Row],[Total_Followers]] )</f>
        <v>1.7836234485988603E-2</v>
      </c>
    </row>
    <row r="19" spans="1:8" x14ac:dyDescent="0.3">
      <c r="A19" s="9">
        <v>45481</v>
      </c>
      <c r="B19" t="s">
        <v>11</v>
      </c>
      <c r="C19">
        <v>1253</v>
      </c>
      <c r="D19">
        <v>136</v>
      </c>
      <c r="E19">
        <v>193131</v>
      </c>
      <c r="F19">
        <v>7.99</v>
      </c>
      <c r="G19">
        <v>15924</v>
      </c>
      <c r="H19" s="10">
        <f>((Engagement_Summary[[#This Row],[New_Followers]]-Engagement_Summary[[#This Row],[Unfollows]]) / Engagement_Summary[[#This Row],[Total_Followers]] )</f>
        <v>5.7836390843520723E-3</v>
      </c>
    </row>
    <row r="20" spans="1:8" x14ac:dyDescent="0.3">
      <c r="A20" s="9">
        <v>45488</v>
      </c>
      <c r="B20" t="s">
        <v>10</v>
      </c>
      <c r="C20">
        <v>616</v>
      </c>
      <c r="D20">
        <v>257</v>
      </c>
      <c r="E20">
        <v>169665</v>
      </c>
      <c r="F20">
        <v>6.31</v>
      </c>
      <c r="G20">
        <v>12390</v>
      </c>
      <c r="H20" s="10">
        <f>((Engagement_Summary[[#This Row],[New_Followers]]-Engagement_Summary[[#This Row],[Unfollows]]) / Engagement_Summary[[#This Row],[Total_Followers]] )</f>
        <v>2.1159343412017798E-3</v>
      </c>
    </row>
    <row r="21" spans="1:8" x14ac:dyDescent="0.3">
      <c r="A21" s="9">
        <v>45488</v>
      </c>
      <c r="B21" t="s">
        <v>8</v>
      </c>
      <c r="C21">
        <v>1308</v>
      </c>
      <c r="D21">
        <v>210</v>
      </c>
      <c r="E21">
        <v>263729</v>
      </c>
      <c r="F21">
        <v>8.5299999999999994</v>
      </c>
      <c r="G21">
        <v>25742</v>
      </c>
      <c r="H21" s="10">
        <f>((Engagement_Summary[[#This Row],[New_Followers]]-Engagement_Summary[[#This Row],[Unfollows]]) / Engagement_Summary[[#This Row],[Total_Followers]] )</f>
        <v>4.1633646660018432E-3</v>
      </c>
    </row>
    <row r="22" spans="1:8" x14ac:dyDescent="0.3">
      <c r="A22" s="9">
        <v>45488</v>
      </c>
      <c r="B22" t="s">
        <v>11</v>
      </c>
      <c r="C22">
        <v>981</v>
      </c>
      <c r="D22">
        <v>69</v>
      </c>
      <c r="E22">
        <v>206921</v>
      </c>
      <c r="F22">
        <v>8.42</v>
      </c>
      <c r="G22">
        <v>10495</v>
      </c>
      <c r="H22" s="10">
        <f>((Engagement_Summary[[#This Row],[New_Followers]]-Engagement_Summary[[#This Row],[Unfollows]]) / Engagement_Summary[[#This Row],[Total_Followers]] )</f>
        <v>4.4074791828765565E-3</v>
      </c>
    </row>
    <row r="23" spans="1:8" x14ac:dyDescent="0.3">
      <c r="A23" s="9">
        <v>45495</v>
      </c>
      <c r="B23" t="s">
        <v>10</v>
      </c>
      <c r="C23">
        <v>866</v>
      </c>
      <c r="D23">
        <v>74</v>
      </c>
      <c r="E23">
        <v>204121</v>
      </c>
      <c r="F23">
        <v>9.34</v>
      </c>
      <c r="G23">
        <v>7797</v>
      </c>
      <c r="H23" s="10">
        <f>((Engagement_Summary[[#This Row],[New_Followers]]-Engagement_Summary[[#This Row],[Unfollows]]) / Engagement_Summary[[#This Row],[Total_Followers]] )</f>
        <v>3.8800515380583087E-3</v>
      </c>
    </row>
    <row r="24" spans="1:8" x14ac:dyDescent="0.3">
      <c r="A24" s="9">
        <v>45495</v>
      </c>
      <c r="B24" t="s">
        <v>8</v>
      </c>
      <c r="C24">
        <v>547</v>
      </c>
      <c r="D24">
        <v>183</v>
      </c>
      <c r="E24">
        <v>266350</v>
      </c>
      <c r="F24">
        <v>5.65</v>
      </c>
      <c r="G24">
        <v>15595</v>
      </c>
      <c r="H24" s="10">
        <f>((Engagement_Summary[[#This Row],[New_Followers]]-Engagement_Summary[[#This Row],[Unfollows]]) / Engagement_Summary[[#This Row],[Total_Followers]] )</f>
        <v>1.3666228646517741E-3</v>
      </c>
    </row>
    <row r="25" spans="1:8" x14ac:dyDescent="0.3">
      <c r="A25" s="9">
        <v>45495</v>
      </c>
      <c r="B25" t="s">
        <v>11</v>
      </c>
      <c r="C25">
        <v>1241</v>
      </c>
      <c r="D25">
        <v>116</v>
      </c>
      <c r="E25">
        <v>380606</v>
      </c>
      <c r="F25">
        <v>4.2</v>
      </c>
      <c r="G25">
        <v>24617</v>
      </c>
      <c r="H25" s="10">
        <f>((Engagement_Summary[[#This Row],[New_Followers]]-Engagement_Summary[[#This Row],[Unfollows]]) / Engagement_Summary[[#This Row],[Total_Followers]] )</f>
        <v>2.9558125725816196E-3</v>
      </c>
    </row>
    <row r="26" spans="1:8" x14ac:dyDescent="0.3">
      <c r="A26" s="9">
        <v>45502</v>
      </c>
      <c r="B26" t="s">
        <v>10</v>
      </c>
      <c r="C26">
        <v>973</v>
      </c>
      <c r="D26">
        <v>104</v>
      </c>
      <c r="E26">
        <v>376358</v>
      </c>
      <c r="F26">
        <v>3.87</v>
      </c>
      <c r="G26">
        <v>9847</v>
      </c>
      <c r="H26" s="10">
        <f>((Engagement_Summary[[#This Row],[New_Followers]]-Engagement_Summary[[#This Row],[Unfollows]]) / Engagement_Summary[[#This Row],[Total_Followers]] )</f>
        <v>2.3089717768720206E-3</v>
      </c>
    </row>
    <row r="27" spans="1:8" x14ac:dyDescent="0.3">
      <c r="A27" s="9">
        <v>45502</v>
      </c>
      <c r="B27" t="s">
        <v>8</v>
      </c>
      <c r="C27">
        <v>611</v>
      </c>
      <c r="D27">
        <v>197</v>
      </c>
      <c r="E27">
        <v>79423</v>
      </c>
      <c r="F27">
        <v>5.82</v>
      </c>
      <c r="G27">
        <v>13644</v>
      </c>
      <c r="H27" s="10">
        <f>((Engagement_Summary[[#This Row],[New_Followers]]-Engagement_Summary[[#This Row],[Unfollows]]) / Engagement_Summary[[#This Row],[Total_Followers]] )</f>
        <v>5.2125958475504573E-3</v>
      </c>
    </row>
    <row r="28" spans="1:8" x14ac:dyDescent="0.3">
      <c r="A28" s="9">
        <v>45502</v>
      </c>
      <c r="B28" t="s">
        <v>11</v>
      </c>
      <c r="C28">
        <v>983</v>
      </c>
      <c r="D28">
        <v>134</v>
      </c>
      <c r="E28">
        <v>352178</v>
      </c>
      <c r="F28">
        <v>3.55</v>
      </c>
      <c r="G28">
        <v>11421</v>
      </c>
      <c r="H28" s="10">
        <f>((Engagement_Summary[[#This Row],[New_Followers]]-Engagement_Summary[[#This Row],[Unfollows]]) / Engagement_Summary[[#This Row],[Total_Followers]] )</f>
        <v>2.4107127645679174E-3</v>
      </c>
    </row>
    <row r="29" spans="1:8" x14ac:dyDescent="0.3">
      <c r="A29" s="9">
        <v>45509</v>
      </c>
      <c r="B29" t="s">
        <v>10</v>
      </c>
      <c r="C29">
        <v>1449</v>
      </c>
      <c r="D29">
        <v>96</v>
      </c>
      <c r="E29">
        <v>200636</v>
      </c>
      <c r="F29">
        <v>9.92</v>
      </c>
      <c r="G29">
        <v>15613</v>
      </c>
      <c r="H29" s="10">
        <f>((Engagement_Summary[[#This Row],[New_Followers]]-Engagement_Summary[[#This Row],[Unfollows]]) / Engagement_Summary[[#This Row],[Total_Followers]] )</f>
        <v>6.7435554935305723E-3</v>
      </c>
    </row>
    <row r="30" spans="1:8" x14ac:dyDescent="0.3">
      <c r="A30" s="9">
        <v>45509</v>
      </c>
      <c r="B30" t="s">
        <v>8</v>
      </c>
      <c r="C30">
        <v>752</v>
      </c>
      <c r="D30">
        <v>170</v>
      </c>
      <c r="E30">
        <v>132756</v>
      </c>
      <c r="F30">
        <v>8.17</v>
      </c>
      <c r="G30">
        <v>23900</v>
      </c>
      <c r="H30" s="10">
        <f>((Engagement_Summary[[#This Row],[New_Followers]]-Engagement_Summary[[#This Row],[Unfollows]]) / Engagement_Summary[[#This Row],[Total_Followers]] )</f>
        <v>4.3839826448522105E-3</v>
      </c>
    </row>
    <row r="31" spans="1:8" x14ac:dyDescent="0.3">
      <c r="A31" s="9">
        <v>45509</v>
      </c>
      <c r="B31" t="s">
        <v>11</v>
      </c>
      <c r="C31">
        <v>937</v>
      </c>
      <c r="D31">
        <v>179</v>
      </c>
      <c r="E31">
        <v>318098</v>
      </c>
      <c r="F31">
        <v>5.3</v>
      </c>
      <c r="G31">
        <v>5836</v>
      </c>
      <c r="H31" s="10">
        <f>((Engagement_Summary[[#This Row],[New_Followers]]-Engagement_Summary[[#This Row],[Unfollows]]) / Engagement_Summary[[#This Row],[Total_Followers]] )</f>
        <v>2.3829134417695176E-3</v>
      </c>
    </row>
    <row r="32" spans="1:8" x14ac:dyDescent="0.3">
      <c r="A32" s="9">
        <v>45516</v>
      </c>
      <c r="B32" t="s">
        <v>10</v>
      </c>
      <c r="C32">
        <v>1060</v>
      </c>
      <c r="D32">
        <v>83</v>
      </c>
      <c r="E32">
        <v>68724</v>
      </c>
      <c r="F32">
        <v>5.98</v>
      </c>
      <c r="G32">
        <v>5624</v>
      </c>
      <c r="H32" s="10">
        <f>((Engagement_Summary[[#This Row],[New_Followers]]-Engagement_Summary[[#This Row],[Unfollows]]) / Engagement_Summary[[#This Row],[Total_Followers]] )</f>
        <v>1.4216285431581398E-2</v>
      </c>
    </row>
    <row r="33" spans="1:8" x14ac:dyDescent="0.3">
      <c r="A33" s="9">
        <v>45516</v>
      </c>
      <c r="B33" t="s">
        <v>8</v>
      </c>
      <c r="C33">
        <v>1456</v>
      </c>
      <c r="D33">
        <v>265</v>
      </c>
      <c r="E33">
        <v>115505</v>
      </c>
      <c r="F33">
        <v>7.49</v>
      </c>
      <c r="G33">
        <v>10311</v>
      </c>
      <c r="H33" s="10">
        <f>((Engagement_Summary[[#This Row],[New_Followers]]-Engagement_Summary[[#This Row],[Unfollows]]) / Engagement_Summary[[#This Row],[Total_Followers]] )</f>
        <v>1.031124193757846E-2</v>
      </c>
    </row>
    <row r="34" spans="1:8" x14ac:dyDescent="0.3">
      <c r="A34" s="9">
        <v>45516</v>
      </c>
      <c r="B34" t="s">
        <v>11</v>
      </c>
      <c r="C34">
        <v>1109</v>
      </c>
      <c r="D34">
        <v>205</v>
      </c>
      <c r="E34">
        <v>276722</v>
      </c>
      <c r="F34">
        <v>9.3800000000000008</v>
      </c>
      <c r="G34">
        <v>8274</v>
      </c>
      <c r="H34" s="10">
        <f>((Engagement_Summary[[#This Row],[New_Followers]]-Engagement_Summary[[#This Row],[Unfollows]]) / Engagement_Summary[[#This Row],[Total_Followers]] )</f>
        <v>3.2668165162148292E-3</v>
      </c>
    </row>
    <row r="35" spans="1:8" x14ac:dyDescent="0.3">
      <c r="A35" s="9">
        <v>45523</v>
      </c>
      <c r="B35" t="s">
        <v>10</v>
      </c>
      <c r="C35">
        <v>1002</v>
      </c>
      <c r="D35">
        <v>93</v>
      </c>
      <c r="E35">
        <v>353538</v>
      </c>
      <c r="F35">
        <v>5.84</v>
      </c>
      <c r="G35">
        <v>6031</v>
      </c>
      <c r="H35" s="10">
        <f>((Engagement_Summary[[#This Row],[New_Followers]]-Engagement_Summary[[#This Row],[Unfollows]]) / Engagement_Summary[[#This Row],[Total_Followers]] )</f>
        <v>2.5711521816608116E-3</v>
      </c>
    </row>
    <row r="36" spans="1:8" x14ac:dyDescent="0.3">
      <c r="A36" s="9">
        <v>45523</v>
      </c>
      <c r="B36" t="s">
        <v>8</v>
      </c>
      <c r="C36">
        <v>571</v>
      </c>
      <c r="D36">
        <v>189</v>
      </c>
      <c r="E36">
        <v>61445</v>
      </c>
      <c r="F36">
        <v>5.41</v>
      </c>
      <c r="G36">
        <v>27829</v>
      </c>
      <c r="H36" s="10">
        <f>((Engagement_Summary[[#This Row],[New_Followers]]-Engagement_Summary[[#This Row],[Unfollows]]) / Engagement_Summary[[#This Row],[Total_Followers]] )</f>
        <v>6.2169419806330862E-3</v>
      </c>
    </row>
    <row r="37" spans="1:8" x14ac:dyDescent="0.3">
      <c r="A37" s="9">
        <v>45523</v>
      </c>
      <c r="B37" t="s">
        <v>11</v>
      </c>
      <c r="C37">
        <v>1240</v>
      </c>
      <c r="D37">
        <v>231</v>
      </c>
      <c r="E37">
        <v>165035</v>
      </c>
      <c r="F37">
        <v>6.05</v>
      </c>
      <c r="G37">
        <v>18267</v>
      </c>
      <c r="H37" s="10">
        <f>((Engagement_Summary[[#This Row],[New_Followers]]-Engagement_Summary[[#This Row],[Unfollows]]) / Engagement_Summary[[#This Row],[Total_Followers]] )</f>
        <v>6.1138546368952043E-3</v>
      </c>
    </row>
    <row r="38" spans="1:8" x14ac:dyDescent="0.3">
      <c r="A38" s="9">
        <v>45530</v>
      </c>
      <c r="B38" t="s">
        <v>10</v>
      </c>
      <c r="C38">
        <v>1154</v>
      </c>
      <c r="D38">
        <v>132</v>
      </c>
      <c r="E38">
        <v>194595</v>
      </c>
      <c r="F38">
        <v>7.54</v>
      </c>
      <c r="G38">
        <v>26624</v>
      </c>
      <c r="H38" s="10">
        <f>((Engagement_Summary[[#This Row],[New_Followers]]-Engagement_Summary[[#This Row],[Unfollows]]) / Engagement_Summary[[#This Row],[Total_Followers]] )</f>
        <v>5.2519335029163131E-3</v>
      </c>
    </row>
    <row r="39" spans="1:8" x14ac:dyDescent="0.3">
      <c r="A39" s="9">
        <v>45530</v>
      </c>
      <c r="B39" t="s">
        <v>8</v>
      </c>
      <c r="C39">
        <v>537</v>
      </c>
      <c r="D39">
        <v>275</v>
      </c>
      <c r="E39">
        <v>236238</v>
      </c>
      <c r="F39">
        <v>5.87</v>
      </c>
      <c r="G39">
        <v>26644</v>
      </c>
      <c r="H39" s="10">
        <f>((Engagement_Summary[[#This Row],[New_Followers]]-Engagement_Summary[[#This Row],[Unfollows]]) / Engagement_Summary[[#This Row],[Total_Followers]] )</f>
        <v>1.1090510417460359E-3</v>
      </c>
    </row>
    <row r="40" spans="1:8" x14ac:dyDescent="0.3">
      <c r="A40" s="9">
        <v>45530</v>
      </c>
      <c r="B40" t="s">
        <v>11</v>
      </c>
      <c r="C40">
        <v>1456</v>
      </c>
      <c r="D40">
        <v>290</v>
      </c>
      <c r="E40">
        <v>271044</v>
      </c>
      <c r="F40">
        <v>7.17</v>
      </c>
      <c r="G40">
        <v>13051</v>
      </c>
      <c r="H40" s="10">
        <f>((Engagement_Summary[[#This Row],[New_Followers]]-Engagement_Summary[[#This Row],[Unfollows]]) / Engagement_Summary[[#This Row],[Total_Followers]] )</f>
        <v>4.3018845648676966E-3</v>
      </c>
    </row>
    <row r="41" spans="1:8" x14ac:dyDescent="0.3">
      <c r="A41" s="9">
        <v>45537</v>
      </c>
      <c r="B41" t="s">
        <v>10</v>
      </c>
      <c r="C41">
        <v>721</v>
      </c>
      <c r="D41">
        <v>206</v>
      </c>
      <c r="E41">
        <v>334887</v>
      </c>
      <c r="F41">
        <v>6.05</v>
      </c>
      <c r="G41">
        <v>14217</v>
      </c>
      <c r="H41" s="10">
        <f>((Engagement_Summary[[#This Row],[New_Followers]]-Engagement_Summary[[#This Row],[Unfollows]]) / Engagement_Summary[[#This Row],[Total_Followers]] )</f>
        <v>1.5378321642822803E-3</v>
      </c>
    </row>
    <row r="42" spans="1:8" x14ac:dyDescent="0.3">
      <c r="A42" s="9">
        <v>45537</v>
      </c>
      <c r="B42" t="s">
        <v>8</v>
      </c>
      <c r="C42">
        <v>1098</v>
      </c>
      <c r="D42">
        <v>142</v>
      </c>
      <c r="E42">
        <v>359150</v>
      </c>
      <c r="F42">
        <v>7.51</v>
      </c>
      <c r="G42">
        <v>16385</v>
      </c>
      <c r="H42" s="10">
        <f>((Engagement_Summary[[#This Row],[New_Followers]]-Engagement_Summary[[#This Row],[Unfollows]]) / Engagement_Summary[[#This Row],[Total_Followers]] )</f>
        <v>2.6618404566337186E-3</v>
      </c>
    </row>
    <row r="43" spans="1:8" x14ac:dyDescent="0.3">
      <c r="A43" s="9">
        <v>45537</v>
      </c>
      <c r="B43" t="s">
        <v>11</v>
      </c>
      <c r="C43">
        <v>1096</v>
      </c>
      <c r="D43">
        <v>65</v>
      </c>
      <c r="E43">
        <v>358295</v>
      </c>
      <c r="F43">
        <v>7.66</v>
      </c>
      <c r="G43">
        <v>24548</v>
      </c>
      <c r="H43" s="10">
        <f>((Engagement_Summary[[#This Row],[New_Followers]]-Engagement_Summary[[#This Row],[Unfollows]]) / Engagement_Summary[[#This Row],[Total_Followers]] )</f>
        <v>2.8775171297394605E-3</v>
      </c>
    </row>
    <row r="44" spans="1:8" x14ac:dyDescent="0.3">
      <c r="A44" s="9">
        <v>45544</v>
      </c>
      <c r="B44" t="s">
        <v>10</v>
      </c>
      <c r="C44">
        <v>912</v>
      </c>
      <c r="D44">
        <v>275</v>
      </c>
      <c r="E44">
        <v>368454</v>
      </c>
      <c r="F44">
        <v>6.03</v>
      </c>
      <c r="G44">
        <v>9195</v>
      </c>
      <c r="H44" s="10">
        <f>((Engagement_Summary[[#This Row],[New_Followers]]-Engagement_Summary[[#This Row],[Unfollows]]) / Engagement_Summary[[#This Row],[Total_Followers]] )</f>
        <v>1.7288453918263881E-3</v>
      </c>
    </row>
    <row r="45" spans="1:8" x14ac:dyDescent="0.3">
      <c r="A45" s="9">
        <v>45544</v>
      </c>
      <c r="B45" t="s">
        <v>8</v>
      </c>
      <c r="C45">
        <v>1430</v>
      </c>
      <c r="D45">
        <v>162</v>
      </c>
      <c r="E45">
        <v>269082</v>
      </c>
      <c r="F45">
        <v>3.4</v>
      </c>
      <c r="G45">
        <v>18071</v>
      </c>
      <c r="H45" s="10">
        <f>((Engagement_Summary[[#This Row],[New_Followers]]-Engagement_Summary[[#This Row],[Unfollows]]) / Engagement_Summary[[#This Row],[Total_Followers]] )</f>
        <v>4.7123181781018424E-3</v>
      </c>
    </row>
    <row r="46" spans="1:8" x14ac:dyDescent="0.3">
      <c r="A46" s="9">
        <v>45544</v>
      </c>
      <c r="B46" t="s">
        <v>11</v>
      </c>
      <c r="C46">
        <v>854</v>
      </c>
      <c r="D46">
        <v>129</v>
      </c>
      <c r="E46">
        <v>310903</v>
      </c>
      <c r="F46">
        <v>7.83</v>
      </c>
      <c r="G46">
        <v>16875</v>
      </c>
      <c r="H46" s="10">
        <f>((Engagement_Summary[[#This Row],[New_Followers]]-Engagement_Summary[[#This Row],[Unfollows]]) / Engagement_Summary[[#This Row],[Total_Followers]] )</f>
        <v>2.3319170287838973E-3</v>
      </c>
    </row>
    <row r="47" spans="1:8" x14ac:dyDescent="0.3">
      <c r="A47" s="9">
        <v>45551</v>
      </c>
      <c r="B47" t="s">
        <v>10</v>
      </c>
      <c r="C47">
        <v>681</v>
      </c>
      <c r="D47">
        <v>210</v>
      </c>
      <c r="E47">
        <v>248581</v>
      </c>
      <c r="F47">
        <v>8.76</v>
      </c>
      <c r="G47">
        <v>9567</v>
      </c>
      <c r="H47" s="10">
        <f>((Engagement_Summary[[#This Row],[New_Followers]]-Engagement_Summary[[#This Row],[Unfollows]]) / Engagement_Summary[[#This Row],[Total_Followers]] )</f>
        <v>1.8947546272643525E-3</v>
      </c>
    </row>
    <row r="48" spans="1:8" x14ac:dyDescent="0.3">
      <c r="A48" s="9">
        <v>45551</v>
      </c>
      <c r="B48" t="s">
        <v>8</v>
      </c>
      <c r="C48">
        <v>1373</v>
      </c>
      <c r="D48">
        <v>82</v>
      </c>
      <c r="E48">
        <v>371015</v>
      </c>
      <c r="F48">
        <v>9.52</v>
      </c>
      <c r="G48">
        <v>20306</v>
      </c>
      <c r="H48" s="10">
        <f>((Engagement_Summary[[#This Row],[New_Followers]]-Engagement_Summary[[#This Row],[Unfollows]]) / Engagement_Summary[[#This Row],[Total_Followers]] )</f>
        <v>3.4796436801746559E-3</v>
      </c>
    </row>
    <row r="49" spans="1:8" x14ac:dyDescent="0.3">
      <c r="A49" s="9">
        <v>45551</v>
      </c>
      <c r="B49" t="s">
        <v>11</v>
      </c>
      <c r="C49">
        <v>685</v>
      </c>
      <c r="D49">
        <v>285</v>
      </c>
      <c r="E49">
        <v>177452</v>
      </c>
      <c r="F49">
        <v>3.36</v>
      </c>
      <c r="G49">
        <v>21134</v>
      </c>
      <c r="H49" s="10">
        <f>((Engagement_Summary[[#This Row],[New_Followers]]-Engagement_Summary[[#This Row],[Unfollows]]) / Engagement_Summary[[#This Row],[Total_Followers]] )</f>
        <v>2.2541306944976669E-3</v>
      </c>
    </row>
    <row r="50" spans="1:8" x14ac:dyDescent="0.3">
      <c r="A50" s="9">
        <v>45558</v>
      </c>
      <c r="B50" t="s">
        <v>10</v>
      </c>
      <c r="C50">
        <v>1290</v>
      </c>
      <c r="D50">
        <v>177</v>
      </c>
      <c r="E50">
        <v>80745</v>
      </c>
      <c r="F50">
        <v>9.2200000000000006</v>
      </c>
      <c r="G50">
        <v>26872</v>
      </c>
      <c r="H50" s="10">
        <f>((Engagement_Summary[[#This Row],[New_Followers]]-Engagement_Summary[[#This Row],[Unfollows]]) / Engagement_Summary[[#This Row],[Total_Followers]] )</f>
        <v>1.3784135240572171E-2</v>
      </c>
    </row>
    <row r="51" spans="1:8" x14ac:dyDescent="0.3">
      <c r="A51" s="9">
        <v>45558</v>
      </c>
      <c r="B51" t="s">
        <v>8</v>
      </c>
      <c r="C51">
        <v>1437</v>
      </c>
      <c r="D51">
        <v>239</v>
      </c>
      <c r="E51">
        <v>362441</v>
      </c>
      <c r="F51">
        <v>5.57</v>
      </c>
      <c r="G51">
        <v>10253</v>
      </c>
      <c r="H51" s="10">
        <f>((Engagement_Summary[[#This Row],[New_Followers]]-Engagement_Summary[[#This Row],[Unfollows]]) / Engagement_Summary[[#This Row],[Total_Followers]] )</f>
        <v>3.305365562946797E-3</v>
      </c>
    </row>
    <row r="52" spans="1:8" x14ac:dyDescent="0.3">
      <c r="A52" s="9">
        <v>45558</v>
      </c>
      <c r="B52" t="s">
        <v>11</v>
      </c>
      <c r="C52">
        <v>769</v>
      </c>
      <c r="D52">
        <v>295</v>
      </c>
      <c r="E52">
        <v>344771</v>
      </c>
      <c r="F52">
        <v>8.06</v>
      </c>
      <c r="G52">
        <v>23963</v>
      </c>
      <c r="H52" s="10">
        <f>((Engagement_Summary[[#This Row],[New_Followers]]-Engagement_Summary[[#This Row],[Unfollows]]) / Engagement_Summary[[#This Row],[Total_Followers]] )</f>
        <v>1.3748256088824177E-3</v>
      </c>
    </row>
    <row r="53" spans="1:8" x14ac:dyDescent="0.3">
      <c r="A53" s="9">
        <v>45565</v>
      </c>
      <c r="B53" t="s">
        <v>10</v>
      </c>
      <c r="C53">
        <v>1416</v>
      </c>
      <c r="D53">
        <v>284</v>
      </c>
      <c r="E53">
        <v>374952</v>
      </c>
      <c r="F53">
        <v>3.45</v>
      </c>
      <c r="G53">
        <v>11335</v>
      </c>
      <c r="H53" s="10">
        <f>((Engagement_Summary[[#This Row],[New_Followers]]-Engagement_Summary[[#This Row],[Unfollows]]) / Engagement_Summary[[#This Row],[Total_Followers]] )</f>
        <v>3.0190531054641659E-3</v>
      </c>
    </row>
    <row r="54" spans="1:8" x14ac:dyDescent="0.3">
      <c r="A54" s="9">
        <v>45565</v>
      </c>
      <c r="B54" t="s">
        <v>8</v>
      </c>
      <c r="C54">
        <v>998</v>
      </c>
      <c r="D54">
        <v>154</v>
      </c>
      <c r="E54">
        <v>179781</v>
      </c>
      <c r="F54">
        <v>9.58</v>
      </c>
      <c r="G54">
        <v>12115</v>
      </c>
      <c r="H54" s="10">
        <f>((Engagement_Summary[[#This Row],[New_Followers]]-Engagement_Summary[[#This Row],[Unfollows]]) / Engagement_Summary[[#This Row],[Total_Followers]] )</f>
        <v>4.6946006530167259E-3</v>
      </c>
    </row>
    <row r="55" spans="1:8" x14ac:dyDescent="0.3">
      <c r="A55" s="9">
        <v>45565</v>
      </c>
      <c r="B55" t="s">
        <v>11</v>
      </c>
      <c r="C55">
        <v>1421</v>
      </c>
      <c r="D55">
        <v>246</v>
      </c>
      <c r="E55">
        <v>358581</v>
      </c>
      <c r="F55">
        <v>8.8800000000000008</v>
      </c>
      <c r="G55">
        <v>24358</v>
      </c>
      <c r="H55" s="10">
        <f>((Engagement_Summary[[#This Row],[New_Followers]]-Engagement_Summary[[#This Row],[Unfollows]]) / Engagement_Summary[[#This Row],[Total_Followers]] )</f>
        <v>3.2768049617799048E-3</v>
      </c>
    </row>
    <row r="56" spans="1:8" x14ac:dyDescent="0.3">
      <c r="A56" s="9">
        <v>45572</v>
      </c>
      <c r="B56" t="s">
        <v>10</v>
      </c>
      <c r="C56">
        <v>764</v>
      </c>
      <c r="D56">
        <v>205</v>
      </c>
      <c r="E56">
        <v>319294</v>
      </c>
      <c r="F56">
        <v>6.23</v>
      </c>
      <c r="G56">
        <v>12181</v>
      </c>
      <c r="H56" s="10">
        <f>((Engagement_Summary[[#This Row],[New_Followers]]-Engagement_Summary[[#This Row],[Unfollows]]) / Engagement_Summary[[#This Row],[Total_Followers]] )</f>
        <v>1.7507375647522346E-3</v>
      </c>
    </row>
    <row r="57" spans="1:8" x14ac:dyDescent="0.3">
      <c r="A57" s="9">
        <v>45572</v>
      </c>
      <c r="B57" t="s">
        <v>8</v>
      </c>
      <c r="C57">
        <v>678</v>
      </c>
      <c r="D57">
        <v>124</v>
      </c>
      <c r="E57">
        <v>192022</v>
      </c>
      <c r="F57">
        <v>8.4499999999999993</v>
      </c>
      <c r="G57">
        <v>17729</v>
      </c>
      <c r="H57" s="10">
        <f>((Engagement_Summary[[#This Row],[New_Followers]]-Engagement_Summary[[#This Row],[Unfollows]]) / Engagement_Summary[[#This Row],[Total_Followers]] )</f>
        <v>2.8850860838862216E-3</v>
      </c>
    </row>
    <row r="58" spans="1:8" x14ac:dyDescent="0.3">
      <c r="A58" s="9">
        <v>45572</v>
      </c>
      <c r="B58" t="s">
        <v>11</v>
      </c>
      <c r="C58">
        <v>1328</v>
      </c>
      <c r="D58">
        <v>103</v>
      </c>
      <c r="E58">
        <v>151462</v>
      </c>
      <c r="F58">
        <v>8.4</v>
      </c>
      <c r="G58">
        <v>10881</v>
      </c>
      <c r="H58" s="10">
        <f>((Engagement_Summary[[#This Row],[New_Followers]]-Engagement_Summary[[#This Row],[Unfollows]]) / Engagement_Summary[[#This Row],[Total_Followers]] )</f>
        <v>8.0878372132944243E-3</v>
      </c>
    </row>
    <row r="59" spans="1:8" x14ac:dyDescent="0.3">
      <c r="A59" s="9">
        <v>45579</v>
      </c>
      <c r="B59" t="s">
        <v>10</v>
      </c>
      <c r="C59">
        <v>1161</v>
      </c>
      <c r="D59">
        <v>269</v>
      </c>
      <c r="E59">
        <v>188193</v>
      </c>
      <c r="F59">
        <v>7.34</v>
      </c>
      <c r="G59">
        <v>18576</v>
      </c>
      <c r="H59" s="10">
        <f>((Engagement_Summary[[#This Row],[New_Followers]]-Engagement_Summary[[#This Row],[Unfollows]]) / Engagement_Summary[[#This Row],[Total_Followers]] )</f>
        <v>4.7398149771776844E-3</v>
      </c>
    </row>
    <row r="60" spans="1:8" x14ac:dyDescent="0.3">
      <c r="A60" s="9">
        <v>45579</v>
      </c>
      <c r="B60" t="s">
        <v>8</v>
      </c>
      <c r="C60">
        <v>588</v>
      </c>
      <c r="D60">
        <v>52</v>
      </c>
      <c r="E60">
        <v>292040</v>
      </c>
      <c r="F60">
        <v>8.14</v>
      </c>
      <c r="G60">
        <v>9383</v>
      </c>
      <c r="H60" s="10">
        <f>((Engagement_Summary[[#This Row],[New_Followers]]-Engagement_Summary[[#This Row],[Unfollows]]) / Engagement_Summary[[#This Row],[Total_Followers]] )</f>
        <v>1.8353650184906177E-3</v>
      </c>
    </row>
    <row r="61" spans="1:8" x14ac:dyDescent="0.3">
      <c r="A61" s="9">
        <v>45579</v>
      </c>
      <c r="B61" t="s">
        <v>11</v>
      </c>
      <c r="C61">
        <v>1457</v>
      </c>
      <c r="D61">
        <v>215</v>
      </c>
      <c r="E61">
        <v>325325</v>
      </c>
      <c r="F61">
        <v>9.58</v>
      </c>
      <c r="G61">
        <v>14178</v>
      </c>
      <c r="H61" s="10">
        <f>((Engagement_Summary[[#This Row],[New_Followers]]-Engagement_Summary[[#This Row],[Unfollows]]) / Engagement_Summary[[#This Row],[Total_Followers]] )</f>
        <v>3.8177207407976638E-3</v>
      </c>
    </row>
    <row r="62" spans="1:8" x14ac:dyDescent="0.3">
      <c r="A62" s="9">
        <v>45586</v>
      </c>
      <c r="B62" t="s">
        <v>10</v>
      </c>
      <c r="C62">
        <v>1190</v>
      </c>
      <c r="D62">
        <v>242</v>
      </c>
      <c r="E62">
        <v>86849</v>
      </c>
      <c r="F62">
        <v>8.06</v>
      </c>
      <c r="G62">
        <v>21254</v>
      </c>
      <c r="H62" s="10">
        <f>((Engagement_Summary[[#This Row],[New_Followers]]-Engagement_Summary[[#This Row],[Unfollows]]) / Engagement_Summary[[#This Row],[Total_Followers]] )</f>
        <v>1.0915497012055407E-2</v>
      </c>
    </row>
    <row r="63" spans="1:8" x14ac:dyDescent="0.3">
      <c r="A63" s="9">
        <v>45586</v>
      </c>
      <c r="B63" t="s">
        <v>8</v>
      </c>
      <c r="C63">
        <v>886</v>
      </c>
      <c r="D63">
        <v>124</v>
      </c>
      <c r="E63">
        <v>141161</v>
      </c>
      <c r="F63">
        <v>8.19</v>
      </c>
      <c r="G63">
        <v>14215</v>
      </c>
      <c r="H63" s="10">
        <f>((Engagement_Summary[[#This Row],[New_Followers]]-Engagement_Summary[[#This Row],[Unfollows]]) / Engagement_Summary[[#This Row],[Total_Followers]] )</f>
        <v>5.3980915408646862E-3</v>
      </c>
    </row>
    <row r="64" spans="1:8" x14ac:dyDescent="0.3">
      <c r="A64" s="9">
        <v>45586</v>
      </c>
      <c r="B64" t="s">
        <v>11</v>
      </c>
      <c r="C64">
        <v>1237</v>
      </c>
      <c r="D64">
        <v>155</v>
      </c>
      <c r="E64">
        <v>149916</v>
      </c>
      <c r="F64">
        <v>4.4800000000000004</v>
      </c>
      <c r="G64">
        <v>16921</v>
      </c>
      <c r="H64" s="10">
        <f>((Engagement_Summary[[#This Row],[New_Followers]]-Engagement_Summary[[#This Row],[Unfollows]]) / Engagement_Summary[[#This Row],[Total_Followers]] )</f>
        <v>7.2173750633688196E-3</v>
      </c>
    </row>
    <row r="65" spans="1:8" x14ac:dyDescent="0.3">
      <c r="A65" s="9">
        <v>45593</v>
      </c>
      <c r="B65" t="s">
        <v>10</v>
      </c>
      <c r="C65">
        <v>1435</v>
      </c>
      <c r="D65">
        <v>261</v>
      </c>
      <c r="E65">
        <v>308533</v>
      </c>
      <c r="F65">
        <v>4.5199999999999996</v>
      </c>
      <c r="G65">
        <v>25130</v>
      </c>
      <c r="H65" s="10">
        <f>((Engagement_Summary[[#This Row],[New_Followers]]-Engagement_Summary[[#This Row],[Unfollows]]) / Engagement_Summary[[#This Row],[Total_Followers]] )</f>
        <v>3.8051035059458792E-3</v>
      </c>
    </row>
    <row r="66" spans="1:8" x14ac:dyDescent="0.3">
      <c r="A66" s="9">
        <v>45593</v>
      </c>
      <c r="B66" t="s">
        <v>8</v>
      </c>
      <c r="C66">
        <v>746</v>
      </c>
      <c r="D66">
        <v>282</v>
      </c>
      <c r="E66">
        <v>293894</v>
      </c>
      <c r="F66">
        <v>5.42</v>
      </c>
      <c r="G66">
        <v>25537</v>
      </c>
      <c r="H66" s="10">
        <f>((Engagement_Summary[[#This Row],[New_Followers]]-Engagement_Summary[[#This Row],[Unfollows]]) / Engagement_Summary[[#This Row],[Total_Followers]] )</f>
        <v>1.5788005199153436E-3</v>
      </c>
    </row>
    <row r="67" spans="1:8" x14ac:dyDescent="0.3">
      <c r="A67" s="9">
        <v>45593</v>
      </c>
      <c r="B67" t="s">
        <v>11</v>
      </c>
      <c r="C67">
        <v>759</v>
      </c>
      <c r="D67">
        <v>216</v>
      </c>
      <c r="E67">
        <v>147656</v>
      </c>
      <c r="F67">
        <v>4.08</v>
      </c>
      <c r="G67">
        <v>24943</v>
      </c>
      <c r="H67" s="10">
        <f>((Engagement_Summary[[#This Row],[New_Followers]]-Engagement_Summary[[#This Row],[Unfollows]]) / Engagement_Summary[[#This Row],[Total_Followers]] )</f>
        <v>3.6774665438586984E-3</v>
      </c>
    </row>
    <row r="68" spans="1:8" x14ac:dyDescent="0.3">
      <c r="A68" s="9">
        <v>45600</v>
      </c>
      <c r="B68" t="s">
        <v>10</v>
      </c>
      <c r="C68">
        <v>1437</v>
      </c>
      <c r="D68">
        <v>235</v>
      </c>
      <c r="E68">
        <v>326791</v>
      </c>
      <c r="F68">
        <v>4.0599999999999996</v>
      </c>
      <c r="G68">
        <v>14563</v>
      </c>
      <c r="H68" s="10">
        <f>((Engagement_Summary[[#This Row],[New_Followers]]-Engagement_Summary[[#This Row],[Unfollows]]) / Engagement_Summary[[#This Row],[Total_Followers]] )</f>
        <v>3.6781918718691762E-3</v>
      </c>
    </row>
    <row r="69" spans="1:8" x14ac:dyDescent="0.3">
      <c r="A69" s="9">
        <v>45600</v>
      </c>
      <c r="B69" t="s">
        <v>8</v>
      </c>
      <c r="C69">
        <v>1463</v>
      </c>
      <c r="D69">
        <v>73</v>
      </c>
      <c r="E69">
        <v>348877</v>
      </c>
      <c r="F69">
        <v>9.91</v>
      </c>
      <c r="G69">
        <v>26273</v>
      </c>
      <c r="H69" s="10">
        <f>((Engagement_Summary[[#This Row],[New_Followers]]-Engagement_Summary[[#This Row],[Unfollows]]) / Engagement_Summary[[#This Row],[Total_Followers]] )</f>
        <v>3.9842122008616216E-3</v>
      </c>
    </row>
    <row r="70" spans="1:8" x14ac:dyDescent="0.3">
      <c r="A70" s="9">
        <v>45600</v>
      </c>
      <c r="B70" t="s">
        <v>11</v>
      </c>
      <c r="C70">
        <v>1208</v>
      </c>
      <c r="D70">
        <v>224</v>
      </c>
      <c r="E70">
        <v>122730</v>
      </c>
      <c r="F70">
        <v>8.7200000000000006</v>
      </c>
      <c r="G70">
        <v>10858</v>
      </c>
      <c r="H70" s="10">
        <f>((Engagement_Summary[[#This Row],[New_Followers]]-Engagement_Summary[[#This Row],[Unfollows]]) / Engagement_Summary[[#This Row],[Total_Followers]] )</f>
        <v>8.0175996088975802E-3</v>
      </c>
    </row>
    <row r="71" spans="1:8" x14ac:dyDescent="0.3">
      <c r="A71" s="9">
        <v>45607</v>
      </c>
      <c r="B71" t="s">
        <v>10</v>
      </c>
      <c r="C71">
        <v>1391</v>
      </c>
      <c r="D71">
        <v>187</v>
      </c>
      <c r="E71">
        <v>306508</v>
      </c>
      <c r="F71">
        <v>8.3800000000000008</v>
      </c>
      <c r="G71">
        <v>25038</v>
      </c>
      <c r="H71" s="10">
        <f>((Engagement_Summary[[#This Row],[New_Followers]]-Engagement_Summary[[#This Row],[Unfollows]]) / Engagement_Summary[[#This Row],[Total_Followers]] )</f>
        <v>3.9281193313061976E-3</v>
      </c>
    </row>
    <row r="72" spans="1:8" x14ac:dyDescent="0.3">
      <c r="A72" s="9">
        <v>45607</v>
      </c>
      <c r="B72" t="s">
        <v>8</v>
      </c>
      <c r="C72">
        <v>655</v>
      </c>
      <c r="D72">
        <v>123</v>
      </c>
      <c r="E72">
        <v>202472</v>
      </c>
      <c r="F72">
        <v>7.56</v>
      </c>
      <c r="G72">
        <v>9092</v>
      </c>
      <c r="H72" s="10">
        <f>((Engagement_Summary[[#This Row],[New_Followers]]-Engagement_Summary[[#This Row],[Unfollows]]) / Engagement_Summary[[#This Row],[Total_Followers]] )</f>
        <v>2.6275238057607967E-3</v>
      </c>
    </row>
    <row r="73" spans="1:8" x14ac:dyDescent="0.3">
      <c r="A73" s="9">
        <v>45607</v>
      </c>
      <c r="B73" t="s">
        <v>11</v>
      </c>
      <c r="C73">
        <v>1148</v>
      </c>
      <c r="D73">
        <v>90</v>
      </c>
      <c r="E73">
        <v>227249</v>
      </c>
      <c r="F73">
        <v>7.24</v>
      </c>
      <c r="G73">
        <v>17662</v>
      </c>
      <c r="H73" s="10">
        <f>((Engagement_Summary[[#This Row],[New_Followers]]-Engagement_Summary[[#This Row],[Unfollows]]) / Engagement_Summary[[#This Row],[Total_Followers]] )</f>
        <v>4.6556860536239985E-3</v>
      </c>
    </row>
    <row r="74" spans="1:8" x14ac:dyDescent="0.3">
      <c r="A74" s="9">
        <v>45614</v>
      </c>
      <c r="B74" t="s">
        <v>10</v>
      </c>
      <c r="C74">
        <v>946</v>
      </c>
      <c r="D74">
        <v>270</v>
      </c>
      <c r="E74">
        <v>246567</v>
      </c>
      <c r="F74">
        <v>4.53</v>
      </c>
      <c r="G74">
        <v>5924</v>
      </c>
      <c r="H74" s="10">
        <f>((Engagement_Summary[[#This Row],[New_Followers]]-Engagement_Summary[[#This Row],[Unfollows]]) / Engagement_Summary[[#This Row],[Total_Followers]] )</f>
        <v>2.741648314656868E-3</v>
      </c>
    </row>
    <row r="75" spans="1:8" x14ac:dyDescent="0.3">
      <c r="A75" s="9">
        <v>45614</v>
      </c>
      <c r="B75" t="s">
        <v>8</v>
      </c>
      <c r="C75">
        <v>791</v>
      </c>
      <c r="D75">
        <v>214</v>
      </c>
      <c r="E75">
        <v>114738</v>
      </c>
      <c r="F75">
        <v>6.62</v>
      </c>
      <c r="G75">
        <v>25347</v>
      </c>
      <c r="H75" s="10">
        <f>((Engagement_Summary[[#This Row],[New_Followers]]-Engagement_Summary[[#This Row],[Unfollows]]) / Engagement_Summary[[#This Row],[Total_Followers]] )</f>
        <v>5.0288483327232481E-3</v>
      </c>
    </row>
    <row r="76" spans="1:8" x14ac:dyDescent="0.3">
      <c r="A76" s="9">
        <v>45614</v>
      </c>
      <c r="B76" t="s">
        <v>11</v>
      </c>
      <c r="C76">
        <v>793</v>
      </c>
      <c r="D76">
        <v>111</v>
      </c>
      <c r="E76">
        <v>333500</v>
      </c>
      <c r="F76">
        <v>6.36</v>
      </c>
      <c r="G76">
        <v>8910</v>
      </c>
      <c r="H76" s="10">
        <f>((Engagement_Summary[[#This Row],[New_Followers]]-Engagement_Summary[[#This Row],[Unfollows]]) / Engagement_Summary[[#This Row],[Total_Followers]] )</f>
        <v>2.0449775112443779E-3</v>
      </c>
    </row>
    <row r="77" spans="1:8" x14ac:dyDescent="0.3">
      <c r="A77" s="9">
        <v>45621</v>
      </c>
      <c r="B77" t="s">
        <v>10</v>
      </c>
      <c r="C77">
        <v>663</v>
      </c>
      <c r="D77">
        <v>213</v>
      </c>
      <c r="E77">
        <v>352677</v>
      </c>
      <c r="F77">
        <v>9</v>
      </c>
      <c r="G77">
        <v>20438</v>
      </c>
      <c r="H77" s="10">
        <f>((Engagement_Summary[[#This Row],[New_Followers]]-Engagement_Summary[[#This Row],[Unfollows]]) / Engagement_Summary[[#This Row],[Total_Followers]] )</f>
        <v>1.2759550523566889E-3</v>
      </c>
    </row>
    <row r="78" spans="1:8" x14ac:dyDescent="0.3">
      <c r="A78" s="9">
        <v>45621</v>
      </c>
      <c r="B78" t="s">
        <v>8</v>
      </c>
      <c r="C78">
        <v>954</v>
      </c>
      <c r="D78">
        <v>271</v>
      </c>
      <c r="E78">
        <v>160936</v>
      </c>
      <c r="F78">
        <v>8.83</v>
      </c>
      <c r="G78">
        <v>8760</v>
      </c>
      <c r="H78" s="10">
        <f>((Engagement_Summary[[#This Row],[New_Followers]]-Engagement_Summary[[#This Row],[Unfollows]]) / Engagement_Summary[[#This Row],[Total_Followers]] )</f>
        <v>4.2439230501565839E-3</v>
      </c>
    </row>
    <row r="79" spans="1:8" x14ac:dyDescent="0.3">
      <c r="A79" s="9">
        <v>45621</v>
      </c>
      <c r="B79" t="s">
        <v>11</v>
      </c>
      <c r="C79">
        <v>1313</v>
      </c>
      <c r="D79">
        <v>159</v>
      </c>
      <c r="E79">
        <v>197183</v>
      </c>
      <c r="F79">
        <v>9.7100000000000009</v>
      </c>
      <c r="G79">
        <v>6625</v>
      </c>
      <c r="H79" s="10">
        <f>((Engagement_Summary[[#This Row],[New_Followers]]-Engagement_Summary[[#This Row],[Unfollows]]) / Engagement_Summary[[#This Row],[Total_Followers]] )</f>
        <v>5.8524314976443207E-3</v>
      </c>
    </row>
    <row r="80" spans="1:8" x14ac:dyDescent="0.3">
      <c r="A80" s="9">
        <v>45628</v>
      </c>
      <c r="B80" t="s">
        <v>10</v>
      </c>
      <c r="C80">
        <v>895</v>
      </c>
      <c r="D80">
        <v>87</v>
      </c>
      <c r="E80">
        <v>171271</v>
      </c>
      <c r="F80">
        <v>6.68</v>
      </c>
      <c r="G80">
        <v>23329</v>
      </c>
      <c r="H80" s="10">
        <f>((Engagement_Summary[[#This Row],[New_Followers]]-Engagement_Summary[[#This Row],[Unfollows]]) / Engagement_Summary[[#This Row],[Total_Followers]] )</f>
        <v>4.7176696580273365E-3</v>
      </c>
    </row>
    <row r="81" spans="1:8" x14ac:dyDescent="0.3">
      <c r="A81" s="9">
        <v>45628</v>
      </c>
      <c r="B81" t="s">
        <v>8</v>
      </c>
      <c r="C81">
        <v>1027</v>
      </c>
      <c r="D81">
        <v>156</v>
      </c>
      <c r="E81">
        <v>111293</v>
      </c>
      <c r="F81">
        <v>5.51</v>
      </c>
      <c r="G81">
        <v>7299</v>
      </c>
      <c r="H81" s="10">
        <f>((Engagement_Summary[[#This Row],[New_Followers]]-Engagement_Summary[[#This Row],[Unfollows]]) / Engagement_Summary[[#This Row],[Total_Followers]] )</f>
        <v>7.8261885293774095E-3</v>
      </c>
    </row>
    <row r="82" spans="1:8" x14ac:dyDescent="0.3">
      <c r="A82" s="9">
        <v>45628</v>
      </c>
      <c r="B82" t="s">
        <v>11</v>
      </c>
      <c r="C82">
        <v>990</v>
      </c>
      <c r="D82">
        <v>286</v>
      </c>
      <c r="E82">
        <v>351493</v>
      </c>
      <c r="F82">
        <v>7.97</v>
      </c>
      <c r="G82">
        <v>14496</v>
      </c>
      <c r="H82" s="10">
        <f>((Engagement_Summary[[#This Row],[New_Followers]]-Engagement_Summary[[#This Row],[Unfollows]]) / Engagement_Summary[[#This Row],[Total_Followers]] )</f>
        <v>2.0028848369668811E-3</v>
      </c>
    </row>
    <row r="83" spans="1:8" x14ac:dyDescent="0.3">
      <c r="A83" s="9">
        <v>45635</v>
      </c>
      <c r="B83" t="s">
        <v>10</v>
      </c>
      <c r="C83">
        <v>875</v>
      </c>
      <c r="D83">
        <v>264</v>
      </c>
      <c r="E83">
        <v>345631</v>
      </c>
      <c r="F83">
        <v>9.18</v>
      </c>
      <c r="G83">
        <v>25703</v>
      </c>
      <c r="H83" s="10">
        <f>((Engagement_Summary[[#This Row],[New_Followers]]-Engagement_Summary[[#This Row],[Unfollows]]) / Engagement_Summary[[#This Row],[Total_Followers]] )</f>
        <v>1.7677812464738406E-3</v>
      </c>
    </row>
    <row r="84" spans="1:8" x14ac:dyDescent="0.3">
      <c r="A84" s="9">
        <v>45635</v>
      </c>
      <c r="B84" t="s">
        <v>8</v>
      </c>
      <c r="C84">
        <v>599</v>
      </c>
      <c r="D84">
        <v>194</v>
      </c>
      <c r="E84">
        <v>105622</v>
      </c>
      <c r="F84">
        <v>6.44</v>
      </c>
      <c r="G84">
        <v>15108</v>
      </c>
      <c r="H84" s="10">
        <f>((Engagement_Summary[[#This Row],[New_Followers]]-Engagement_Summary[[#This Row],[Unfollows]]) / Engagement_Summary[[#This Row],[Total_Followers]] )</f>
        <v>3.8344284334702996E-3</v>
      </c>
    </row>
    <row r="85" spans="1:8" x14ac:dyDescent="0.3">
      <c r="A85" s="9">
        <v>45635</v>
      </c>
      <c r="B85" t="s">
        <v>11</v>
      </c>
      <c r="C85">
        <v>630</v>
      </c>
      <c r="D85">
        <v>248</v>
      </c>
      <c r="E85">
        <v>119054</v>
      </c>
      <c r="F85">
        <v>5.0199999999999996</v>
      </c>
      <c r="G85">
        <v>18867</v>
      </c>
      <c r="H85" s="10">
        <f>((Engagement_Summary[[#This Row],[New_Followers]]-Engagement_Summary[[#This Row],[Unfollows]]) / Engagement_Summary[[#This Row],[Total_Followers]] )</f>
        <v>3.2086280175382597E-3</v>
      </c>
    </row>
    <row r="86" spans="1:8" x14ac:dyDescent="0.3">
      <c r="A86" s="9">
        <v>45642</v>
      </c>
      <c r="B86" t="s">
        <v>10</v>
      </c>
      <c r="C86">
        <v>1350</v>
      </c>
      <c r="D86">
        <v>233</v>
      </c>
      <c r="E86">
        <v>171670</v>
      </c>
      <c r="F86">
        <v>4.53</v>
      </c>
      <c r="G86">
        <v>17574</v>
      </c>
      <c r="H86" s="10">
        <f>((Engagement_Summary[[#This Row],[New_Followers]]-Engagement_Summary[[#This Row],[Unfollows]]) / Engagement_Summary[[#This Row],[Total_Followers]] )</f>
        <v>6.506669773402458E-3</v>
      </c>
    </row>
    <row r="87" spans="1:8" x14ac:dyDescent="0.3">
      <c r="A87" s="9">
        <v>45642</v>
      </c>
      <c r="B87" t="s">
        <v>8</v>
      </c>
      <c r="C87">
        <v>632</v>
      </c>
      <c r="D87">
        <v>155</v>
      </c>
      <c r="E87">
        <v>170432</v>
      </c>
      <c r="F87">
        <v>9.17</v>
      </c>
      <c r="G87">
        <v>12840</v>
      </c>
      <c r="H87" s="10">
        <f>((Engagement_Summary[[#This Row],[New_Followers]]-Engagement_Summary[[#This Row],[Unfollows]]) / Engagement_Summary[[#This Row],[Total_Followers]] )</f>
        <v>2.7987701840030041E-3</v>
      </c>
    </row>
    <row r="88" spans="1:8" x14ac:dyDescent="0.3">
      <c r="A88" s="9">
        <v>45642</v>
      </c>
      <c r="B88" t="s">
        <v>11</v>
      </c>
      <c r="C88">
        <v>1182</v>
      </c>
      <c r="D88">
        <v>83</v>
      </c>
      <c r="E88">
        <v>140300</v>
      </c>
      <c r="F88">
        <v>3.27</v>
      </c>
      <c r="G88">
        <v>21079</v>
      </c>
      <c r="H88" s="10">
        <f>((Engagement_Summary[[#This Row],[New_Followers]]-Engagement_Summary[[#This Row],[Unfollows]]) / Engagement_Summary[[#This Row],[Total_Followers]] )</f>
        <v>7.8332145402708487E-3</v>
      </c>
    </row>
    <row r="89" spans="1:8" x14ac:dyDescent="0.3">
      <c r="A89" s="9">
        <v>45649</v>
      </c>
      <c r="B89" t="s">
        <v>10</v>
      </c>
      <c r="C89">
        <v>661</v>
      </c>
      <c r="D89">
        <v>94</v>
      </c>
      <c r="E89">
        <v>116538</v>
      </c>
      <c r="F89">
        <v>5.31</v>
      </c>
      <c r="G89">
        <v>23486</v>
      </c>
      <c r="H89" s="10">
        <f>((Engagement_Summary[[#This Row],[New_Followers]]-Engagement_Summary[[#This Row],[Unfollows]]) / Engagement_Summary[[#This Row],[Total_Followers]] )</f>
        <v>4.8653658034289241E-3</v>
      </c>
    </row>
    <row r="90" spans="1:8" x14ac:dyDescent="0.3">
      <c r="A90" s="9">
        <v>45649</v>
      </c>
      <c r="B90" t="s">
        <v>8</v>
      </c>
      <c r="C90">
        <v>1360</v>
      </c>
      <c r="D90">
        <v>227</v>
      </c>
      <c r="E90">
        <v>176902</v>
      </c>
      <c r="F90">
        <v>6.03</v>
      </c>
      <c r="G90">
        <v>5960</v>
      </c>
      <c r="H90" s="10">
        <f>((Engagement_Summary[[#This Row],[New_Followers]]-Engagement_Summary[[#This Row],[Unfollows]]) / Engagement_Summary[[#This Row],[Total_Followers]] )</f>
        <v>6.4046760353189906E-3</v>
      </c>
    </row>
    <row r="91" spans="1:8" x14ac:dyDescent="0.3">
      <c r="A91" s="9">
        <v>45649</v>
      </c>
      <c r="B91" t="s">
        <v>11</v>
      </c>
      <c r="C91">
        <v>935</v>
      </c>
      <c r="D91">
        <v>85</v>
      </c>
      <c r="E91">
        <v>326821</v>
      </c>
      <c r="F91">
        <v>8.89</v>
      </c>
      <c r="G91">
        <v>13301</v>
      </c>
      <c r="H91" s="10">
        <f>((Engagement_Summary[[#This Row],[New_Followers]]-Engagement_Summary[[#This Row],[Unfollows]]) / Engagement_Summary[[#This Row],[Total_Followers]] )</f>
        <v>2.60081206532016E-3</v>
      </c>
    </row>
    <row r="92" spans="1:8" x14ac:dyDescent="0.3">
      <c r="A92" s="9">
        <v>45656</v>
      </c>
      <c r="B92" t="s">
        <v>10</v>
      </c>
      <c r="C92">
        <v>664</v>
      </c>
      <c r="D92">
        <v>251</v>
      </c>
      <c r="E92">
        <v>240598</v>
      </c>
      <c r="F92">
        <v>4.79</v>
      </c>
      <c r="G92">
        <v>10563</v>
      </c>
      <c r="H92" s="10">
        <f>((Engagement_Summary[[#This Row],[New_Followers]]-Engagement_Summary[[#This Row],[Unfollows]]) / Engagement_Summary[[#This Row],[Total_Followers]] )</f>
        <v>1.7165562473503519E-3</v>
      </c>
    </row>
    <row r="93" spans="1:8" x14ac:dyDescent="0.3">
      <c r="A93" s="9">
        <v>45656</v>
      </c>
      <c r="B93" t="s">
        <v>8</v>
      </c>
      <c r="C93">
        <v>1490</v>
      </c>
      <c r="D93">
        <v>103</v>
      </c>
      <c r="E93">
        <v>373274</v>
      </c>
      <c r="F93">
        <v>4.8</v>
      </c>
      <c r="G93">
        <v>19949</v>
      </c>
      <c r="H93" s="10">
        <f>((Engagement_Summary[[#This Row],[New_Followers]]-Engagement_Summary[[#This Row],[Unfollows]]) / Engagement_Summary[[#This Row],[Total_Followers]] )</f>
        <v>3.7157691133055076E-3</v>
      </c>
    </row>
    <row r="94" spans="1:8" x14ac:dyDescent="0.3">
      <c r="A94" s="9">
        <v>45656</v>
      </c>
      <c r="B94" t="s">
        <v>11</v>
      </c>
      <c r="C94">
        <v>601</v>
      </c>
      <c r="D94">
        <v>64</v>
      </c>
      <c r="E94">
        <v>123272</v>
      </c>
      <c r="F94">
        <v>4.07</v>
      </c>
      <c r="G94">
        <v>14273</v>
      </c>
      <c r="H94" s="10">
        <f>((Engagement_Summary[[#This Row],[New_Followers]]-Engagement_Summary[[#This Row],[Unfollows]]) / Engagement_Summary[[#This Row],[Total_Followers]] )</f>
        <v>4.3562203906807708E-3</v>
      </c>
    </row>
    <row r="95" spans="1:8" x14ac:dyDescent="0.3">
      <c r="A95" s="9">
        <v>45663</v>
      </c>
      <c r="B95" t="s">
        <v>10</v>
      </c>
      <c r="C95">
        <v>613</v>
      </c>
      <c r="D95">
        <v>170</v>
      </c>
      <c r="E95">
        <v>139266</v>
      </c>
      <c r="F95">
        <v>6.06</v>
      </c>
      <c r="G95">
        <v>9247</v>
      </c>
      <c r="H95" s="10">
        <f>((Engagement_Summary[[#This Row],[New_Followers]]-Engagement_Summary[[#This Row],[Unfollows]]) / Engagement_Summary[[#This Row],[Total_Followers]] )</f>
        <v>3.1809630491290049E-3</v>
      </c>
    </row>
    <row r="96" spans="1:8" x14ac:dyDescent="0.3">
      <c r="A96" s="9">
        <v>45663</v>
      </c>
      <c r="B96" t="s">
        <v>8</v>
      </c>
      <c r="C96">
        <v>1340</v>
      </c>
      <c r="D96">
        <v>57</v>
      </c>
      <c r="E96">
        <v>155927</v>
      </c>
      <c r="F96">
        <v>7.79</v>
      </c>
      <c r="G96">
        <v>11972</v>
      </c>
      <c r="H96" s="10">
        <f>((Engagement_Summary[[#This Row],[New_Followers]]-Engagement_Summary[[#This Row],[Unfollows]]) / Engagement_Summary[[#This Row],[Total_Followers]] )</f>
        <v>8.2282093543773697E-3</v>
      </c>
    </row>
    <row r="97" spans="1:8" x14ac:dyDescent="0.3">
      <c r="A97" s="9">
        <v>45663</v>
      </c>
      <c r="B97" t="s">
        <v>11</v>
      </c>
      <c r="C97">
        <v>953</v>
      </c>
      <c r="D97">
        <v>228</v>
      </c>
      <c r="E97">
        <v>258398</v>
      </c>
      <c r="F97">
        <v>9.0500000000000007</v>
      </c>
      <c r="G97">
        <v>13314</v>
      </c>
      <c r="H97" s="10">
        <f>((Engagement_Summary[[#This Row],[New_Followers]]-Engagement_Summary[[#This Row],[Unfollows]]) / Engagement_Summary[[#This Row],[Total_Followers]] )</f>
        <v>2.8057492705051896E-3</v>
      </c>
    </row>
    <row r="98" spans="1:8" x14ac:dyDescent="0.3">
      <c r="A98" s="9">
        <v>45670</v>
      </c>
      <c r="B98" t="s">
        <v>10</v>
      </c>
      <c r="C98">
        <v>532</v>
      </c>
      <c r="D98">
        <v>65</v>
      </c>
      <c r="E98">
        <v>338561</v>
      </c>
      <c r="F98">
        <v>3.5</v>
      </c>
      <c r="G98">
        <v>14749</v>
      </c>
      <c r="H98" s="10">
        <f>((Engagement_Summary[[#This Row],[New_Followers]]-Engagement_Summary[[#This Row],[Unfollows]]) / Engagement_Summary[[#This Row],[Total_Followers]] )</f>
        <v>1.3793673813581599E-3</v>
      </c>
    </row>
    <row r="99" spans="1:8" x14ac:dyDescent="0.3">
      <c r="A99" s="9">
        <v>45670</v>
      </c>
      <c r="B99" t="s">
        <v>8</v>
      </c>
      <c r="C99">
        <v>1414</v>
      </c>
      <c r="D99">
        <v>60</v>
      </c>
      <c r="E99">
        <v>341856</v>
      </c>
      <c r="F99">
        <v>8.76</v>
      </c>
      <c r="G99">
        <v>6868</v>
      </c>
      <c r="H99" s="10">
        <f>((Engagement_Summary[[#This Row],[New_Followers]]-Engagement_Summary[[#This Row],[Unfollows]]) / Engagement_Summary[[#This Row],[Total_Followers]] )</f>
        <v>3.960732004118693E-3</v>
      </c>
    </row>
    <row r="100" spans="1:8" x14ac:dyDescent="0.3">
      <c r="A100" s="9">
        <v>45670</v>
      </c>
      <c r="B100" t="s">
        <v>11</v>
      </c>
      <c r="C100">
        <v>685</v>
      </c>
      <c r="D100">
        <v>165</v>
      </c>
      <c r="E100">
        <v>175860</v>
      </c>
      <c r="F100">
        <v>6.26</v>
      </c>
      <c r="G100">
        <v>6027</v>
      </c>
      <c r="H100" s="10">
        <f>((Engagement_Summary[[#This Row],[New_Followers]]-Engagement_Summary[[#This Row],[Unfollows]]) / Engagement_Summary[[#This Row],[Total_Followers]] )</f>
        <v>2.9568975321278288E-3</v>
      </c>
    </row>
    <row r="101" spans="1:8" x14ac:dyDescent="0.3">
      <c r="A101" s="9">
        <v>45677</v>
      </c>
      <c r="B101" t="s">
        <v>10</v>
      </c>
      <c r="C101">
        <v>601</v>
      </c>
      <c r="D101">
        <v>159</v>
      </c>
      <c r="E101">
        <v>327722</v>
      </c>
      <c r="F101">
        <v>3.33</v>
      </c>
      <c r="G101">
        <v>25267</v>
      </c>
      <c r="H101" s="10">
        <f>((Engagement_Summary[[#This Row],[New_Followers]]-Engagement_Summary[[#This Row],[Unfollows]]) / Engagement_Summary[[#This Row],[Total_Followers]] )</f>
        <v>1.3487040845594743E-3</v>
      </c>
    </row>
    <row r="102" spans="1:8" x14ac:dyDescent="0.3">
      <c r="A102" s="9">
        <v>45677</v>
      </c>
      <c r="B102" t="s">
        <v>8</v>
      </c>
      <c r="C102">
        <v>841</v>
      </c>
      <c r="D102">
        <v>295</v>
      </c>
      <c r="E102">
        <v>271638</v>
      </c>
      <c r="F102">
        <v>9.15</v>
      </c>
      <c r="G102">
        <v>5900</v>
      </c>
      <c r="H102" s="10">
        <f>((Engagement_Summary[[#This Row],[New_Followers]]-Engagement_Summary[[#This Row],[Unfollows]]) / Engagement_Summary[[#This Row],[Total_Followers]] )</f>
        <v>2.0100280520398473E-3</v>
      </c>
    </row>
    <row r="103" spans="1:8" x14ac:dyDescent="0.3">
      <c r="A103" s="9">
        <v>45677</v>
      </c>
      <c r="B103" t="s">
        <v>11</v>
      </c>
      <c r="C103">
        <v>1105</v>
      </c>
      <c r="D103">
        <v>261</v>
      </c>
      <c r="E103">
        <v>333851</v>
      </c>
      <c r="F103">
        <v>6.03</v>
      </c>
      <c r="G103">
        <v>11181</v>
      </c>
      <c r="H103" s="10">
        <f>((Engagement_Summary[[#This Row],[New_Followers]]-Engagement_Summary[[#This Row],[Unfollows]]) / Engagement_Summary[[#This Row],[Total_Followers]] )</f>
        <v>2.5280739012313877E-3</v>
      </c>
    </row>
    <row r="104" spans="1:8" x14ac:dyDescent="0.3">
      <c r="A104" s="9">
        <v>45684</v>
      </c>
      <c r="B104" t="s">
        <v>10</v>
      </c>
      <c r="C104">
        <v>566</v>
      </c>
      <c r="D104">
        <v>225</v>
      </c>
      <c r="E104">
        <v>368984</v>
      </c>
      <c r="F104">
        <v>9.82</v>
      </c>
      <c r="G104">
        <v>9592</v>
      </c>
      <c r="H104" s="10">
        <f>((Engagement_Summary[[#This Row],[New_Followers]]-Engagement_Summary[[#This Row],[Unfollows]]) / Engagement_Summary[[#This Row],[Total_Followers]] )</f>
        <v>9.2415931314094918E-4</v>
      </c>
    </row>
    <row r="105" spans="1:8" x14ac:dyDescent="0.3">
      <c r="A105" s="9">
        <v>45684</v>
      </c>
      <c r="B105" t="s">
        <v>8</v>
      </c>
      <c r="C105">
        <v>1149</v>
      </c>
      <c r="D105">
        <v>280</v>
      </c>
      <c r="E105">
        <v>167310</v>
      </c>
      <c r="F105">
        <v>3.7</v>
      </c>
      <c r="G105">
        <v>5291</v>
      </c>
      <c r="H105" s="10">
        <f>((Engagement_Summary[[#This Row],[New_Followers]]-Engagement_Summary[[#This Row],[Unfollows]]) / Engagement_Summary[[#This Row],[Total_Followers]] )</f>
        <v>5.1939513477975013E-3</v>
      </c>
    </row>
    <row r="106" spans="1:8" x14ac:dyDescent="0.3">
      <c r="A106" s="9">
        <v>45684</v>
      </c>
      <c r="B106" t="s">
        <v>11</v>
      </c>
      <c r="C106">
        <v>819</v>
      </c>
      <c r="D106">
        <v>101</v>
      </c>
      <c r="E106">
        <v>194811</v>
      </c>
      <c r="F106">
        <v>3.35</v>
      </c>
      <c r="G106">
        <v>22244</v>
      </c>
      <c r="H106" s="10">
        <f>((Engagement_Summary[[#This Row],[New_Followers]]-Engagement_Summary[[#This Row],[Unfollows]]) / Engagement_Summary[[#This Row],[Total_Followers]] )</f>
        <v>3.685623501752981E-3</v>
      </c>
    </row>
    <row r="107" spans="1:8" x14ac:dyDescent="0.3">
      <c r="A107" s="9">
        <v>45691</v>
      </c>
      <c r="B107" t="s">
        <v>10</v>
      </c>
      <c r="C107">
        <v>795</v>
      </c>
      <c r="D107">
        <v>60</v>
      </c>
      <c r="E107">
        <v>314982</v>
      </c>
      <c r="F107">
        <v>7.31</v>
      </c>
      <c r="G107">
        <v>6824</v>
      </c>
      <c r="H107" s="10">
        <f>((Engagement_Summary[[#This Row],[New_Followers]]-Engagement_Summary[[#This Row],[Unfollows]]) / Engagement_Summary[[#This Row],[Total_Followers]] )</f>
        <v>2.3334666742861497E-3</v>
      </c>
    </row>
    <row r="108" spans="1:8" x14ac:dyDescent="0.3">
      <c r="A108" s="9">
        <v>45691</v>
      </c>
      <c r="B108" t="s">
        <v>8</v>
      </c>
      <c r="C108">
        <v>681</v>
      </c>
      <c r="D108">
        <v>158</v>
      </c>
      <c r="E108">
        <v>75960</v>
      </c>
      <c r="F108">
        <v>3.13</v>
      </c>
      <c r="G108">
        <v>24112</v>
      </c>
      <c r="H108" s="10">
        <f>((Engagement_Summary[[#This Row],[New_Followers]]-Engagement_Summary[[#This Row],[Unfollows]]) / Engagement_Summary[[#This Row],[Total_Followers]] )</f>
        <v>6.8852027382833069E-3</v>
      </c>
    </row>
    <row r="109" spans="1:8" x14ac:dyDescent="0.3">
      <c r="A109" s="9">
        <v>45691</v>
      </c>
      <c r="B109" t="s">
        <v>11</v>
      </c>
      <c r="C109">
        <v>534</v>
      </c>
      <c r="D109">
        <v>112</v>
      </c>
      <c r="E109">
        <v>360759</v>
      </c>
      <c r="F109">
        <v>4.8899999999999997</v>
      </c>
      <c r="G109">
        <v>25478</v>
      </c>
      <c r="H109" s="10">
        <f>((Engagement_Summary[[#This Row],[New_Followers]]-Engagement_Summary[[#This Row],[Unfollows]]) / Engagement_Summary[[#This Row],[Total_Followers]] )</f>
        <v>1.1697559866836308E-3</v>
      </c>
    </row>
    <row r="110" spans="1:8" x14ac:dyDescent="0.3">
      <c r="A110" s="9">
        <v>45698</v>
      </c>
      <c r="B110" t="s">
        <v>10</v>
      </c>
      <c r="C110">
        <v>1066</v>
      </c>
      <c r="D110">
        <v>151</v>
      </c>
      <c r="E110">
        <v>297090</v>
      </c>
      <c r="F110">
        <v>8.6300000000000008</v>
      </c>
      <c r="G110">
        <v>11235</v>
      </c>
      <c r="H110" s="10">
        <f>((Engagement_Summary[[#This Row],[New_Followers]]-Engagement_Summary[[#This Row],[Unfollows]]) / Engagement_Summary[[#This Row],[Total_Followers]] )</f>
        <v>3.0798747854185599E-3</v>
      </c>
    </row>
    <row r="111" spans="1:8" x14ac:dyDescent="0.3">
      <c r="A111" s="9">
        <v>45698</v>
      </c>
      <c r="B111" t="s">
        <v>8</v>
      </c>
      <c r="C111">
        <v>1270</v>
      </c>
      <c r="D111">
        <v>162</v>
      </c>
      <c r="E111">
        <v>92040</v>
      </c>
      <c r="F111">
        <v>8.0299999999999994</v>
      </c>
      <c r="G111">
        <v>6120</v>
      </c>
      <c r="H111" s="10">
        <f>((Engagement_Summary[[#This Row],[New_Followers]]-Engagement_Summary[[#This Row],[Unfollows]]) / Engagement_Summary[[#This Row],[Total_Followers]] )</f>
        <v>1.2038244241634072E-2</v>
      </c>
    </row>
    <row r="112" spans="1:8" x14ac:dyDescent="0.3">
      <c r="A112" s="9">
        <v>45698</v>
      </c>
      <c r="B112" t="s">
        <v>11</v>
      </c>
      <c r="C112">
        <v>536</v>
      </c>
      <c r="D112">
        <v>198</v>
      </c>
      <c r="E112">
        <v>174610</v>
      </c>
      <c r="F112">
        <v>7.85</v>
      </c>
      <c r="G112">
        <v>20572</v>
      </c>
      <c r="H112" s="10">
        <f>((Engagement_Summary[[#This Row],[New_Followers]]-Engagement_Summary[[#This Row],[Unfollows]]) / Engagement_Summary[[#This Row],[Total_Followers]] )</f>
        <v>1.9357425118836263E-3</v>
      </c>
    </row>
    <row r="113" spans="1:8" x14ac:dyDescent="0.3">
      <c r="A113" s="9">
        <v>45705</v>
      </c>
      <c r="B113" t="s">
        <v>10</v>
      </c>
      <c r="C113">
        <v>819</v>
      </c>
      <c r="D113">
        <v>95</v>
      </c>
      <c r="E113">
        <v>177376</v>
      </c>
      <c r="F113">
        <v>6.12</v>
      </c>
      <c r="G113">
        <v>14975</v>
      </c>
      <c r="H113" s="10">
        <f>((Engagement_Summary[[#This Row],[New_Followers]]-Engagement_Summary[[#This Row],[Unfollows]]) / Engagement_Summary[[#This Row],[Total_Followers]] )</f>
        <v>4.0817246978170664E-3</v>
      </c>
    </row>
    <row r="114" spans="1:8" x14ac:dyDescent="0.3">
      <c r="A114" s="9">
        <v>45705</v>
      </c>
      <c r="B114" t="s">
        <v>8</v>
      </c>
      <c r="C114">
        <v>681</v>
      </c>
      <c r="D114">
        <v>218</v>
      </c>
      <c r="E114">
        <v>198882</v>
      </c>
      <c r="F114">
        <v>7.16</v>
      </c>
      <c r="G114">
        <v>22234</v>
      </c>
      <c r="H114" s="10">
        <f>((Engagement_Summary[[#This Row],[New_Followers]]-Engagement_Summary[[#This Row],[Unfollows]]) / Engagement_Summary[[#This Row],[Total_Followers]] )</f>
        <v>2.3280135960016494E-3</v>
      </c>
    </row>
    <row r="115" spans="1:8" x14ac:dyDescent="0.3">
      <c r="A115" s="9">
        <v>45705</v>
      </c>
      <c r="B115" t="s">
        <v>11</v>
      </c>
      <c r="C115">
        <v>646</v>
      </c>
      <c r="D115">
        <v>290</v>
      </c>
      <c r="E115">
        <v>336383</v>
      </c>
      <c r="F115">
        <v>7.04</v>
      </c>
      <c r="G115">
        <v>6532</v>
      </c>
      <c r="H115" s="10">
        <f>((Engagement_Summary[[#This Row],[New_Followers]]-Engagement_Summary[[#This Row],[Unfollows]]) / Engagement_Summary[[#This Row],[Total_Followers]] )</f>
        <v>1.0583174536168594E-3</v>
      </c>
    </row>
    <row r="116" spans="1:8" x14ac:dyDescent="0.3">
      <c r="A116" s="9">
        <v>45712</v>
      </c>
      <c r="B116" t="s">
        <v>10</v>
      </c>
      <c r="C116">
        <v>645</v>
      </c>
      <c r="D116">
        <v>267</v>
      </c>
      <c r="E116">
        <v>346890</v>
      </c>
      <c r="F116">
        <v>3.71</v>
      </c>
      <c r="G116">
        <v>24858</v>
      </c>
      <c r="H116" s="10">
        <f>((Engagement_Summary[[#This Row],[New_Followers]]-Engagement_Summary[[#This Row],[Unfollows]]) / Engagement_Summary[[#This Row],[Total_Followers]] )</f>
        <v>1.0896826083196401E-3</v>
      </c>
    </row>
    <row r="117" spans="1:8" x14ac:dyDescent="0.3">
      <c r="A117" s="9">
        <v>45712</v>
      </c>
      <c r="B117" t="s">
        <v>8</v>
      </c>
      <c r="C117">
        <v>886</v>
      </c>
      <c r="D117">
        <v>250</v>
      </c>
      <c r="E117">
        <v>168170</v>
      </c>
      <c r="F117">
        <v>4.12</v>
      </c>
      <c r="G117">
        <v>13883</v>
      </c>
      <c r="H117" s="10">
        <f>((Engagement_Summary[[#This Row],[New_Followers]]-Engagement_Summary[[#This Row],[Unfollows]]) / Engagement_Summary[[#This Row],[Total_Followers]] )</f>
        <v>3.7818873758696555E-3</v>
      </c>
    </row>
    <row r="118" spans="1:8" x14ac:dyDescent="0.3">
      <c r="A118" s="9">
        <v>45712</v>
      </c>
      <c r="B118" t="s">
        <v>11</v>
      </c>
      <c r="C118">
        <v>978</v>
      </c>
      <c r="D118">
        <v>279</v>
      </c>
      <c r="E118">
        <v>368872</v>
      </c>
      <c r="F118">
        <v>6.82</v>
      </c>
      <c r="G118">
        <v>18654</v>
      </c>
      <c r="H118" s="10">
        <f>((Engagement_Summary[[#This Row],[New_Followers]]-Engagement_Summary[[#This Row],[Unfollows]]) / Engagement_Summary[[#This Row],[Total_Followers]] )</f>
        <v>1.8949662755644234E-3</v>
      </c>
    </row>
    <row r="119" spans="1:8" x14ac:dyDescent="0.3">
      <c r="A119" s="9">
        <v>45719</v>
      </c>
      <c r="B119" t="s">
        <v>10</v>
      </c>
      <c r="C119">
        <v>1444</v>
      </c>
      <c r="D119">
        <v>165</v>
      </c>
      <c r="E119">
        <v>116436</v>
      </c>
      <c r="F119">
        <v>8.2200000000000006</v>
      </c>
      <c r="G119">
        <v>25234</v>
      </c>
      <c r="H119" s="10">
        <f>((Engagement_Summary[[#This Row],[New_Followers]]-Engagement_Summary[[#This Row],[Unfollows]]) / Engagement_Summary[[#This Row],[Total_Followers]] )</f>
        <v>1.0984575217286749E-2</v>
      </c>
    </row>
    <row r="120" spans="1:8" x14ac:dyDescent="0.3">
      <c r="A120" s="9">
        <v>45719</v>
      </c>
      <c r="B120" t="s">
        <v>8</v>
      </c>
      <c r="C120">
        <v>1234</v>
      </c>
      <c r="D120">
        <v>228</v>
      </c>
      <c r="E120">
        <v>127502</v>
      </c>
      <c r="F120">
        <v>7.71</v>
      </c>
      <c r="G120">
        <v>6772</v>
      </c>
      <c r="H120" s="10">
        <f>((Engagement_Summary[[#This Row],[New_Followers]]-Engagement_Summary[[#This Row],[Unfollows]]) / Engagement_Summary[[#This Row],[Total_Followers]] )</f>
        <v>7.8900723125911749E-3</v>
      </c>
    </row>
    <row r="121" spans="1:8" x14ac:dyDescent="0.3">
      <c r="A121" s="9">
        <v>45719</v>
      </c>
      <c r="B121" t="s">
        <v>11</v>
      </c>
      <c r="C121">
        <v>665</v>
      </c>
      <c r="D121">
        <v>187</v>
      </c>
      <c r="E121">
        <v>274567</v>
      </c>
      <c r="F121">
        <v>7.39</v>
      </c>
      <c r="G121">
        <v>22428</v>
      </c>
      <c r="H121" s="10">
        <f>((Engagement_Summary[[#This Row],[New_Followers]]-Engagement_Summary[[#This Row],[Unfollows]]) / Engagement_Summary[[#This Row],[Total_Followers]] )</f>
        <v>1.7409229805475531E-3</v>
      </c>
    </row>
    <row r="122" spans="1:8" x14ac:dyDescent="0.3">
      <c r="A122" s="9">
        <v>45726</v>
      </c>
      <c r="B122" t="s">
        <v>10</v>
      </c>
      <c r="C122">
        <v>631</v>
      </c>
      <c r="D122">
        <v>86</v>
      </c>
      <c r="E122">
        <v>295090</v>
      </c>
      <c r="F122">
        <v>7.89</v>
      </c>
      <c r="G122">
        <v>11911</v>
      </c>
      <c r="H122" s="10">
        <f>((Engagement_Summary[[#This Row],[New_Followers]]-Engagement_Summary[[#This Row],[Unfollows]]) / Engagement_Summary[[#This Row],[Total_Followers]] )</f>
        <v>1.8468941678809856E-3</v>
      </c>
    </row>
    <row r="123" spans="1:8" x14ac:dyDescent="0.3">
      <c r="A123" s="9">
        <v>45726</v>
      </c>
      <c r="B123" t="s">
        <v>8</v>
      </c>
      <c r="C123">
        <v>1159</v>
      </c>
      <c r="D123">
        <v>154</v>
      </c>
      <c r="E123">
        <v>194994</v>
      </c>
      <c r="F123">
        <v>6.39</v>
      </c>
      <c r="G123">
        <v>21900</v>
      </c>
      <c r="H123" s="10">
        <f>((Engagement_Summary[[#This Row],[New_Followers]]-Engagement_Summary[[#This Row],[Unfollows]]) / Engagement_Summary[[#This Row],[Total_Followers]] )</f>
        <v>5.1540047386073422E-3</v>
      </c>
    </row>
    <row r="124" spans="1:8" x14ac:dyDescent="0.3">
      <c r="A124" s="9">
        <v>45726</v>
      </c>
      <c r="B124" t="s">
        <v>11</v>
      </c>
      <c r="C124">
        <v>950</v>
      </c>
      <c r="D124">
        <v>185</v>
      </c>
      <c r="E124">
        <v>340750</v>
      </c>
      <c r="F124">
        <v>6.77</v>
      </c>
      <c r="G124">
        <v>25542</v>
      </c>
      <c r="H124" s="10">
        <f>((Engagement_Summary[[#This Row],[New_Followers]]-Engagement_Summary[[#This Row],[Unfollows]]) / Engagement_Summary[[#This Row],[Total_Followers]] )</f>
        <v>2.2450476889214967E-3</v>
      </c>
    </row>
    <row r="125" spans="1:8" x14ac:dyDescent="0.3">
      <c r="A125" s="9">
        <v>45733</v>
      </c>
      <c r="B125" t="s">
        <v>10</v>
      </c>
      <c r="C125">
        <v>693</v>
      </c>
      <c r="D125">
        <v>129</v>
      </c>
      <c r="E125">
        <v>296031</v>
      </c>
      <c r="F125">
        <v>3.41</v>
      </c>
      <c r="G125">
        <v>7140</v>
      </c>
      <c r="H125" s="10">
        <f>((Engagement_Summary[[#This Row],[New_Followers]]-Engagement_Summary[[#This Row],[Unfollows]]) / Engagement_Summary[[#This Row],[Total_Followers]] )</f>
        <v>1.9052058737091724E-3</v>
      </c>
    </row>
    <row r="126" spans="1:8" x14ac:dyDescent="0.3">
      <c r="A126" s="9">
        <v>45733</v>
      </c>
      <c r="B126" t="s">
        <v>8</v>
      </c>
      <c r="C126">
        <v>576</v>
      </c>
      <c r="D126">
        <v>80</v>
      </c>
      <c r="E126">
        <v>345688</v>
      </c>
      <c r="F126">
        <v>4.1100000000000003</v>
      </c>
      <c r="G126">
        <v>20474</v>
      </c>
      <c r="H126" s="10">
        <f>((Engagement_Summary[[#This Row],[New_Followers]]-Engagement_Summary[[#This Row],[Unfollows]]) / Engagement_Summary[[#This Row],[Total_Followers]] )</f>
        <v>1.4348198375413667E-3</v>
      </c>
    </row>
    <row r="127" spans="1:8" x14ac:dyDescent="0.3">
      <c r="A127" s="9">
        <v>45733</v>
      </c>
      <c r="B127" t="s">
        <v>11</v>
      </c>
      <c r="C127">
        <v>1274</v>
      </c>
      <c r="D127">
        <v>146</v>
      </c>
      <c r="E127">
        <v>263488</v>
      </c>
      <c r="F127">
        <v>9.58</v>
      </c>
      <c r="G127">
        <v>8698</v>
      </c>
      <c r="H127" s="10">
        <f>((Engagement_Summary[[#This Row],[New_Followers]]-Engagement_Summary[[#This Row],[Unfollows]]) / Engagement_Summary[[#This Row],[Total_Followers]] )</f>
        <v>4.2810298761233904E-3</v>
      </c>
    </row>
    <row r="128" spans="1:8" x14ac:dyDescent="0.3">
      <c r="A128" s="9">
        <v>45740</v>
      </c>
      <c r="B128" t="s">
        <v>10</v>
      </c>
      <c r="C128">
        <v>818</v>
      </c>
      <c r="D128">
        <v>253</v>
      </c>
      <c r="E128">
        <v>184911</v>
      </c>
      <c r="F128">
        <v>3.39</v>
      </c>
      <c r="G128">
        <v>10402</v>
      </c>
      <c r="H128" s="10">
        <f>((Engagement_Summary[[#This Row],[New_Followers]]-Engagement_Summary[[#This Row],[Unfollows]]) / Engagement_Summary[[#This Row],[Total_Followers]] )</f>
        <v>3.0555240088474996E-3</v>
      </c>
    </row>
    <row r="129" spans="1:8" x14ac:dyDescent="0.3">
      <c r="A129" s="9">
        <v>45740</v>
      </c>
      <c r="B129" t="s">
        <v>8</v>
      </c>
      <c r="C129">
        <v>975</v>
      </c>
      <c r="D129">
        <v>162</v>
      </c>
      <c r="E129">
        <v>124497</v>
      </c>
      <c r="F129">
        <v>9.58</v>
      </c>
      <c r="G129">
        <v>26618</v>
      </c>
      <c r="H129" s="10">
        <f>((Engagement_Summary[[#This Row],[New_Followers]]-Engagement_Summary[[#This Row],[Unfollows]]) / Engagement_Summary[[#This Row],[Total_Followers]] )</f>
        <v>6.5302778380201933E-3</v>
      </c>
    </row>
    <row r="130" spans="1:8" x14ac:dyDescent="0.3">
      <c r="A130" s="9">
        <v>45740</v>
      </c>
      <c r="B130" t="s">
        <v>11</v>
      </c>
      <c r="C130">
        <v>1398</v>
      </c>
      <c r="D130">
        <v>97</v>
      </c>
      <c r="E130">
        <v>397607</v>
      </c>
      <c r="F130">
        <v>5.09</v>
      </c>
      <c r="G130">
        <v>7975</v>
      </c>
      <c r="H130" s="10">
        <f>((Engagement_Summary[[#This Row],[New_Followers]]-Engagement_Summary[[#This Row],[Unfollows]]) / Engagement_Summary[[#This Row],[Total_Followers]] )</f>
        <v>3.2720751898231166E-3</v>
      </c>
    </row>
    <row r="131" spans="1:8" x14ac:dyDescent="0.3">
      <c r="A131" s="9">
        <v>45747</v>
      </c>
      <c r="B131" t="s">
        <v>10</v>
      </c>
      <c r="C131">
        <v>591</v>
      </c>
      <c r="D131">
        <v>155</v>
      </c>
      <c r="E131">
        <v>138521</v>
      </c>
      <c r="F131">
        <v>7.85</v>
      </c>
      <c r="G131">
        <v>19054</v>
      </c>
      <c r="H131" s="10">
        <f>((Engagement_Summary[[#This Row],[New_Followers]]-Engagement_Summary[[#This Row],[Unfollows]]) / Engagement_Summary[[#This Row],[Total_Followers]] )</f>
        <v>3.1475371965261584E-3</v>
      </c>
    </row>
    <row r="132" spans="1:8" x14ac:dyDescent="0.3">
      <c r="A132" s="9">
        <v>45747</v>
      </c>
      <c r="B132" t="s">
        <v>8</v>
      </c>
      <c r="C132">
        <v>1232</v>
      </c>
      <c r="D132">
        <v>254</v>
      </c>
      <c r="E132">
        <v>107718</v>
      </c>
      <c r="F132">
        <v>9.7100000000000009</v>
      </c>
      <c r="G132">
        <v>13740</v>
      </c>
      <c r="H132" s="10">
        <f>((Engagement_Summary[[#This Row],[New_Followers]]-Engagement_Summary[[#This Row],[Unfollows]]) / Engagement_Summary[[#This Row],[Total_Followers]] )</f>
        <v>9.0792625187990864E-3</v>
      </c>
    </row>
    <row r="133" spans="1:8" x14ac:dyDescent="0.3">
      <c r="A133" s="9">
        <v>45747</v>
      </c>
      <c r="B133" t="s">
        <v>11</v>
      </c>
      <c r="C133">
        <v>1425</v>
      </c>
      <c r="D133">
        <v>58</v>
      </c>
      <c r="E133">
        <v>202234</v>
      </c>
      <c r="F133">
        <v>6.67</v>
      </c>
      <c r="G133">
        <v>18442</v>
      </c>
      <c r="H133" s="10">
        <f>((Engagement_Summary[[#This Row],[New_Followers]]-Engagement_Summary[[#This Row],[Unfollows]]) / Engagement_Summary[[#This Row],[Total_Followers]] )</f>
        <v>6.7594964249334932E-3</v>
      </c>
    </row>
    <row r="134" spans="1:8" x14ac:dyDescent="0.3">
      <c r="A134" s="9">
        <v>45754</v>
      </c>
      <c r="B134" t="s">
        <v>10</v>
      </c>
      <c r="C134">
        <v>1417</v>
      </c>
      <c r="D134">
        <v>80</v>
      </c>
      <c r="E134">
        <v>340987</v>
      </c>
      <c r="F134">
        <v>6.13</v>
      </c>
      <c r="G134">
        <v>10104</v>
      </c>
      <c r="H134" s="10">
        <f>((Engagement_Summary[[#This Row],[New_Followers]]-Engagement_Summary[[#This Row],[Unfollows]]) / Engagement_Summary[[#This Row],[Total_Followers]] )</f>
        <v>3.9209705941868752E-3</v>
      </c>
    </row>
    <row r="135" spans="1:8" x14ac:dyDescent="0.3">
      <c r="A135" s="9">
        <v>45754</v>
      </c>
      <c r="B135" t="s">
        <v>8</v>
      </c>
      <c r="C135">
        <v>1222</v>
      </c>
      <c r="D135">
        <v>208</v>
      </c>
      <c r="E135">
        <v>340098</v>
      </c>
      <c r="F135">
        <v>7.34</v>
      </c>
      <c r="G135">
        <v>21771</v>
      </c>
      <c r="H135" s="10">
        <f>((Engagement_Summary[[#This Row],[New_Followers]]-Engagement_Summary[[#This Row],[Unfollows]]) / Engagement_Summary[[#This Row],[Total_Followers]] )</f>
        <v>2.9814935695005556E-3</v>
      </c>
    </row>
    <row r="136" spans="1:8" x14ac:dyDescent="0.3">
      <c r="A136" s="9">
        <v>45754</v>
      </c>
      <c r="B136" t="s">
        <v>11</v>
      </c>
      <c r="C136">
        <v>1071</v>
      </c>
      <c r="D136">
        <v>131</v>
      </c>
      <c r="E136">
        <v>254727</v>
      </c>
      <c r="F136">
        <v>6.87</v>
      </c>
      <c r="G136">
        <v>22191</v>
      </c>
      <c r="H136" s="10">
        <f>((Engagement_Summary[[#This Row],[New_Followers]]-Engagement_Summary[[#This Row],[Unfollows]]) / Engagement_Summary[[#This Row],[Total_Followers]] )</f>
        <v>3.6902252215116576E-3</v>
      </c>
    </row>
    <row r="137" spans="1:8" x14ac:dyDescent="0.3">
      <c r="A137" s="9">
        <v>45761</v>
      </c>
      <c r="B137" t="s">
        <v>10</v>
      </c>
      <c r="C137">
        <v>772</v>
      </c>
      <c r="D137">
        <v>82</v>
      </c>
      <c r="E137">
        <v>345659</v>
      </c>
      <c r="F137">
        <v>3.52</v>
      </c>
      <c r="G137">
        <v>27753</v>
      </c>
      <c r="H137" s="10">
        <f>((Engagement_Summary[[#This Row],[New_Followers]]-Engagement_Summary[[#This Row],[Unfollows]]) / Engagement_Summary[[#This Row],[Total_Followers]] )</f>
        <v>1.9961869935398759E-3</v>
      </c>
    </row>
    <row r="138" spans="1:8" x14ac:dyDescent="0.3">
      <c r="A138" s="9">
        <v>45761</v>
      </c>
      <c r="B138" t="s">
        <v>8</v>
      </c>
      <c r="C138">
        <v>1472</v>
      </c>
      <c r="D138">
        <v>137</v>
      </c>
      <c r="E138">
        <v>213950</v>
      </c>
      <c r="F138">
        <v>6.96</v>
      </c>
      <c r="G138">
        <v>23736</v>
      </c>
      <c r="H138" s="10">
        <f>((Engagement_Summary[[#This Row],[New_Followers]]-Engagement_Summary[[#This Row],[Unfollows]]) / Engagement_Summary[[#This Row],[Total_Followers]] )</f>
        <v>6.2397756485160086E-3</v>
      </c>
    </row>
    <row r="139" spans="1:8" x14ac:dyDescent="0.3">
      <c r="A139" s="9">
        <v>45761</v>
      </c>
      <c r="B139" t="s">
        <v>11</v>
      </c>
      <c r="C139">
        <v>1472</v>
      </c>
      <c r="D139">
        <v>281</v>
      </c>
      <c r="E139">
        <v>258115</v>
      </c>
      <c r="F139">
        <v>7.23</v>
      </c>
      <c r="G139">
        <v>27393</v>
      </c>
      <c r="H139" s="10">
        <f>((Engagement_Summary[[#This Row],[New_Followers]]-Engagement_Summary[[#This Row],[Unfollows]]) / Engagement_Summary[[#This Row],[Total_Followers]] )</f>
        <v>4.6142223427541986E-3</v>
      </c>
    </row>
    <row r="140" spans="1:8" x14ac:dyDescent="0.3">
      <c r="A140" s="9">
        <v>45768</v>
      </c>
      <c r="B140" t="s">
        <v>10</v>
      </c>
      <c r="C140">
        <v>585</v>
      </c>
      <c r="D140">
        <v>232</v>
      </c>
      <c r="E140">
        <v>321258</v>
      </c>
      <c r="F140">
        <v>7.42</v>
      </c>
      <c r="G140">
        <v>10343</v>
      </c>
      <c r="H140" s="10">
        <f>((Engagement_Summary[[#This Row],[New_Followers]]-Engagement_Summary[[#This Row],[Unfollows]]) / Engagement_Summary[[#This Row],[Total_Followers]] )</f>
        <v>1.0988053215795403E-3</v>
      </c>
    </row>
    <row r="141" spans="1:8" x14ac:dyDescent="0.3">
      <c r="A141" s="9">
        <v>45768</v>
      </c>
      <c r="B141" t="s">
        <v>8</v>
      </c>
      <c r="C141">
        <v>747</v>
      </c>
      <c r="D141">
        <v>261</v>
      </c>
      <c r="E141">
        <v>338650</v>
      </c>
      <c r="F141">
        <v>7.73</v>
      </c>
      <c r="G141">
        <v>25259</v>
      </c>
      <c r="H141" s="10">
        <f>((Engagement_Summary[[#This Row],[New_Followers]]-Engagement_Summary[[#This Row],[Unfollows]]) / Engagement_Summary[[#This Row],[Total_Followers]] )</f>
        <v>1.4351099955706482E-3</v>
      </c>
    </row>
    <row r="142" spans="1:8" x14ac:dyDescent="0.3">
      <c r="A142" s="9">
        <v>45768</v>
      </c>
      <c r="B142" t="s">
        <v>11</v>
      </c>
      <c r="C142">
        <v>1113</v>
      </c>
      <c r="D142">
        <v>224</v>
      </c>
      <c r="E142">
        <v>272989</v>
      </c>
      <c r="F142">
        <v>5.13</v>
      </c>
      <c r="G142">
        <v>24827</v>
      </c>
      <c r="H142" s="10">
        <f>((Engagement_Summary[[#This Row],[New_Followers]]-Engagement_Summary[[#This Row],[Unfollows]]) / Engagement_Summary[[#This Row],[Total_Followers]] )</f>
        <v>3.2565414723670183E-3</v>
      </c>
    </row>
    <row r="143" spans="1:8" x14ac:dyDescent="0.3">
      <c r="A143" s="9">
        <v>45775</v>
      </c>
      <c r="B143" t="s">
        <v>10</v>
      </c>
      <c r="C143">
        <v>1100</v>
      </c>
      <c r="D143">
        <v>117</v>
      </c>
      <c r="E143">
        <v>260204</v>
      </c>
      <c r="F143">
        <v>4.4000000000000004</v>
      </c>
      <c r="G143">
        <v>11908</v>
      </c>
      <c r="H143" s="10">
        <f>((Engagement_Summary[[#This Row],[New_Followers]]-Engagement_Summary[[#This Row],[Unfollows]]) / Engagement_Summary[[#This Row],[Total_Followers]] )</f>
        <v>3.7778051067623862E-3</v>
      </c>
    </row>
    <row r="144" spans="1:8" x14ac:dyDescent="0.3">
      <c r="A144" s="9">
        <v>45775</v>
      </c>
      <c r="B144" t="s">
        <v>8</v>
      </c>
      <c r="C144">
        <v>751</v>
      </c>
      <c r="D144">
        <v>170</v>
      </c>
      <c r="E144">
        <v>283278</v>
      </c>
      <c r="F144">
        <v>3.49</v>
      </c>
      <c r="G144">
        <v>11005</v>
      </c>
      <c r="H144" s="10">
        <f>((Engagement_Summary[[#This Row],[New_Followers]]-Engagement_Summary[[#This Row],[Unfollows]]) / Engagement_Summary[[#This Row],[Total_Followers]] )</f>
        <v>2.0509887813384732E-3</v>
      </c>
    </row>
    <row r="145" spans="1:8" x14ac:dyDescent="0.3">
      <c r="A145" s="9">
        <v>45775</v>
      </c>
      <c r="B145" t="s">
        <v>11</v>
      </c>
      <c r="C145">
        <v>864</v>
      </c>
      <c r="D145">
        <v>50</v>
      </c>
      <c r="E145">
        <v>277445</v>
      </c>
      <c r="F145">
        <v>3.57</v>
      </c>
      <c r="G145">
        <v>26333</v>
      </c>
      <c r="H145" s="10">
        <f>((Engagement_Summary[[#This Row],[New_Followers]]-Engagement_Summary[[#This Row],[Unfollows]]) / Engagement_Summary[[#This Row],[Total_Followers]] )</f>
        <v>2.9339148299662998E-3</v>
      </c>
    </row>
    <row r="146" spans="1:8" x14ac:dyDescent="0.3">
      <c r="A146" s="9">
        <v>45782</v>
      </c>
      <c r="B146" t="s">
        <v>10</v>
      </c>
      <c r="C146">
        <v>1146</v>
      </c>
      <c r="D146">
        <v>227</v>
      </c>
      <c r="E146">
        <v>353781</v>
      </c>
      <c r="F146">
        <v>6.41</v>
      </c>
      <c r="G146">
        <v>5495</v>
      </c>
      <c r="H146" s="10">
        <f>((Engagement_Summary[[#This Row],[New_Followers]]-Engagement_Summary[[#This Row],[Unfollows]]) / Engagement_Summary[[#This Row],[Total_Followers]] )</f>
        <v>2.5976522198761379E-3</v>
      </c>
    </row>
    <row r="147" spans="1:8" x14ac:dyDescent="0.3">
      <c r="A147" s="9">
        <v>45782</v>
      </c>
      <c r="B147" t="s">
        <v>8</v>
      </c>
      <c r="C147">
        <v>883</v>
      </c>
      <c r="D147">
        <v>207</v>
      </c>
      <c r="E147">
        <v>265019</v>
      </c>
      <c r="F147">
        <v>6.04</v>
      </c>
      <c r="G147">
        <v>15655</v>
      </c>
      <c r="H147" s="10">
        <f>((Engagement_Summary[[#This Row],[New_Followers]]-Engagement_Summary[[#This Row],[Unfollows]]) / Engagement_Summary[[#This Row],[Total_Followers]] )</f>
        <v>2.5507605115104954E-3</v>
      </c>
    </row>
    <row r="148" spans="1:8" x14ac:dyDescent="0.3">
      <c r="A148" s="9">
        <v>45782</v>
      </c>
      <c r="B148" t="s">
        <v>11</v>
      </c>
      <c r="C148">
        <v>622</v>
      </c>
      <c r="D148">
        <v>163</v>
      </c>
      <c r="E148">
        <v>231925</v>
      </c>
      <c r="F148">
        <v>9.18</v>
      </c>
      <c r="G148">
        <v>13763</v>
      </c>
      <c r="H148" s="10">
        <f>((Engagement_Summary[[#This Row],[New_Followers]]-Engagement_Summary[[#This Row],[Unfollows]]) / Engagement_Summary[[#This Row],[Total_Followers]] )</f>
        <v>1.9790880672631238E-3</v>
      </c>
    </row>
    <row r="149" spans="1:8" x14ac:dyDescent="0.3">
      <c r="A149" s="9">
        <v>45789</v>
      </c>
      <c r="B149" t="s">
        <v>10</v>
      </c>
      <c r="C149">
        <v>837</v>
      </c>
      <c r="D149">
        <v>261</v>
      </c>
      <c r="E149">
        <v>366149</v>
      </c>
      <c r="F149">
        <v>6.54</v>
      </c>
      <c r="G149">
        <v>26073</v>
      </c>
      <c r="H149" s="10">
        <f>((Engagement_Summary[[#This Row],[New_Followers]]-Engagement_Summary[[#This Row],[Unfollows]]) / Engagement_Summary[[#This Row],[Total_Followers]] )</f>
        <v>1.5731300645365684E-3</v>
      </c>
    </row>
    <row r="150" spans="1:8" x14ac:dyDescent="0.3">
      <c r="A150" s="9">
        <v>45789</v>
      </c>
      <c r="B150" t="s">
        <v>8</v>
      </c>
      <c r="C150">
        <v>544</v>
      </c>
      <c r="D150">
        <v>97</v>
      </c>
      <c r="E150">
        <v>168375</v>
      </c>
      <c r="F150">
        <v>8.66</v>
      </c>
      <c r="G150">
        <v>12774</v>
      </c>
      <c r="H150" s="10">
        <f>((Engagement_Summary[[#This Row],[New_Followers]]-Engagement_Summary[[#This Row],[Unfollows]]) / Engagement_Summary[[#This Row],[Total_Followers]] )</f>
        <v>2.6547884187082403E-3</v>
      </c>
    </row>
    <row r="151" spans="1:8" x14ac:dyDescent="0.3">
      <c r="A151" s="9">
        <v>45789</v>
      </c>
      <c r="B151" t="s">
        <v>11</v>
      </c>
      <c r="C151">
        <v>624</v>
      </c>
      <c r="D151">
        <v>247</v>
      </c>
      <c r="E151">
        <v>252763</v>
      </c>
      <c r="F151">
        <v>3.89</v>
      </c>
      <c r="G151">
        <v>19000</v>
      </c>
      <c r="H151" s="10">
        <f>((Engagement_Summary[[#This Row],[New_Followers]]-Engagement_Summary[[#This Row],[Unfollows]]) / Engagement_Summary[[#This Row],[Total_Followers]] )</f>
        <v>1.4915157677349929E-3</v>
      </c>
    </row>
    <row r="152" spans="1:8" x14ac:dyDescent="0.3">
      <c r="A152" s="9">
        <v>45796</v>
      </c>
      <c r="B152" t="s">
        <v>10</v>
      </c>
      <c r="C152">
        <v>1073</v>
      </c>
      <c r="D152">
        <v>141</v>
      </c>
      <c r="E152">
        <v>118393</v>
      </c>
      <c r="F152">
        <v>7.95</v>
      </c>
      <c r="G152">
        <v>14051</v>
      </c>
      <c r="H152" s="10">
        <f>((Engagement_Summary[[#This Row],[New_Followers]]-Engagement_Summary[[#This Row],[Unfollows]]) / Engagement_Summary[[#This Row],[Total_Followers]] )</f>
        <v>7.872087032172511E-3</v>
      </c>
    </row>
    <row r="153" spans="1:8" x14ac:dyDescent="0.3">
      <c r="A153" s="9">
        <v>45796</v>
      </c>
      <c r="B153" t="s">
        <v>8</v>
      </c>
      <c r="C153">
        <v>1430</v>
      </c>
      <c r="D153">
        <v>74</v>
      </c>
      <c r="E153">
        <v>327012</v>
      </c>
      <c r="F153">
        <v>6.66</v>
      </c>
      <c r="G153">
        <v>27782</v>
      </c>
      <c r="H153" s="10">
        <f>((Engagement_Summary[[#This Row],[New_Followers]]-Engagement_Summary[[#This Row],[Unfollows]]) / Engagement_Summary[[#This Row],[Total_Followers]] )</f>
        <v>4.1466368206671319E-3</v>
      </c>
    </row>
    <row r="154" spans="1:8" x14ac:dyDescent="0.3">
      <c r="A154" s="9">
        <v>45796</v>
      </c>
      <c r="B154" t="s">
        <v>11</v>
      </c>
      <c r="C154">
        <v>1358</v>
      </c>
      <c r="D154">
        <v>77</v>
      </c>
      <c r="E154">
        <v>169688</v>
      </c>
      <c r="F154">
        <v>5.25</v>
      </c>
      <c r="G154">
        <v>7859</v>
      </c>
      <c r="H154" s="10">
        <f>((Engagement_Summary[[#This Row],[New_Followers]]-Engagement_Summary[[#This Row],[Unfollows]]) / Engagement_Summary[[#This Row],[Total_Followers]] )</f>
        <v>7.5491490264485411E-3</v>
      </c>
    </row>
    <row r="155" spans="1:8" x14ac:dyDescent="0.3">
      <c r="A155" s="9">
        <v>45803</v>
      </c>
      <c r="B155" t="s">
        <v>10</v>
      </c>
      <c r="C155">
        <v>1242</v>
      </c>
      <c r="D155">
        <v>201</v>
      </c>
      <c r="E155">
        <v>271935</v>
      </c>
      <c r="F155">
        <v>5.07</v>
      </c>
      <c r="G155">
        <v>15773</v>
      </c>
      <c r="H155" s="10">
        <f>((Engagement_Summary[[#This Row],[New_Followers]]-Engagement_Summary[[#This Row],[Unfollows]]) / Engagement_Summary[[#This Row],[Total_Followers]] )</f>
        <v>3.8281206906062111E-3</v>
      </c>
    </row>
    <row r="156" spans="1:8" x14ac:dyDescent="0.3">
      <c r="A156" s="9">
        <v>45803</v>
      </c>
      <c r="B156" t="s">
        <v>8</v>
      </c>
      <c r="C156">
        <v>1389</v>
      </c>
      <c r="D156">
        <v>205</v>
      </c>
      <c r="E156">
        <v>315981</v>
      </c>
      <c r="F156">
        <v>7.62</v>
      </c>
      <c r="G156">
        <v>20595</v>
      </c>
      <c r="H156" s="10">
        <f>((Engagement_Summary[[#This Row],[New_Followers]]-Engagement_Summary[[#This Row],[Unfollows]]) / Engagement_Summary[[#This Row],[Total_Followers]] )</f>
        <v>3.7470607409939207E-3</v>
      </c>
    </row>
    <row r="157" spans="1:8" x14ac:dyDescent="0.3">
      <c r="A157" s="9">
        <v>45803</v>
      </c>
      <c r="B157" t="s">
        <v>11</v>
      </c>
      <c r="C157">
        <v>826</v>
      </c>
      <c r="D157">
        <v>142</v>
      </c>
      <c r="E157">
        <v>341016</v>
      </c>
      <c r="F157">
        <v>7.44</v>
      </c>
      <c r="G157">
        <v>12031</v>
      </c>
      <c r="H157" s="10">
        <f>((Engagement_Summary[[#This Row],[New_Followers]]-Engagement_Summary[[#This Row],[Unfollows]]) / Engagement_Summary[[#This Row],[Total_Followers]] )</f>
        <v>2.005770990217468E-3</v>
      </c>
    </row>
    <row r="158" spans="1:8" x14ac:dyDescent="0.3">
      <c r="A158" s="9">
        <v>45810</v>
      </c>
      <c r="B158" t="s">
        <v>10</v>
      </c>
      <c r="C158">
        <v>618</v>
      </c>
      <c r="D158">
        <v>264</v>
      </c>
      <c r="E158">
        <v>285164</v>
      </c>
      <c r="F158">
        <v>4.8600000000000003</v>
      </c>
      <c r="G158">
        <v>15128</v>
      </c>
      <c r="H158" s="10">
        <f>((Engagement_Summary[[#This Row],[New_Followers]]-Engagement_Summary[[#This Row],[Unfollows]]) / Engagement_Summary[[#This Row],[Total_Followers]] )</f>
        <v>1.2413909189098204E-3</v>
      </c>
    </row>
    <row r="159" spans="1:8" x14ac:dyDescent="0.3">
      <c r="A159" s="9">
        <v>45810</v>
      </c>
      <c r="B159" t="s">
        <v>8</v>
      </c>
      <c r="C159">
        <v>1419</v>
      </c>
      <c r="D159">
        <v>293</v>
      </c>
      <c r="E159">
        <v>116632</v>
      </c>
      <c r="F159">
        <v>6.93</v>
      </c>
      <c r="G159">
        <v>11826</v>
      </c>
      <c r="H159" s="10">
        <f>((Engagement_Summary[[#This Row],[New_Followers]]-Engagement_Summary[[#This Row],[Unfollows]]) / Engagement_Summary[[#This Row],[Total_Followers]] )</f>
        <v>9.6542972769051369E-3</v>
      </c>
    </row>
    <row r="160" spans="1:8" x14ac:dyDescent="0.3">
      <c r="A160" s="9">
        <v>45810</v>
      </c>
      <c r="B160" t="s">
        <v>11</v>
      </c>
      <c r="C160">
        <v>637</v>
      </c>
      <c r="D160">
        <v>68</v>
      </c>
      <c r="E160">
        <v>115694</v>
      </c>
      <c r="F160">
        <v>9.99</v>
      </c>
      <c r="G160">
        <v>12562</v>
      </c>
      <c r="H160" s="10">
        <f>((Engagement_Summary[[#This Row],[New_Followers]]-Engagement_Summary[[#This Row],[Unfollows]]) / Engagement_Summary[[#This Row],[Total_Followers]] )</f>
        <v>4.9181461441388493E-3</v>
      </c>
    </row>
    <row r="161" spans="1:8" x14ac:dyDescent="0.3">
      <c r="A161" s="9">
        <v>45817</v>
      </c>
      <c r="B161" t="s">
        <v>10</v>
      </c>
      <c r="C161">
        <v>917</v>
      </c>
      <c r="D161">
        <v>187</v>
      </c>
      <c r="E161">
        <v>64444</v>
      </c>
      <c r="F161">
        <v>5.22</v>
      </c>
      <c r="G161">
        <v>13013</v>
      </c>
      <c r="H161" s="10">
        <f>((Engagement_Summary[[#This Row],[New_Followers]]-Engagement_Summary[[#This Row],[Unfollows]]) / Engagement_Summary[[#This Row],[Total_Followers]] )</f>
        <v>1.1327664328719508E-2</v>
      </c>
    </row>
    <row r="162" spans="1:8" x14ac:dyDescent="0.3">
      <c r="A162" s="9">
        <v>45817</v>
      </c>
      <c r="B162" t="s">
        <v>8</v>
      </c>
      <c r="C162">
        <v>810</v>
      </c>
      <c r="D162">
        <v>232</v>
      </c>
      <c r="E162">
        <v>362559</v>
      </c>
      <c r="F162">
        <v>5.17</v>
      </c>
      <c r="G162">
        <v>12937</v>
      </c>
      <c r="H162" s="10">
        <f>((Engagement_Summary[[#This Row],[New_Followers]]-Engagement_Summary[[#This Row],[Unfollows]]) / Engagement_Summary[[#This Row],[Total_Followers]] )</f>
        <v>1.5942232850377457E-3</v>
      </c>
    </row>
    <row r="163" spans="1:8" x14ac:dyDescent="0.3">
      <c r="A163" s="9">
        <v>45817</v>
      </c>
      <c r="B163" t="s">
        <v>11</v>
      </c>
      <c r="C163">
        <v>1183</v>
      </c>
      <c r="D163">
        <v>248</v>
      </c>
      <c r="E163">
        <v>226881</v>
      </c>
      <c r="F163">
        <v>5.17</v>
      </c>
      <c r="G163">
        <v>14534</v>
      </c>
      <c r="H163" s="10">
        <f>((Engagement_Summary[[#This Row],[New_Followers]]-Engagement_Summary[[#This Row],[Unfollows]]) / Engagement_Summary[[#This Row],[Total_Followers]] )</f>
        <v>4.1211031333606603E-3</v>
      </c>
    </row>
    <row r="164" spans="1:8" x14ac:dyDescent="0.3">
      <c r="A164" s="9">
        <v>45824</v>
      </c>
      <c r="B164" t="s">
        <v>10</v>
      </c>
      <c r="C164">
        <v>765</v>
      </c>
      <c r="D164">
        <v>67</v>
      </c>
      <c r="E164">
        <v>283537</v>
      </c>
      <c r="F164">
        <v>6.18</v>
      </c>
      <c r="G164">
        <v>8182</v>
      </c>
      <c r="H164" s="10">
        <f>((Engagement_Summary[[#This Row],[New_Followers]]-Engagement_Summary[[#This Row],[Unfollows]]) / Engagement_Summary[[#This Row],[Total_Followers]] )</f>
        <v>2.4617598408673293E-3</v>
      </c>
    </row>
    <row r="165" spans="1:8" x14ac:dyDescent="0.3">
      <c r="A165" s="9">
        <v>45824</v>
      </c>
      <c r="B165" t="s">
        <v>8</v>
      </c>
      <c r="C165">
        <v>540</v>
      </c>
      <c r="D165">
        <v>215</v>
      </c>
      <c r="E165">
        <v>62837</v>
      </c>
      <c r="F165">
        <v>5.3</v>
      </c>
      <c r="G165">
        <v>10615</v>
      </c>
      <c r="H165" s="10">
        <f>((Engagement_Summary[[#This Row],[New_Followers]]-Engagement_Summary[[#This Row],[Unfollows]]) / Engagement_Summary[[#This Row],[Total_Followers]] )</f>
        <v>5.1721119722456512E-3</v>
      </c>
    </row>
    <row r="166" spans="1:8" x14ac:dyDescent="0.3">
      <c r="A166" s="9">
        <v>45824</v>
      </c>
      <c r="B166" t="s">
        <v>11</v>
      </c>
      <c r="C166">
        <v>1145</v>
      </c>
      <c r="D166">
        <v>151</v>
      </c>
      <c r="E166">
        <v>182759</v>
      </c>
      <c r="F166">
        <v>5.99</v>
      </c>
      <c r="G166">
        <v>20109</v>
      </c>
      <c r="H166" s="10">
        <f>((Engagement_Summary[[#This Row],[New_Followers]]-Engagement_Summary[[#This Row],[Unfollows]]) / Engagement_Summary[[#This Row],[Total_Followers]] )</f>
        <v>5.4388566363352828E-3</v>
      </c>
    </row>
    <row r="167" spans="1:8" x14ac:dyDescent="0.3">
      <c r="A167" s="9">
        <v>45831</v>
      </c>
      <c r="B167" t="s">
        <v>10</v>
      </c>
      <c r="C167">
        <v>564</v>
      </c>
      <c r="D167">
        <v>244</v>
      </c>
      <c r="E167">
        <v>279405</v>
      </c>
      <c r="F167">
        <v>8.43</v>
      </c>
      <c r="G167">
        <v>26024</v>
      </c>
      <c r="H167" s="10">
        <f>((Engagement_Summary[[#This Row],[New_Followers]]-Engagement_Summary[[#This Row],[Unfollows]]) / Engagement_Summary[[#This Row],[Total_Followers]] )</f>
        <v>1.1452908859898713E-3</v>
      </c>
    </row>
    <row r="168" spans="1:8" x14ac:dyDescent="0.3">
      <c r="A168" s="9">
        <v>45831</v>
      </c>
      <c r="B168" t="s">
        <v>8</v>
      </c>
      <c r="C168">
        <v>668</v>
      </c>
      <c r="D168">
        <v>124</v>
      </c>
      <c r="E168">
        <v>257485</v>
      </c>
      <c r="F168">
        <v>7.55</v>
      </c>
      <c r="G168">
        <v>26730</v>
      </c>
      <c r="H168" s="10">
        <f>((Engagement_Summary[[#This Row],[New_Followers]]-Engagement_Summary[[#This Row],[Unfollows]]) / Engagement_Summary[[#This Row],[Total_Followers]] )</f>
        <v>2.1127444317144686E-3</v>
      </c>
    </row>
    <row r="169" spans="1:8" x14ac:dyDescent="0.3">
      <c r="A169" s="9">
        <v>45831</v>
      </c>
      <c r="B169" t="s">
        <v>11</v>
      </c>
      <c r="C169">
        <v>761</v>
      </c>
      <c r="D169">
        <v>241</v>
      </c>
      <c r="E169">
        <v>154977</v>
      </c>
      <c r="F169">
        <v>5.63</v>
      </c>
      <c r="G169">
        <v>10563</v>
      </c>
      <c r="H169" s="10">
        <f>((Engagement_Summary[[#This Row],[New_Followers]]-Engagement_Summary[[#This Row],[Unfollows]]) / Engagement_Summary[[#This Row],[Total_Followers]] )</f>
        <v>3.3553365983339462E-3</v>
      </c>
    </row>
    <row r="170" spans="1:8" x14ac:dyDescent="0.3">
      <c r="A170" s="9">
        <v>45838</v>
      </c>
      <c r="B170" t="s">
        <v>10</v>
      </c>
      <c r="C170">
        <v>593</v>
      </c>
      <c r="D170">
        <v>108</v>
      </c>
      <c r="E170">
        <v>216500</v>
      </c>
      <c r="F170">
        <v>4.71</v>
      </c>
      <c r="G170">
        <v>27575</v>
      </c>
      <c r="H170" s="10">
        <f>((Engagement_Summary[[#This Row],[New_Followers]]-Engagement_Summary[[#This Row],[Unfollows]]) / Engagement_Summary[[#This Row],[Total_Followers]] )</f>
        <v>2.2401847575057735E-3</v>
      </c>
    </row>
    <row r="171" spans="1:8" x14ac:dyDescent="0.3">
      <c r="A171" s="9">
        <v>45838</v>
      </c>
      <c r="B171" t="s">
        <v>8</v>
      </c>
      <c r="C171">
        <v>1349</v>
      </c>
      <c r="D171">
        <v>115</v>
      </c>
      <c r="E171">
        <v>102102</v>
      </c>
      <c r="F171">
        <v>5.28</v>
      </c>
      <c r="G171">
        <v>14479</v>
      </c>
      <c r="H171" s="10">
        <f>((Engagement_Summary[[#This Row],[New_Followers]]-Engagement_Summary[[#This Row],[Unfollows]]) / Engagement_Summary[[#This Row],[Total_Followers]] )</f>
        <v>1.208595326242385E-2</v>
      </c>
    </row>
    <row r="172" spans="1:8" x14ac:dyDescent="0.3">
      <c r="A172" s="9">
        <v>45838</v>
      </c>
      <c r="B172" t="s">
        <v>11</v>
      </c>
      <c r="C172">
        <v>693</v>
      </c>
      <c r="D172">
        <v>97</v>
      </c>
      <c r="E172">
        <v>92025</v>
      </c>
      <c r="F172">
        <v>5.95</v>
      </c>
      <c r="G172">
        <v>15915</v>
      </c>
      <c r="H172" s="10">
        <f>((Engagement_Summary[[#This Row],[New_Followers]]-Engagement_Summary[[#This Row],[Unfollows]]) / Engagement_Summary[[#This Row],[Total_Followers]] )</f>
        <v>6.4765009508285796E-3</v>
      </c>
    </row>
    <row r="173" spans="1:8" x14ac:dyDescent="0.3">
      <c r="A173" s="9">
        <v>45845</v>
      </c>
      <c r="B173" t="s">
        <v>10</v>
      </c>
      <c r="C173">
        <v>974</v>
      </c>
      <c r="D173">
        <v>143</v>
      </c>
      <c r="E173">
        <v>247965</v>
      </c>
      <c r="F173">
        <v>9.98</v>
      </c>
      <c r="G173">
        <v>12767</v>
      </c>
      <c r="H173" s="10">
        <f>((Engagement_Summary[[#This Row],[New_Followers]]-Engagement_Summary[[#This Row],[Unfollows]]) / Engagement_Summary[[#This Row],[Total_Followers]] )</f>
        <v>3.3512794144334888E-3</v>
      </c>
    </row>
    <row r="174" spans="1:8" x14ac:dyDescent="0.3">
      <c r="A174" s="9">
        <v>45845</v>
      </c>
      <c r="B174" t="s">
        <v>8</v>
      </c>
      <c r="C174">
        <v>1155</v>
      </c>
      <c r="D174">
        <v>122</v>
      </c>
      <c r="E174">
        <v>387352</v>
      </c>
      <c r="F174">
        <v>9.93</v>
      </c>
      <c r="G174">
        <v>12170</v>
      </c>
      <c r="H174" s="10">
        <f>((Engagement_Summary[[#This Row],[New_Followers]]-Engagement_Summary[[#This Row],[Unfollows]]) / Engagement_Summary[[#This Row],[Total_Followers]] )</f>
        <v>2.6668250067122413E-3</v>
      </c>
    </row>
    <row r="175" spans="1:8" x14ac:dyDescent="0.3">
      <c r="A175" s="9">
        <v>45845</v>
      </c>
      <c r="B175" t="s">
        <v>11</v>
      </c>
      <c r="C175">
        <v>1051</v>
      </c>
      <c r="D175">
        <v>246</v>
      </c>
      <c r="E175">
        <v>253985</v>
      </c>
      <c r="F175">
        <v>9.08</v>
      </c>
      <c r="G175">
        <v>7245</v>
      </c>
      <c r="H175" s="10">
        <f>((Engagement_Summary[[#This Row],[New_Followers]]-Engagement_Summary[[#This Row],[Unfollows]]) / Engagement_Summary[[#This Row],[Total_Followers]] )</f>
        <v>3.1694785125105812E-3</v>
      </c>
    </row>
    <row r="176" spans="1:8" x14ac:dyDescent="0.3">
      <c r="A176" s="9">
        <v>45852</v>
      </c>
      <c r="B176" t="s">
        <v>10</v>
      </c>
      <c r="C176">
        <v>1457</v>
      </c>
      <c r="D176">
        <v>183</v>
      </c>
      <c r="E176">
        <v>129640</v>
      </c>
      <c r="F176">
        <v>7.98</v>
      </c>
      <c r="G176">
        <v>12985</v>
      </c>
      <c r="H176" s="10">
        <f>((Engagement_Summary[[#This Row],[New_Followers]]-Engagement_Summary[[#This Row],[Unfollows]]) / Engagement_Summary[[#This Row],[Total_Followers]] )</f>
        <v>9.827213822894169E-3</v>
      </c>
    </row>
    <row r="177" spans="1:8" x14ac:dyDescent="0.3">
      <c r="A177" s="9">
        <v>45852</v>
      </c>
      <c r="B177" t="s">
        <v>8</v>
      </c>
      <c r="C177">
        <v>670</v>
      </c>
      <c r="D177">
        <v>242</v>
      </c>
      <c r="E177">
        <v>281913</v>
      </c>
      <c r="F177">
        <v>9.6199999999999992</v>
      </c>
      <c r="G177">
        <v>16377</v>
      </c>
      <c r="H177" s="10">
        <f>((Engagement_Summary[[#This Row],[New_Followers]]-Engagement_Summary[[#This Row],[Unfollows]]) / Engagement_Summary[[#This Row],[Total_Followers]] )</f>
        <v>1.5181988769584942E-3</v>
      </c>
    </row>
    <row r="178" spans="1:8" x14ac:dyDescent="0.3">
      <c r="A178" s="9">
        <v>45852</v>
      </c>
      <c r="B178" t="s">
        <v>11</v>
      </c>
      <c r="C178">
        <v>1111</v>
      </c>
      <c r="D178">
        <v>159</v>
      </c>
      <c r="E178">
        <v>360770</v>
      </c>
      <c r="F178">
        <v>8.7100000000000009</v>
      </c>
      <c r="G178">
        <v>11453</v>
      </c>
      <c r="H178" s="10">
        <f>((Engagement_Summary[[#This Row],[New_Followers]]-Engagement_Summary[[#This Row],[Unfollows]]) / Engagement_Summary[[#This Row],[Total_Followers]] )</f>
        <v>2.6388003437092886E-3</v>
      </c>
    </row>
    <row r="179" spans="1:8" x14ac:dyDescent="0.3">
      <c r="A179" s="9">
        <v>45859</v>
      </c>
      <c r="B179" t="s">
        <v>10</v>
      </c>
      <c r="C179">
        <v>1197</v>
      </c>
      <c r="D179">
        <v>246</v>
      </c>
      <c r="E179">
        <v>127273</v>
      </c>
      <c r="F179">
        <v>6.69</v>
      </c>
      <c r="G179">
        <v>12323</v>
      </c>
      <c r="H179" s="10">
        <f>((Engagement_Summary[[#This Row],[New_Followers]]-Engagement_Summary[[#This Row],[Unfollows]]) / Engagement_Summary[[#This Row],[Total_Followers]] )</f>
        <v>7.4721268454424738E-3</v>
      </c>
    </row>
    <row r="180" spans="1:8" x14ac:dyDescent="0.3">
      <c r="A180" s="9">
        <v>45859</v>
      </c>
      <c r="B180" t="s">
        <v>8</v>
      </c>
      <c r="C180">
        <v>754</v>
      </c>
      <c r="D180">
        <v>150</v>
      </c>
      <c r="E180">
        <v>189622</v>
      </c>
      <c r="F180">
        <v>4.25</v>
      </c>
      <c r="G180">
        <v>11911</v>
      </c>
      <c r="H180" s="10">
        <f>((Engagement_Summary[[#This Row],[New_Followers]]-Engagement_Summary[[#This Row],[Unfollows]]) / Engagement_Summary[[#This Row],[Total_Followers]] )</f>
        <v>3.1852844079273504E-3</v>
      </c>
    </row>
    <row r="181" spans="1:8" x14ac:dyDescent="0.3">
      <c r="A181" s="9">
        <v>45859</v>
      </c>
      <c r="B181" t="s">
        <v>11</v>
      </c>
      <c r="C181">
        <v>1246</v>
      </c>
      <c r="D181">
        <v>107</v>
      </c>
      <c r="E181">
        <v>350949</v>
      </c>
      <c r="F181">
        <v>4.9800000000000004</v>
      </c>
      <c r="G181">
        <v>27809</v>
      </c>
      <c r="H181" s="10">
        <f>((Engagement_Summary[[#This Row],[New_Followers]]-Engagement_Summary[[#This Row],[Unfollows]]) / Engagement_Summary[[#This Row],[Total_Followers]] )</f>
        <v>3.2454858113287115E-3</v>
      </c>
    </row>
    <row r="182" spans="1:8" x14ac:dyDescent="0.3">
      <c r="A182" s="9">
        <v>45866</v>
      </c>
      <c r="B182" t="s">
        <v>10</v>
      </c>
      <c r="C182">
        <v>780</v>
      </c>
      <c r="D182">
        <v>213</v>
      </c>
      <c r="E182">
        <v>121431</v>
      </c>
      <c r="F182">
        <v>4.97</v>
      </c>
      <c r="G182">
        <v>21464</v>
      </c>
      <c r="H182" s="10">
        <f>((Engagement_Summary[[#This Row],[New_Followers]]-Engagement_Summary[[#This Row],[Unfollows]]) / Engagement_Summary[[#This Row],[Total_Followers]] )</f>
        <v>4.669318378338316E-3</v>
      </c>
    </row>
    <row r="183" spans="1:8" x14ac:dyDescent="0.3">
      <c r="A183" s="9">
        <v>45866</v>
      </c>
      <c r="B183" t="s">
        <v>8</v>
      </c>
      <c r="C183">
        <v>1425</v>
      </c>
      <c r="D183">
        <v>143</v>
      </c>
      <c r="E183">
        <v>116742</v>
      </c>
      <c r="F183">
        <v>3.71</v>
      </c>
      <c r="G183">
        <v>27126</v>
      </c>
      <c r="H183" s="10">
        <f>((Engagement_Summary[[#This Row],[New_Followers]]-Engagement_Summary[[#This Row],[Unfollows]]) / Engagement_Summary[[#This Row],[Total_Followers]] )</f>
        <v>1.0981480529715098E-2</v>
      </c>
    </row>
    <row r="184" spans="1:8" x14ac:dyDescent="0.3">
      <c r="A184" s="9">
        <v>45866</v>
      </c>
      <c r="B184" t="s">
        <v>11</v>
      </c>
      <c r="C184">
        <v>1490</v>
      </c>
      <c r="D184">
        <v>103</v>
      </c>
      <c r="E184">
        <v>81184</v>
      </c>
      <c r="F184">
        <v>7.79</v>
      </c>
      <c r="G184">
        <v>10681</v>
      </c>
      <c r="H184" s="10">
        <f>((Engagement_Summary[[#This Row],[New_Followers]]-Engagement_Summary[[#This Row],[Unfollows]]) / Engagement_Summary[[#This Row],[Total_Followers]] )</f>
        <v>1.7084647221127316E-2</v>
      </c>
    </row>
    <row r="185" spans="1:8" x14ac:dyDescent="0.3">
      <c r="A185" s="9">
        <v>45873</v>
      </c>
      <c r="B185" t="s">
        <v>10</v>
      </c>
      <c r="C185">
        <v>949</v>
      </c>
      <c r="D185">
        <v>282</v>
      </c>
      <c r="E185">
        <v>87126</v>
      </c>
      <c r="F185">
        <v>4.96</v>
      </c>
      <c r="G185">
        <v>5413</v>
      </c>
      <c r="H185" s="10">
        <f>((Engagement_Summary[[#This Row],[New_Followers]]-Engagement_Summary[[#This Row],[Unfollows]]) / Engagement_Summary[[#This Row],[Total_Followers]] )</f>
        <v>7.6555792759910937E-3</v>
      </c>
    </row>
    <row r="186" spans="1:8" x14ac:dyDescent="0.3">
      <c r="A186" s="9">
        <v>45873</v>
      </c>
      <c r="B186" t="s">
        <v>8</v>
      </c>
      <c r="C186">
        <v>640</v>
      </c>
      <c r="D186">
        <v>141</v>
      </c>
      <c r="E186">
        <v>267546</v>
      </c>
      <c r="F186">
        <v>8.58</v>
      </c>
      <c r="G186">
        <v>25058</v>
      </c>
      <c r="H186" s="10">
        <f>((Engagement_Summary[[#This Row],[New_Followers]]-Engagement_Summary[[#This Row],[Unfollows]]) / Engagement_Summary[[#This Row],[Total_Followers]] )</f>
        <v>1.8650998332996943E-3</v>
      </c>
    </row>
    <row r="187" spans="1:8" x14ac:dyDescent="0.3">
      <c r="A187" s="9">
        <v>45873</v>
      </c>
      <c r="B187" t="s">
        <v>11</v>
      </c>
      <c r="C187">
        <v>616</v>
      </c>
      <c r="D187">
        <v>93</v>
      </c>
      <c r="E187">
        <v>133082</v>
      </c>
      <c r="F187">
        <v>8.51</v>
      </c>
      <c r="G187">
        <v>18303</v>
      </c>
      <c r="H187" s="10">
        <f>((Engagement_Summary[[#This Row],[New_Followers]]-Engagement_Summary[[#This Row],[Unfollows]]) / Engagement_Summary[[#This Row],[Total_Followers]] )</f>
        <v>3.9299078763469142E-3</v>
      </c>
    </row>
    <row r="188" spans="1:8" x14ac:dyDescent="0.3">
      <c r="A188" s="9">
        <v>45880</v>
      </c>
      <c r="B188" t="s">
        <v>10</v>
      </c>
      <c r="C188">
        <v>1080</v>
      </c>
      <c r="D188">
        <v>184</v>
      </c>
      <c r="E188">
        <v>340557</v>
      </c>
      <c r="F188">
        <v>5.41</v>
      </c>
      <c r="G188">
        <v>5526</v>
      </c>
      <c r="H188" s="10">
        <f>((Engagement_Summary[[#This Row],[New_Followers]]-Engagement_Summary[[#This Row],[Unfollows]]) / Engagement_Summary[[#This Row],[Total_Followers]] )</f>
        <v>2.6309839468870114E-3</v>
      </c>
    </row>
    <row r="189" spans="1:8" x14ac:dyDescent="0.3">
      <c r="A189" s="9">
        <v>45880</v>
      </c>
      <c r="B189" t="s">
        <v>8</v>
      </c>
      <c r="C189">
        <v>938</v>
      </c>
      <c r="D189">
        <v>236</v>
      </c>
      <c r="E189">
        <v>116472</v>
      </c>
      <c r="F189">
        <v>8.7200000000000006</v>
      </c>
      <c r="G189">
        <v>17460</v>
      </c>
      <c r="H189" s="10">
        <f>((Engagement_Summary[[#This Row],[New_Followers]]-Engagement_Summary[[#This Row],[Unfollows]]) / Engagement_Summary[[#This Row],[Total_Followers]] )</f>
        <v>6.0271996703070265E-3</v>
      </c>
    </row>
    <row r="190" spans="1:8" x14ac:dyDescent="0.3">
      <c r="A190" s="9">
        <v>45880</v>
      </c>
      <c r="B190" t="s">
        <v>11</v>
      </c>
      <c r="C190">
        <v>1007</v>
      </c>
      <c r="D190">
        <v>258</v>
      </c>
      <c r="E190">
        <v>113412</v>
      </c>
      <c r="F190">
        <v>7.71</v>
      </c>
      <c r="G190">
        <v>14475</v>
      </c>
      <c r="H190" s="10">
        <f>((Engagement_Summary[[#This Row],[New_Followers]]-Engagement_Summary[[#This Row],[Unfollows]]) / Engagement_Summary[[#This Row],[Total_Followers]] )</f>
        <v>6.6042394102916796E-3</v>
      </c>
    </row>
    <row r="191" spans="1:8" x14ac:dyDescent="0.3">
      <c r="A191" s="9">
        <v>45887</v>
      </c>
      <c r="B191" t="s">
        <v>10</v>
      </c>
      <c r="C191">
        <v>541</v>
      </c>
      <c r="D191">
        <v>208</v>
      </c>
      <c r="E191">
        <v>157547</v>
      </c>
      <c r="F191">
        <v>8.35</v>
      </c>
      <c r="G191">
        <v>20162</v>
      </c>
      <c r="H191" s="10">
        <f>((Engagement_Summary[[#This Row],[New_Followers]]-Engagement_Summary[[#This Row],[Unfollows]]) / Engagement_Summary[[#This Row],[Total_Followers]] )</f>
        <v>2.1136549728017671E-3</v>
      </c>
    </row>
    <row r="192" spans="1:8" x14ac:dyDescent="0.3">
      <c r="A192" s="9">
        <v>45887</v>
      </c>
      <c r="B192" t="s">
        <v>8</v>
      </c>
      <c r="C192">
        <v>745</v>
      </c>
      <c r="D192">
        <v>98</v>
      </c>
      <c r="E192">
        <v>354816</v>
      </c>
      <c r="F192">
        <v>4.03</v>
      </c>
      <c r="G192">
        <v>17103</v>
      </c>
      <c r="H192" s="10">
        <f>((Engagement_Summary[[#This Row],[New_Followers]]-Engagement_Summary[[#This Row],[Unfollows]]) / Engagement_Summary[[#This Row],[Total_Followers]] )</f>
        <v>1.823480339105339E-3</v>
      </c>
    </row>
    <row r="193" spans="1:8" x14ac:dyDescent="0.3">
      <c r="A193" s="9">
        <v>45887</v>
      </c>
      <c r="B193" t="s">
        <v>11</v>
      </c>
      <c r="C193">
        <v>936</v>
      </c>
      <c r="D193">
        <v>97</v>
      </c>
      <c r="E193">
        <v>151799</v>
      </c>
      <c r="F193">
        <v>9.3699999999999992</v>
      </c>
      <c r="G193">
        <v>15461</v>
      </c>
      <c r="H193" s="10">
        <f>((Engagement_Summary[[#This Row],[New_Followers]]-Engagement_Summary[[#This Row],[Unfollows]]) / Engagement_Summary[[#This Row],[Total_Followers]] )</f>
        <v>5.5270456327116777E-3</v>
      </c>
    </row>
    <row r="194" spans="1:8" x14ac:dyDescent="0.3">
      <c r="A194" s="9">
        <v>45894</v>
      </c>
      <c r="B194" t="s">
        <v>10</v>
      </c>
      <c r="C194">
        <v>1183</v>
      </c>
      <c r="D194">
        <v>223</v>
      </c>
      <c r="E194">
        <v>143811</v>
      </c>
      <c r="F194">
        <v>6.07</v>
      </c>
      <c r="G194">
        <v>22103</v>
      </c>
      <c r="H194" s="10">
        <f>((Engagement_Summary[[#This Row],[New_Followers]]-Engagement_Summary[[#This Row],[Unfollows]]) / Engagement_Summary[[#This Row],[Total_Followers]] )</f>
        <v>6.6754281661347186E-3</v>
      </c>
    </row>
    <row r="195" spans="1:8" x14ac:dyDescent="0.3">
      <c r="A195" s="9">
        <v>45894</v>
      </c>
      <c r="B195" t="s">
        <v>8</v>
      </c>
      <c r="C195">
        <v>1413</v>
      </c>
      <c r="D195">
        <v>245</v>
      </c>
      <c r="E195">
        <v>296450</v>
      </c>
      <c r="F195">
        <v>6.52</v>
      </c>
      <c r="G195">
        <v>11625</v>
      </c>
      <c r="H195" s="10">
        <f>((Engagement_Summary[[#This Row],[New_Followers]]-Engagement_Summary[[#This Row],[Unfollows]]) / Engagement_Summary[[#This Row],[Total_Followers]] )</f>
        <v>3.9399561477483558E-3</v>
      </c>
    </row>
    <row r="196" spans="1:8" x14ac:dyDescent="0.3">
      <c r="A196" s="9">
        <v>45894</v>
      </c>
      <c r="B196" t="s">
        <v>11</v>
      </c>
      <c r="C196">
        <v>791</v>
      </c>
      <c r="D196">
        <v>273</v>
      </c>
      <c r="E196">
        <v>144049</v>
      </c>
      <c r="F196">
        <v>3.08</v>
      </c>
      <c r="G196">
        <v>5281</v>
      </c>
      <c r="H196" s="10">
        <f>((Engagement_Summary[[#This Row],[New_Followers]]-Engagement_Summary[[#This Row],[Unfollows]]) / Engagement_Summary[[#This Row],[Total_Followers]] )</f>
        <v>3.5959985838152297E-3</v>
      </c>
    </row>
    <row r="197" spans="1:8" x14ac:dyDescent="0.3">
      <c r="A197" s="9">
        <v>45901</v>
      </c>
      <c r="B197" t="s">
        <v>10</v>
      </c>
      <c r="C197">
        <v>1052</v>
      </c>
      <c r="D197">
        <v>180</v>
      </c>
      <c r="E197">
        <v>272534</v>
      </c>
      <c r="F197">
        <v>5.34</v>
      </c>
      <c r="G197">
        <v>13424</v>
      </c>
      <c r="H197" s="10">
        <f>((Engagement_Summary[[#This Row],[New_Followers]]-Engagement_Summary[[#This Row],[Unfollows]]) / Engagement_Summary[[#This Row],[Total_Followers]] )</f>
        <v>3.1996007837554212E-3</v>
      </c>
    </row>
    <row r="198" spans="1:8" x14ac:dyDescent="0.3">
      <c r="A198" s="9">
        <v>45901</v>
      </c>
      <c r="B198" t="s">
        <v>8</v>
      </c>
      <c r="C198">
        <v>572</v>
      </c>
      <c r="D198">
        <v>270</v>
      </c>
      <c r="E198">
        <v>82265</v>
      </c>
      <c r="F198">
        <v>3.65</v>
      </c>
      <c r="G198">
        <v>13140</v>
      </c>
      <c r="H198" s="10">
        <f>((Engagement_Summary[[#This Row],[New_Followers]]-Engagement_Summary[[#This Row],[Unfollows]]) / Engagement_Summary[[#This Row],[Total_Followers]] )</f>
        <v>3.6710630280192063E-3</v>
      </c>
    </row>
    <row r="199" spans="1:8" x14ac:dyDescent="0.3">
      <c r="A199" s="9">
        <v>45901</v>
      </c>
      <c r="B199" t="s">
        <v>11</v>
      </c>
      <c r="C199">
        <v>503</v>
      </c>
      <c r="D199">
        <v>253</v>
      </c>
      <c r="E199">
        <v>313562</v>
      </c>
      <c r="F199">
        <v>4.18</v>
      </c>
      <c r="G199">
        <v>19538</v>
      </c>
      <c r="H199" s="10">
        <f>((Engagement_Summary[[#This Row],[New_Followers]]-Engagement_Summary[[#This Row],[Unfollows]]) / Engagement_Summary[[#This Row],[Total_Followers]] )</f>
        <v>7.9729048800556194E-4</v>
      </c>
    </row>
    <row r="200" spans="1:8" x14ac:dyDescent="0.3">
      <c r="A200" s="9">
        <v>45908</v>
      </c>
      <c r="B200" t="s">
        <v>10</v>
      </c>
      <c r="C200">
        <v>1017</v>
      </c>
      <c r="D200">
        <v>197</v>
      </c>
      <c r="E200">
        <v>89918</v>
      </c>
      <c r="F200">
        <v>3.91</v>
      </c>
      <c r="G200">
        <v>7881</v>
      </c>
      <c r="H200" s="10">
        <f>((Engagement_Summary[[#This Row],[New_Followers]]-Engagement_Summary[[#This Row],[Unfollows]]) / Engagement_Summary[[#This Row],[Total_Followers]] )</f>
        <v>9.1194199159233963E-3</v>
      </c>
    </row>
    <row r="201" spans="1:8" x14ac:dyDescent="0.3">
      <c r="A201" s="9">
        <v>45908</v>
      </c>
      <c r="B201" t="s">
        <v>8</v>
      </c>
      <c r="C201">
        <v>860</v>
      </c>
      <c r="D201">
        <v>244</v>
      </c>
      <c r="E201">
        <v>348686</v>
      </c>
      <c r="F201">
        <v>5.12</v>
      </c>
      <c r="G201">
        <v>11418</v>
      </c>
      <c r="H201" s="10">
        <f>((Engagement_Summary[[#This Row],[New_Followers]]-Engagement_Summary[[#This Row],[Unfollows]]) / Engagement_Summary[[#This Row],[Total_Followers]] )</f>
        <v>1.7666324429429343E-3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97C3D0-65F1-48EE-B7EF-C2EB3F147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3</vt:lpstr>
      <vt:lpstr>Engagement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2026-03-01T16:36:39Z</dcterms:created>
  <dcterms:modified xsi:type="dcterms:W3CDTF">2026-03-09T18:47:14Z</dcterms:modified>
</cp:coreProperties>
</file>